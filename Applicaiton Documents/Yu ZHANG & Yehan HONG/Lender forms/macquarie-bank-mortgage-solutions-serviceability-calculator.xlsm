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12.xml" ContentType="application/vnd.ms-excel.controlproperties+xml"/>
  <Override PartName="/xl/ctrlProps/ctrlProp13.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drawings/drawing5.xml" ContentType="application/vnd.openxmlformats-officedocument.drawing+xml"/>
  <Override PartName="/xl/drawings/drawing6.xml" ContentType="application/vnd.openxmlformats-officedocument.drawing+xml"/>
  <Override PartName="/xl/ctrlProps/ctrlProp20.xml" ContentType="application/vnd.ms-excel.controlproperties+xml"/>
  <Override PartName="/xl/drawings/drawing7.xml" ContentType="application/vnd.openxmlformats-officedocument.drawing+xml"/>
  <Override PartName="/xl/ctrlProps/ctrlProp21.xml" ContentType="application/vnd.ms-excel.controlproperties+xml"/>
  <Override PartName="/xl/drawings/drawing8.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mc:AlternateContent xmlns:mc="http://schemas.openxmlformats.org/markup-compatibility/2006">
    <mc:Choice Requires="x15">
      <x15ac:absPath xmlns:x15ac="http://schemas.microsoft.com/office/spreadsheetml/2010/11/ac" url="D:\Hai Money\Bruce case\Yu Zhang\新建文件夹\Others\MQ\"/>
    </mc:Choice>
  </mc:AlternateContent>
  <xr:revisionPtr revIDLastSave="0" documentId="13_ncr:1_{10991D91-743E-4D40-901A-80E4A729286C}" xr6:coauthVersionLast="47" xr6:coauthVersionMax="47" xr10:uidLastSave="{00000000-0000-0000-0000-000000000000}"/>
  <workbookProtection workbookAlgorithmName="SHA-512" workbookHashValue="5KEVv9jWepT5FCfCtk0TsuZa6SRaaMAQZJftIAADh5PMFdfQahSEsmgp2A63kB1FFY9ggNUPO5WDY28lN/aN1Q==" workbookSaltValue="Q2zOeB1LWmzbvMZXvlkPGQ==" workbookSpinCount="100000" lockStructure="1"/>
  <bookViews>
    <workbookView xWindow="38280" yWindow="-9015" windowWidth="29040" windowHeight="15840" tabRatio="837" xr2:uid="{00000000-000D-0000-FFFF-FFFF00000000}"/>
  </bookViews>
  <sheets>
    <sheet name="Serviceability Worksheet" sheetId="6" r:id="rId1"/>
    <sheet name="Guarantor Serviceability" sheetId="19" state="hidden" r:id="rId2"/>
    <sheet name="Self Employed Calculator" sheetId="17" state="hidden" r:id="rId3"/>
    <sheet name="EIV Income Calculator" sheetId="18" state="hidden" r:id="rId4"/>
    <sheet name="Notes and Guidelines" sheetId="7" r:id="rId5"/>
    <sheet name="Pledge Calculator" sheetId="15" state="hidden" r:id="rId6"/>
    <sheet name="References" sheetId="14" state="hidden" r:id="rId7"/>
    <sheet name="HEM Table" sheetId="23" state="hidden" r:id="rId8"/>
    <sheet name="Loan Workings" sheetId="21" state="hidden" r:id="rId9"/>
    <sheet name="LMI Rates" sheetId="22" state="hidden" r:id="rId10"/>
  </sheets>
  <functionGroups builtInGroupCount="19"/>
  <externalReferences>
    <externalReference r:id="rId11"/>
    <externalReference r:id="rId12"/>
    <externalReference r:id="rId13"/>
  </externalReferences>
  <definedNames>
    <definedName name="_BAS1" localSheetId="3">'EIV Income Calculator'!$D$8</definedName>
    <definedName name="_BAS1">#REF!</definedName>
    <definedName name="_BAS2" localSheetId="3">'EIV Income Calculator'!$D$9</definedName>
    <definedName name="_BAS2">#REF!</definedName>
    <definedName name="_BAS3" localSheetId="3">'EIV Income Calculator'!$D$10</definedName>
    <definedName name="_BAS3">#REF!</definedName>
    <definedName name="_BAS4" localSheetId="3">'EIV Income Calculator'!$D$11</definedName>
    <definedName name="_BAS4">#REF!</definedName>
    <definedName name="_Com1" localSheetId="2">'Self Employed Calculator'!$H$9</definedName>
    <definedName name="_Com1">#REF!</definedName>
    <definedName name="_Com2" localSheetId="2">'Self Employed Calculator'!$H$41</definedName>
    <definedName name="_Com2">#REF!</definedName>
    <definedName name="_Com3" localSheetId="3">'[1]Self Employed Calculator'!#REF!</definedName>
    <definedName name="_Com3" localSheetId="5">'[1]Self Employed Calculator'!#REF!</definedName>
    <definedName name="_Com3" localSheetId="2">'Self Employed Calculator'!#REF!</definedName>
    <definedName name="_Com3">#REF!</definedName>
    <definedName name="_Com4" localSheetId="3">'[1]Self Employed Calculator'!#REF!</definedName>
    <definedName name="_Com4" localSheetId="5">'[1]Self Employed Calculator'!#REF!</definedName>
    <definedName name="_Com4" localSheetId="2">'Self Employed Calculator'!#REF!</definedName>
    <definedName name="_Com4">#REF!</definedName>
    <definedName name="_xlnm._FilterDatabase" localSheetId="6" hidden="1">References!$Z$1:$AE$3048</definedName>
    <definedName name="_NGB1" localSheetId="1">'Guarantor Serviceability'!$C$129</definedName>
    <definedName name="_NGB1">'Serviceability Worksheet'!$C$187</definedName>
    <definedName name="_NGB2" localSheetId="1">'Guarantor Serviceability'!$E$129</definedName>
    <definedName name="_NGB2">'Serviceability Worksheet'!$E$187</definedName>
    <definedName name="_NGB3" localSheetId="1">'Guarantor Serviceability'!$G$129</definedName>
    <definedName name="_NGB3">'Serviceability Worksheet'!$G$187</definedName>
    <definedName name="_NGB4" localSheetId="1">'Guarantor Serviceability'!$I$129</definedName>
    <definedName name="_NGB4">'Serviceability Worksheet'!$I$187</definedName>
    <definedName name="_SE1" localSheetId="1">'Guarantor Serviceability'!$C$118</definedName>
    <definedName name="_SE1">'Serviceability Worksheet'!$C$176</definedName>
    <definedName name="_SE2" localSheetId="1">'Guarantor Serviceability'!$E$118</definedName>
    <definedName name="_SE2">'Serviceability Worksheet'!$E$176</definedName>
    <definedName name="_SE3" localSheetId="1">'Guarantor Serviceability'!$G$118</definedName>
    <definedName name="_SE3">'Serviceability Worksheet'!$G$176</definedName>
    <definedName name="_SE4" localSheetId="1">'Guarantor Serviceability'!$I$118</definedName>
    <definedName name="_SE4">'Serviceability Worksheet'!$I$176</definedName>
    <definedName name="Acct_Selection">'Serviceability Worksheet'!$I$46</definedName>
    <definedName name="Acct1IntOnlyPrd">'Serviceability Worksheet'!$G$23</definedName>
    <definedName name="Acct1LoanAmt">'Serviceability Worksheet'!$C$23</definedName>
    <definedName name="Acct1LoanIntRate">'Serviceability Worksheet'!$I$23</definedName>
    <definedName name="Acct1LoanTerm">'Serviceability Worksheet'!$E$23</definedName>
    <definedName name="Acct2IntOnlyPrd">'Serviceability Worksheet'!$G$25</definedName>
    <definedName name="Acct2LoanAmt">'Serviceability Worksheet'!$C$25</definedName>
    <definedName name="Acct2LoanIntRate">'Serviceability Worksheet'!$I$25</definedName>
    <definedName name="Acct2LoanTerm">'Serviceability Worksheet'!$E$25</definedName>
    <definedName name="Acct3IntOnlyPrd">'Serviceability Worksheet'!$G$27</definedName>
    <definedName name="Acct3LoanAmt">'Serviceability Worksheet'!$C$27</definedName>
    <definedName name="Acct3LoanIntRate">'Serviceability Worksheet'!$I$27</definedName>
    <definedName name="Acct3LoanTerm">'Serviceability Worksheet'!$E$27</definedName>
    <definedName name="Acct4IntOnlyPrd">'Serviceability Worksheet'!$G$29</definedName>
    <definedName name="Acct4LoanAmt">'Serviceability Worksheet'!$C$29</definedName>
    <definedName name="Acct4LoanIntRate">'Serviceability Worksheet'!$I$29</definedName>
    <definedName name="Acct4LoanTerm">'Serviceability Worksheet'!$E$29</definedName>
    <definedName name="Acct5IntOnlyPrd">'Serviceability Worksheet'!$G$31</definedName>
    <definedName name="Acct5LoanAmt">'Serviceability Worksheet'!$C$31</definedName>
    <definedName name="Acct5LoanIntRate">'Serviceability Worksheet'!$I$31</definedName>
    <definedName name="Acct5LoanTerm">'Serviceability Worksheet'!$E$31</definedName>
    <definedName name="Acct6IntOnlyPrd">'Serviceability Worksheet'!$G$33</definedName>
    <definedName name="Acct6LoanAmt">'Serviceability Worksheet'!$C$33</definedName>
    <definedName name="Acct6LoanIntRate">'Serviceability Worksheet'!$I$33</definedName>
    <definedName name="Acct6LoanTerm">'Serviceability Worksheet'!$E$33</definedName>
    <definedName name="Addback_Depr" localSheetId="3">'EIV Income Calculator'!$D$31</definedName>
    <definedName name="Addback_Depr">#REF!</definedName>
    <definedName name="Addback_Dir" localSheetId="3">'EIV Income Calculator'!$D$32</definedName>
    <definedName name="Addback_Dir">#REF!</definedName>
    <definedName name="Addback_Int" localSheetId="3">'EIV Income Calculator'!$D$34</definedName>
    <definedName name="Addback_Int">#REF!</definedName>
    <definedName name="Addback_NonRecExp" localSheetId="3">'EIV Income Calculator'!$D$36</definedName>
    <definedName name="Addback_NonRecExp">#REF!</definedName>
    <definedName name="Addback_NonRecExp_Text" localSheetId="3">'EIV Income Calculator'!$F$36</definedName>
    <definedName name="Addback_NonRecExp_Text">#REF!</definedName>
    <definedName name="Addback_Sup" localSheetId="3">'EIV Income Calculator'!$D$33</definedName>
    <definedName name="Addback_Sup">#REF!</definedName>
    <definedName name="AddbacksCur" localSheetId="2">'Self Employed Calculator'!$D$15:$D$20</definedName>
    <definedName name="AddbacksCur">#REF!</definedName>
    <definedName name="AddbacksCur2" localSheetId="2">'Self Employed Calculator'!$D$47:$D$52</definedName>
    <definedName name="AddbacksCur2">#REF!</definedName>
    <definedName name="AddbacksCur3" localSheetId="3">'[1]Self Employed Calculator'!#REF!</definedName>
    <definedName name="AddbacksCur3" localSheetId="5">'[1]Self Employed Calculator'!#REF!</definedName>
    <definedName name="AddbacksCur3" localSheetId="2">'Self Employed Calculator'!#REF!</definedName>
    <definedName name="AddbacksCur3">#REF!</definedName>
    <definedName name="AddbacksCur4" localSheetId="3">'[1]Self Employed Calculator'!#REF!</definedName>
    <definedName name="AddbacksCur4" localSheetId="5">'[1]Self Employed Calculator'!#REF!</definedName>
    <definedName name="AddbacksCur4" localSheetId="2">'Self Employed Calculator'!#REF!</definedName>
    <definedName name="AddbacksCur4">#REF!</definedName>
    <definedName name="AddbacksPrev" localSheetId="3">'EIV Income Calculator'!$G$21:$G$25</definedName>
    <definedName name="AddbacksPrev" localSheetId="2">'Self Employed Calculator'!$F$15:$F$20</definedName>
    <definedName name="AddbacksPrev">#REF!</definedName>
    <definedName name="AddbacksPrev2" localSheetId="2">'Self Employed Calculator'!$F$47:$F$52</definedName>
    <definedName name="AddbacksPrev2">#REF!</definedName>
    <definedName name="AddbacksPrev3" localSheetId="3">'[1]Self Employed Calculator'!#REF!</definedName>
    <definedName name="AddbacksPrev3" localSheetId="5">'[1]Self Employed Calculator'!#REF!</definedName>
    <definedName name="AddbacksPrev3" localSheetId="2">'Self Employed Calculator'!#REF!</definedName>
    <definedName name="AddbacksPrev3">#REF!</definedName>
    <definedName name="AddbacksPrev4" localSheetId="3">'[1]Self Employed Calculator'!#REF!</definedName>
    <definedName name="AddbacksPrev4" localSheetId="5">'[1]Self Employed Calculator'!#REF!</definedName>
    <definedName name="AddbacksPrev4" localSheetId="2">'Self Employed Calculator'!#REF!</definedName>
    <definedName name="AddbacksPrev4">#REF!</definedName>
    <definedName name="AddPptyDet" localSheetId="3">'[1]Serviceability Worksheet'!#REF!</definedName>
    <definedName name="AddPptyDet" localSheetId="1">'Guarantor Serviceability'!#REF!</definedName>
    <definedName name="AddPptyDet" localSheetId="8">'[2]Serviceability Worksheet'!#REF!</definedName>
    <definedName name="AddPptyDet" localSheetId="5">'[1]Serviceability Worksheet'!#REF!</definedName>
    <definedName name="AddPptyDet" localSheetId="2">'[3]Serviceability Worksheet'!#REF!</definedName>
    <definedName name="AddPptyDet">'Serviceability Worksheet'!#REF!</definedName>
    <definedName name="AddSecValue" localSheetId="1">'Guarantor Serviceability'!#REF!</definedName>
    <definedName name="AddSecValue" localSheetId="8">'[2]Serviceability Worksheet'!#REF!</definedName>
    <definedName name="AddSecValue">'Serviceability Worksheet'!#REF!</definedName>
    <definedName name="AllDebt">'Serviceability Worksheet'!$N$386</definedName>
    <definedName name="App_match1" localSheetId="1">'Guarantor Serviceability'!$C$12</definedName>
    <definedName name="App_match1">'Serviceability Worksheet'!$C$79</definedName>
    <definedName name="App_match2" localSheetId="1">'Guarantor Serviceability'!$E$12</definedName>
    <definedName name="App_match2">'Serviceability Worksheet'!$E$79</definedName>
    <definedName name="App_match3" localSheetId="1">'Guarantor Serviceability'!$G$12</definedName>
    <definedName name="App_match3">'Serviceability Worksheet'!$G$79</definedName>
    <definedName name="App_match4" localSheetId="1">'Guarantor Serviceability'!$I$12</definedName>
    <definedName name="App_match4">'Serviceability Worksheet'!$I$79</definedName>
    <definedName name="App_name1" localSheetId="1">'Guarantor Serviceability'!$C$10</definedName>
    <definedName name="App_name1">'Serviceability Worksheet'!$C$77</definedName>
    <definedName name="App_name2" localSheetId="1">'Guarantor Serviceability'!$E$10</definedName>
    <definedName name="App_name2">'Serviceability Worksheet'!$E$77</definedName>
    <definedName name="App_name3" localSheetId="1">'Guarantor Serviceability'!$G$10</definedName>
    <definedName name="App_name3">'Serviceability Worksheet'!$G$77</definedName>
    <definedName name="App_name4" localSheetId="1">'Guarantor Serviceability'!$I$10</definedName>
    <definedName name="App_name4">'Serviceability Worksheet'!$I$77</definedName>
    <definedName name="App_names" localSheetId="1">'Guarantor Serviceability'!$C$7</definedName>
    <definedName name="App_names">'Serviceability Worksheet'!$C$7</definedName>
    <definedName name="Applicant1" localSheetId="1">'Guarantor Serviceability'!$C$113</definedName>
    <definedName name="Applicant1" localSheetId="5">'Pledge Calculator'!#REF!</definedName>
    <definedName name="Applicant1">'Serviceability Worksheet'!$C$171</definedName>
    <definedName name="Applicant2" localSheetId="1">'Guarantor Serviceability'!$E$113</definedName>
    <definedName name="Applicant2" localSheetId="5">'Pledge Calculator'!#REF!</definedName>
    <definedName name="Applicant2">'Serviceability Worksheet'!$E$171</definedName>
    <definedName name="Applicant3" localSheetId="1">'Guarantor Serviceability'!$G$113</definedName>
    <definedName name="Applicant3" localSheetId="5">'Pledge Calculator'!#REF!</definedName>
    <definedName name="Applicant3">'Serviceability Worksheet'!$G$171</definedName>
    <definedName name="Applicant4" localSheetId="1">'Guarantor Serviceability'!$I$113</definedName>
    <definedName name="Applicant4" localSheetId="5">'Pledge Calculator'!#REF!</definedName>
    <definedName name="Applicant4">'Serviceability Worksheet'!$I$171</definedName>
    <definedName name="AppMatchList1">References!$O$5:$O$8</definedName>
    <definedName name="AppMatchList2">References!$R$5:$R$8</definedName>
    <definedName name="AppMatchList3">References!$U$5:$U$8</definedName>
    <definedName name="AppMatchList4">References!$X$5:$X$8</definedName>
    <definedName name="AssessRate" localSheetId="1">'Guarantor Serviceability'!$G$19</definedName>
    <definedName name="AssessRate">'Serviceability Worksheet'!$I$198</definedName>
    <definedName name="BaseNSR">'Notes and Guidelines'!$F$37</definedName>
    <definedName name="BenchMarkHEMValue">'Serviceability Worksheet'!$K$92</definedName>
    <definedName name="Bonus1" localSheetId="1">'Guarantor Serviceability'!$C$115</definedName>
    <definedName name="Bonus1">'Serviceability Worksheet'!$C$173</definedName>
    <definedName name="Bonus2" localSheetId="1">'Guarantor Serviceability'!$E$115</definedName>
    <definedName name="Bonus2">'Serviceability Worksheet'!$E$173</definedName>
    <definedName name="Bonus3" localSheetId="1">'Guarantor Serviceability'!$G$115</definedName>
    <definedName name="Bonus3">'Serviceability Worksheet'!$G$173</definedName>
    <definedName name="Bonus4" localSheetId="1">'Guarantor Serviceability'!$I$115</definedName>
    <definedName name="Bonus4">'Serviceability Worksheet'!$I$173</definedName>
    <definedName name="BorrowingCapacity">'Serviceability Worksheet'!$E$266</definedName>
    <definedName name="Bridg_Land" localSheetId="1">'Guarantor Serviceability'!#REF!</definedName>
    <definedName name="Bridg_Land" localSheetId="8">'[2]Serviceability Worksheet'!#REF!</definedName>
    <definedName name="Bridg_Land">'Serviceability Worksheet'!#REF!</definedName>
    <definedName name="BridgeMaxLVR" localSheetId="8">'[2]Notes and Guidelines'!#REF!</definedName>
    <definedName name="BridgeMaxLVR">'Notes and Guidelines'!#REF!</definedName>
    <definedName name="BridgingCalc" localSheetId="1">'Guarantor Serviceability'!#REF!</definedName>
    <definedName name="BridgingCalc" localSheetId="8">'[2]Serviceability Worksheet'!#REF!</definedName>
    <definedName name="BridgingCalc">'Serviceability Worksheet'!#REF!</definedName>
    <definedName name="Bus1_App1Distr" localSheetId="2">'Self Employed Calculator'!$D$32</definedName>
    <definedName name="Bus1_App1Distr">#REF!</definedName>
    <definedName name="Bus1_App2Distr" localSheetId="2">'Self Employed Calculator'!$F$32</definedName>
    <definedName name="Bus1_App2Distr">#REF!</definedName>
    <definedName name="Bus1_App3Distr" localSheetId="2">'Self Employed Calculator'!$H$32</definedName>
    <definedName name="Bus1_App3Distr">#REF!</definedName>
    <definedName name="Bus1_App4Distr" localSheetId="2">'Self Employed Calculator'!$J$32</definedName>
    <definedName name="Bus1_App4Distr">#REF!</definedName>
    <definedName name="Bus1App1Inc" localSheetId="2">'Self Employed Calculator'!$D$34</definedName>
    <definedName name="Bus1App1Inc">#REF!</definedName>
    <definedName name="Bus1App2Inc" localSheetId="2">'Self Employed Calculator'!$F$34</definedName>
    <definedName name="Bus1App2Inc">#REF!</definedName>
    <definedName name="Bus1App3Inc" localSheetId="2">'Self Employed Calculator'!$H$34</definedName>
    <definedName name="Bus1App3Inc">#REF!</definedName>
    <definedName name="Bus1App4Inc" localSheetId="2">'Self Employed Calculator'!$J$34</definedName>
    <definedName name="Bus1App4Inc">#REF!</definedName>
    <definedName name="Bus2_App1Distr" localSheetId="2">'Self Employed Calculator'!$D$64</definedName>
    <definedName name="Bus2_App1Distr">#REF!</definedName>
    <definedName name="Bus2_App2Distr" localSheetId="2">'Self Employed Calculator'!$F$64</definedName>
    <definedName name="Bus2_App2Distr">#REF!</definedName>
    <definedName name="Bus2_App3Distr" localSheetId="2">'Self Employed Calculator'!$H$64</definedName>
    <definedName name="Bus2_App3Distr">#REF!</definedName>
    <definedName name="Bus2_App4Distr" localSheetId="2">'Self Employed Calculator'!$J$64</definedName>
    <definedName name="Bus2_App4Distr">#REF!</definedName>
    <definedName name="Bus2App1Inc" localSheetId="2">'Self Employed Calculator'!$D$66</definedName>
    <definedName name="Bus2App1Inc">#REF!</definedName>
    <definedName name="Bus2App2Inc" localSheetId="2">'Self Employed Calculator'!$F$66</definedName>
    <definedName name="Bus2App2Inc">#REF!</definedName>
    <definedName name="Bus2App3Inc" localSheetId="2">'Self Employed Calculator'!$H$66</definedName>
    <definedName name="Bus2App3Inc">#REF!</definedName>
    <definedName name="Bus2App4Inc" localSheetId="2">'Self Employed Calculator'!$J$66</definedName>
    <definedName name="Bus2App4Inc">#REF!</definedName>
    <definedName name="Bwr_name">'Pledge Calculator'!$C$8</definedName>
    <definedName name="Bwr_rate" localSheetId="1">'Guarantor Serviceability'!$G$17</definedName>
    <definedName name="Bwr_rate">'Serviceability Worksheet'!$E$36</definedName>
    <definedName name="Bwr_SecAddress">'Pledge Calculator'!$C$12</definedName>
    <definedName name="BwrLVR_NoPledge" localSheetId="5">'Pledge Calculator'!$C$24</definedName>
    <definedName name="BwrLVR_NoPledge">#REF!</definedName>
    <definedName name="BwrLVR_Pledge">'Pledge Calculator'!$C$28</definedName>
    <definedName name="CalcType_DD_CellLink">References!$I$4</definedName>
    <definedName name="CC_proposed" localSheetId="1">'Guarantor Serviceability'!$C$162</definedName>
    <definedName name="CC_proposed">'Serviceability Worksheet'!$C$225</definedName>
    <definedName name="CCTotal" localSheetId="1">'Guarantor Serviceability'!$C$161:$C$162</definedName>
    <definedName name="CCTotal">'Serviceability Worksheet'!$C$224:$C$225</definedName>
    <definedName name="ConsMAXLoan" localSheetId="8">'[2]Notes and Guidelines'!#REF!</definedName>
    <definedName name="ConsMAXLoan">'Notes and Guidelines'!#REF!</definedName>
    <definedName name="Contribution" localSheetId="1">'Guarantor Serviceability'!#REF!</definedName>
    <definedName name="Contribution" localSheetId="8">'[2]Serviceability Worksheet'!#REF!</definedName>
    <definedName name="Contribution">'Serviceability Worksheet'!#REF!</definedName>
    <definedName name="Couple_Other_1">'Serviceability Worksheet'!$C$13</definedName>
    <definedName name="Couple_Other_2">'Serviceability Worksheet'!$E$13</definedName>
    <definedName name="Couple_Other_3">'Serviceability Worksheet'!$G$13</definedName>
    <definedName name="Couple_Other_4">'Serviceability Worksheet'!$I$13</definedName>
    <definedName name="Couple_Single_1">'Serviceability Worksheet'!$C$11</definedName>
    <definedName name="Couple_Single_2">'Serviceability Worksheet'!$E$11</definedName>
    <definedName name="Couple_Single_3">'Serviceability Worksheet'!$G$11</definedName>
    <definedName name="Couple_Single_4">'Serviceability Worksheet'!$I$11</definedName>
    <definedName name="Credit_card" localSheetId="1">'Guarantor Serviceability'!$C$161</definedName>
    <definedName name="Credit_card">'Serviceability Worksheet'!$C$224</definedName>
    <definedName name="DateRange">'Pledge Calculator'!$O$9</definedName>
    <definedName name="Deduction1" localSheetId="1">'Guarantor Serviceability'!$C$179</definedName>
    <definedName name="Deduction1" localSheetId="5">'Pledge Calculator'!#REF!</definedName>
    <definedName name="Deduction1">'Serviceability Worksheet'!$C$243</definedName>
    <definedName name="Deduction2" localSheetId="1">'Guarantor Serviceability'!$E$179</definedName>
    <definedName name="Deduction2" localSheetId="5">'Pledge Calculator'!#REF!</definedName>
    <definedName name="Deduction2">'Serviceability Worksheet'!$E$243</definedName>
    <definedName name="Deduction3" localSheetId="1">'Guarantor Serviceability'!$G$179</definedName>
    <definedName name="Deduction3" localSheetId="5">'Pledge Calculator'!#REF!</definedName>
    <definedName name="Deduction3">'Serviceability Worksheet'!$G$243</definedName>
    <definedName name="Deduction4" localSheetId="1">'Guarantor Serviceability'!$I$179</definedName>
    <definedName name="Deduction4" localSheetId="5">'Pledge Calculator'!#REF!</definedName>
    <definedName name="Deduction4">'Serviceability Worksheet'!$I$243</definedName>
    <definedName name="Default_Loan_Assess_Term_Months">References!$C$24</definedName>
    <definedName name="DSR_Rows">'Serviceability Worksheet'!$261:$262</definedName>
    <definedName name="DTI">'Serviceability Worksheet'!$N$387</definedName>
    <definedName name="Fees_LMI" localSheetId="1">'Guarantor Serviceability'!#REF!</definedName>
    <definedName name="Fees_LMI" localSheetId="8">'[2]Serviceability Worksheet'!#REF!</definedName>
    <definedName name="Fees_LMI">'Serviceability Worksheet'!#REF!</definedName>
    <definedName name="Final_Loan">'Serviceability Worksheet'!$G$56</definedName>
    <definedName name="FinalLVR">'Serviceability Worksheet'!$K$56</definedName>
    <definedName name="Fix_buffer">References!$H$11</definedName>
    <definedName name="Fixed_period" localSheetId="1">'Guarantor Serviceability'!$K$21</definedName>
    <definedName name="Fixed_period">'Serviceability Worksheet'!$K$74</definedName>
    <definedName name="Fixed_Y_N" localSheetId="1">'Guarantor Serviceability'!$G$21</definedName>
    <definedName name="Fixed_Y_N">'Serviceability Worksheet'!$G$74</definedName>
    <definedName name="FundsRetained" localSheetId="1">'Guarantor Serviceability'!#REF!</definedName>
    <definedName name="FundsRetained" localSheetId="8">'[2]Serviceability Worksheet'!#REF!</definedName>
    <definedName name="FundsRetained">'Serviceability Worksheet'!#REF!</definedName>
    <definedName name="G_Margin_Mac_Debt">'Guarantor Serviceability'!$R$300</definedName>
    <definedName name="G_Margin_PI_Term">'Guarantor Serviceability'!$E$159</definedName>
    <definedName name="G_Margin_Rate">'Guarantor Serviceability'!$G$159</definedName>
    <definedName name="G_Mortgage_1_Mac_Debt">'Guarantor Serviceability'!$R$292</definedName>
    <definedName name="G_Mortgage_1_PI_Term">'Guarantor Serviceability'!$E$143</definedName>
    <definedName name="G_Mortgage_1_Rate">'Guarantor Serviceability'!$G$143</definedName>
    <definedName name="G_Mortgage_2_Mac_Debt">'Guarantor Serviceability'!$R$293</definedName>
    <definedName name="G_Mortgage_2_PI_Term">'Guarantor Serviceability'!$E$145</definedName>
    <definedName name="G_Mortgage_2_Rate">'Guarantor Serviceability'!$G$145</definedName>
    <definedName name="G_Mortgage_3_Mac_Debt">'Guarantor Serviceability'!$R$294</definedName>
    <definedName name="G_Mortgage_3_PI_Term">'Guarantor Serviceability'!$E$147</definedName>
    <definedName name="G_Mortgage_3_Rate">'Guarantor Serviceability'!$G$147</definedName>
    <definedName name="G_Mortgage_4_Mac_Debt">'Guarantor Serviceability'!$R$295</definedName>
    <definedName name="G_Mortgage_4_PI_Term">'Guarantor Serviceability'!$E$149</definedName>
    <definedName name="G_Mortgage_4_Rate">'Guarantor Serviceability'!$G$149</definedName>
    <definedName name="G_Mortgage_HIRE_PI_Term">'Guarantor Serviceability'!$E$153</definedName>
    <definedName name="G_Mortgage_HIRE_Rate">'Guarantor Serviceability'!$G$153</definedName>
    <definedName name="G_Mortgage_LEASE_PI_Term">'Guarantor Serviceability'!$E$155</definedName>
    <definedName name="G_Mortgage_LEASE_Rate">'Guarantor Serviceability'!$G$155</definedName>
    <definedName name="G_Mortgage_PERSONAL_PI_Term">'Guarantor Serviceability'!$E$151</definedName>
    <definedName name="G_Mortgage_PERSONAL_Rate">'Guarantor Serviceability'!$G$151</definedName>
    <definedName name="G_NGB_other1">#REF!</definedName>
    <definedName name="G_NGB_other2">#REF!</definedName>
    <definedName name="G_NGB_other3">#REF!</definedName>
    <definedName name="G_NGB_other4">#REF!</definedName>
    <definedName name="G_NGB1">#REF!</definedName>
    <definedName name="G_NGB2">#REF!</definedName>
    <definedName name="G_NGB3">#REF!</definedName>
    <definedName name="G_NGB4">#REF!</definedName>
    <definedName name="G_Other_Debt_Mac_Debt">'Guarantor Serviceability'!$R$299</definedName>
    <definedName name="G_Other_Debt_PI_Term">'Guarantor Serviceability'!$E$157</definedName>
    <definedName name="G_Other_Debt_Rate">'Guarantor Serviceability'!$G$157</definedName>
    <definedName name="GBenchmarkHEMValue">'Guarantor Serviceability'!$K$34</definedName>
    <definedName name="GDeclaredTotalLivingExpense">'Guarantor Serviceability'!$K$173</definedName>
    <definedName name="GIPE_Other1">'Guarantor Serviceability'!$C$135</definedName>
    <definedName name="GIPE_Other2">'Guarantor Serviceability'!$E$135</definedName>
    <definedName name="GIPE_Other3">'Guarantor Serviceability'!$G$135</definedName>
    <definedName name="GIPE_Other4">'Guarantor Serviceability'!$I$135</definedName>
    <definedName name="GIPE_Security1">'Guarantor Serviceability'!$C$134</definedName>
    <definedName name="GIPE_Security2">'Guarantor Serviceability'!$E$134</definedName>
    <definedName name="GIPE_Security3">'Guarantor Serviceability'!$G$134</definedName>
    <definedName name="GIPE_Security4">'Guarantor Serviceability'!$I$134</definedName>
    <definedName name="GRentalInc1">#REF!</definedName>
    <definedName name="GRentalInc2">#REF!</definedName>
    <definedName name="GRentalInc3">#REF!</definedName>
    <definedName name="GRentalInc4">#REF!</definedName>
    <definedName name="GRentalIncOth1">#REF!</definedName>
    <definedName name="GRentalIncOth2">#REF!</definedName>
    <definedName name="GRentalIncOth3">#REF!</definedName>
    <definedName name="GRentalIncOth4">#REF!</definedName>
    <definedName name="Gross_Profit" localSheetId="3">'EIV Income Calculator'!$D$19</definedName>
    <definedName name="Gross_Profit">#REF!</definedName>
    <definedName name="GrossIncome_preHC">'Serviceability Worksheet'!$N$384</definedName>
    <definedName name="GSURPLUS">'Guarantor Serviceability'!$K$193</definedName>
    <definedName name="Gtr_name">'Pledge Calculator'!$C$16</definedName>
    <definedName name="Gtr_PledgeLVR">'Pledge Calculator'!$J$24</definedName>
    <definedName name="Gtr_RefiAmt">'Pledge Calculator'!$C$18</definedName>
    <definedName name="Gtr_SecAddress">'Pledge Calculator'!$C$20</definedName>
    <definedName name="Gtr_SecValue">'Pledge Calculator'!$K$18</definedName>
    <definedName name="Gtr1_S_E">#REF!</definedName>
    <definedName name="Gtr2_S_E">#REF!</definedName>
    <definedName name="Gtr3_S_E">#REF!</definedName>
    <definedName name="Gtr4_S_E">#REF!</definedName>
    <definedName name="GtrMatchList1">References!$O$12:$O$15</definedName>
    <definedName name="GtrMatchList2">References!$R$12:$R$15</definedName>
    <definedName name="GtrMatchList3">References!$U$12:$U$15</definedName>
    <definedName name="GtrMatchList4">References!$X$12:$X$15</definedName>
    <definedName name="Hire_Limit" localSheetId="1">'Guarantor Serviceability'!$C$153</definedName>
    <definedName name="Hire_Limit">'Serviceability Worksheet'!$C$211</definedName>
    <definedName name="Hire_Repay" localSheetId="1">'Guarantor Serviceability'!$I$153</definedName>
    <definedName name="Hire_Repay">'Serviceability Worksheet'!$I$211</definedName>
    <definedName name="Inc_Tier">References!$C$39</definedName>
    <definedName name="Interest_Rate" localSheetId="5">'Pledge Calculator'!#REF!</definedName>
    <definedName name="Inv_loan" localSheetId="1">'Guarantor Serviceability'!$G$15</definedName>
    <definedName name="Inv_loan">'Serviceability Worksheet'!$K$23</definedName>
    <definedName name="InvestorCap">'Loan Workings'!$D$18</definedName>
    <definedName name="IO_DropdownList">References!$J$34:$J$39</definedName>
    <definedName name="IO_Loan_Amt">'Serviceability Worksheet'!$C$23</definedName>
    <definedName name="IO_Loan_Term">'Serviceability Worksheet'!$E$23</definedName>
    <definedName name="IO_Period" localSheetId="1">'Guarantor Serviceability'!$G$140</definedName>
    <definedName name="IO_Period">'Serviceability Worksheet'!$G$23</definedName>
    <definedName name="IOCap">'Loan Workings'!$D$16</definedName>
    <definedName name="IPE_Other1">'Serviceability Worksheet'!$C$193</definedName>
    <definedName name="IPE_Other2">'Serviceability Worksheet'!$E$193</definedName>
    <definedName name="IPE_Other3">'Serviceability Worksheet'!$G$193</definedName>
    <definedName name="IPE_Other4">'Serviceability Worksheet'!$I$193</definedName>
    <definedName name="IPE_Security1">'Serviceability Worksheet'!$C$192</definedName>
    <definedName name="IPE_Security2">'Serviceability Worksheet'!$E$192</definedName>
    <definedName name="IPE_Security3">'Serviceability Worksheet'!$G$192</definedName>
    <definedName name="IPE_Security4">'Serviceability Worksheet'!$I$192</definedName>
    <definedName name="Joint1" localSheetId="1">'Guarantor Serviceability'!#REF!</definedName>
    <definedName name="Joint1" localSheetId="8">'[2]Serviceability Worksheet'!#REF!</definedName>
    <definedName name="Joint1">'Serviceability Worksheet'!#REF!</definedName>
    <definedName name="Joint2" localSheetId="1">'Guarantor Serviceability'!#REF!</definedName>
    <definedName name="Joint2" localSheetId="8">'[2]Serviceability Worksheet'!#REF!</definedName>
    <definedName name="Joint2">'Serviceability Worksheet'!#REF!</definedName>
    <definedName name="Joint3" localSheetId="1">'Guarantor Serviceability'!#REF!</definedName>
    <definedName name="Joint3" localSheetId="8">'[2]Serviceability Worksheet'!#REF!</definedName>
    <definedName name="Joint3">'Serviceability Worksheet'!#REF!</definedName>
    <definedName name="Joint4" localSheetId="1">'Guarantor Serviceability'!#REF!</definedName>
    <definedName name="Joint4" localSheetId="8">'[2]Serviceability Worksheet'!#REF!</definedName>
    <definedName name="Joint4">'Serviceability Worksheet'!#REF!</definedName>
    <definedName name="Land_P" localSheetId="1">'Guarantor Serviceability'!#REF!</definedName>
    <definedName name="Land_P" localSheetId="8">'[2]Serviceability Worksheet'!#REF!</definedName>
    <definedName name="Land_P">'Serviceability Worksheet'!#REF!</definedName>
    <definedName name="LargeLoan_PC1">'Serviceability Worksheet'!$E$61</definedName>
    <definedName name="LargeLoan_PC2">'Serviceability Worksheet'!$E$62</definedName>
    <definedName name="LargeLoan_PC3">'Serviceability Worksheet'!$E$63</definedName>
    <definedName name="LargeLoan_PC4">'Serviceability Worksheet'!$E$64</definedName>
    <definedName name="LargeLoan_PC5">'Serviceability Worksheet'!$E$65</definedName>
    <definedName name="LargeLoan_PC6">'Serviceability Worksheet'!$E$66</definedName>
    <definedName name="LargeLoan_SecVal1">'Serviceability Worksheet'!$C$61</definedName>
    <definedName name="LargeLoan_SecVal2">'Serviceability Worksheet'!$C$62</definedName>
    <definedName name="LargeLoan_SecVal3">'Serviceability Worksheet'!$C$63</definedName>
    <definedName name="LargeLoan_SecVal4">'Serviceability Worksheet'!$C$64</definedName>
    <definedName name="LargeLoan_SecVal5">'Serviceability Worksheet'!$C$65</definedName>
    <definedName name="LargeLoan_SecVal6">'Serviceability Worksheet'!$C$66</definedName>
    <definedName name="LargeLoanRows">'Serviceability Worksheet'!$58:$71</definedName>
    <definedName name="LDFValue">'Serviceability Worksheet'!$K$54</definedName>
    <definedName name="LE_Basic" localSheetId="1">'Guarantor Serviceability'!$C$169</definedName>
    <definedName name="LE_Basic">'Serviceability Worksheet'!$C$232</definedName>
    <definedName name="LE_Couple">References!$C$33</definedName>
    <definedName name="LE_Couple_Child">References!$C$34</definedName>
    <definedName name="LE_Other" localSheetId="1">'Guarantor Serviceability'!$C$171</definedName>
    <definedName name="LE_Other">'Serviceability Worksheet'!$C$235</definedName>
    <definedName name="LE_Single">References!$C$36</definedName>
    <definedName name="LE_Single_Child">References!$C$37</definedName>
    <definedName name="Lease_Limit" localSheetId="1">'Guarantor Serviceability'!$C$155</definedName>
    <definedName name="Lease_Limit">'Serviceability Worksheet'!$C$213</definedName>
    <definedName name="Lease_Repay" localSheetId="1">'Guarantor Serviceability'!$I$155</definedName>
    <definedName name="Lease_Repay">'Serviceability Worksheet'!$I$213</definedName>
    <definedName name="LgeLoan_Sec1">'Serviceability Worksheet'!$58:$61</definedName>
    <definedName name="LgeLoan_Sec2">'Serviceability Worksheet'!$62:$62</definedName>
    <definedName name="LgeLoan_Sec3">'Serviceability Worksheet'!$63:$63</definedName>
    <definedName name="LgeLoan_Sec4">'Serviceability Worksheet'!$64:$64</definedName>
    <definedName name="LgeLoan_Sec5">'Serviceability Worksheet'!$65:$65</definedName>
    <definedName name="LgeLoan_Sec6">'Serviceability Worksheet'!$66:$66</definedName>
    <definedName name="LgeLoan_Totals">'Serviceability Worksheet'!$67:$71</definedName>
    <definedName name="List_default">'LMI Rates'!$A$87</definedName>
    <definedName name="LMI_purpose">'Serviceability Worksheet'!$G$54</definedName>
    <definedName name="LMI_selfEmployed">'Serviceability Worksheet'!$C$56</definedName>
    <definedName name="LMIcap_dropdownList">'LMI Rates'!$A$87:$A$89</definedName>
    <definedName name="LMIcap_dropdownList2">'LMI Rates'!$B$87:$B$89</definedName>
    <definedName name="LMIcap_flag">'Serviceability Worksheet'!$C$50</definedName>
    <definedName name="LMIcap_row">'Serviceability Worksheet'!$48:$48</definedName>
    <definedName name="LMIpremium_rows">'Serviceability Worksheet'!$52:$57</definedName>
    <definedName name="Loan_amount">'Pledge Calculator'!$C$10</definedName>
    <definedName name="Loan_int_rate" localSheetId="1">'Guarantor Serviceability'!#REF!</definedName>
    <definedName name="Loan_int_rate" localSheetId="8">'[2]Serviceability Worksheet'!#REF!</definedName>
    <definedName name="Loan_int_rate">'Serviceability Worksheet'!#REF!</definedName>
    <definedName name="Loan_term">'Serviceability Worksheet'!$C$198</definedName>
    <definedName name="Loanamt" localSheetId="1">'Guarantor Serviceability'!$K$15</definedName>
    <definedName name="Loanamt">'Serviceability Worksheet'!$C$36</definedName>
    <definedName name="loanAMTarea" localSheetId="1">'Guarantor Serviceability'!#REF!</definedName>
    <definedName name="loanAMTarea" localSheetId="8">'[2]Serviceability Worksheet'!#REF!</definedName>
    <definedName name="loanAMTarea">'Serviceability Worksheet'!#REF!</definedName>
    <definedName name="LoanComments" localSheetId="1">'Guarantor Serviceability'!#REF!</definedName>
    <definedName name="LoanComments">'Serviceability Worksheet'!$D$198</definedName>
    <definedName name="loantype" localSheetId="1">'Guarantor Serviceability'!#REF!</definedName>
    <definedName name="loantype" localSheetId="8">'[2]Serviceability Worksheet'!#REF!</definedName>
    <definedName name="loantype">'Serviceability Worksheet'!#REF!</definedName>
    <definedName name="loantypelist" localSheetId="1">'Guarantor Serviceability'!#REF!</definedName>
    <definedName name="loantypelist" localSheetId="8">'[2]Serviceability Worksheet'!#REF!</definedName>
    <definedName name="loantypelist">'Serviceability Worksheet'!#REF!</definedName>
    <definedName name="LoanTypeRow1" localSheetId="1">'Guarantor Serviceability'!$3:$3</definedName>
    <definedName name="LoanTypeRow1">'Serviceability Worksheet'!$3:$3</definedName>
    <definedName name="LoanTypeRow2" localSheetId="3">'[1]Serviceability Worksheet'!#REF!</definedName>
    <definedName name="LoanTypeRow2" localSheetId="1">'Guarantor Serviceability'!#REF!</definedName>
    <definedName name="LoanTypeRow2" localSheetId="8">'[2]Serviceability Worksheet'!#REF!</definedName>
    <definedName name="LoanTypeRow2" localSheetId="5">'[1]Serviceability Worksheet'!#REF!</definedName>
    <definedName name="LoanTypeRow2" localSheetId="2">'[3]Serviceability Worksheet'!#REF!</definedName>
    <definedName name="LoanTypeRow2">'Serviceability Worksheet'!#REF!</definedName>
    <definedName name="LodocMaxLoan" localSheetId="8">'[2]Notes and Guidelines'!#REF!</definedName>
    <definedName name="LodocMaxLoan">'Notes and Guidelines'!#REF!</definedName>
    <definedName name="lodocMaxLVR" localSheetId="8">'[2]Notes and Guidelines'!#REF!</definedName>
    <definedName name="lodocMaxLVR">'Notes and Guidelines'!#REF!</definedName>
    <definedName name="LTI">'Serviceability Worksheet'!$N$385</definedName>
    <definedName name="LVR" localSheetId="1">'Guarantor Serviceability'!$K$19</definedName>
    <definedName name="LVR">'Serviceability Worksheet'!$K$50</definedName>
    <definedName name="Margin_Limit" localSheetId="1">'Guarantor Serviceability'!$C$159</definedName>
    <definedName name="Margin_Limit">'Serviceability Worksheet'!$C$217</definedName>
    <definedName name="Margin_Mac_Debt">'Serviceability Worksheet'!$AH$364</definedName>
    <definedName name="Margin_PI_Term">'Serviceability Worksheet'!$E$217</definedName>
    <definedName name="Margin_Rate">'Serviceability Worksheet'!$G$217</definedName>
    <definedName name="Margin_Repay" localSheetId="1">'Guarantor Serviceability'!$I$159</definedName>
    <definedName name="Margin_Repay">'Serviceability Worksheet'!$I$217</definedName>
    <definedName name="MaxBwrLVR" localSheetId="5">'Pledge Calculator'!$D$40</definedName>
    <definedName name="MaxBwrLVR">#REF!</definedName>
    <definedName name="MaxLoan10mMsg">'Loan Workings'!$D$51</definedName>
    <definedName name="MaxLoanAmt">'Loan Workings'!$Q$46</definedName>
    <definedName name="MaxLoanAmtMsg">'Loan Workings'!$D$52</definedName>
    <definedName name="maxLVR" localSheetId="3">'[1]Notes and Guidelines'!#REF!</definedName>
    <definedName name="maxLVR" localSheetId="8">'[2]Notes and Guidelines'!#REF!</definedName>
    <definedName name="maxLVR" localSheetId="5">'[1]Notes and Guidelines'!#REF!</definedName>
    <definedName name="maxLVR" localSheetId="2">'[3]Notes and Guidelines'!#REF!</definedName>
    <definedName name="maxLVR">'Notes and Guidelines'!#REF!</definedName>
    <definedName name="MaxTotalLoan">'Loan Workings'!$G$15</definedName>
    <definedName name="Medicare">References!$C$22</definedName>
    <definedName name="MinBwrLVR">'Pledge Calculator'!$C$46</definedName>
    <definedName name="MinNSR">'Notes and Guidelines'!$F$41</definedName>
    <definedName name="MinNSRLD" localSheetId="8">'[2]Notes and Guidelines'!#REF!</definedName>
    <definedName name="MinNSRLD">'Notes and Guidelines'!#REF!</definedName>
    <definedName name="MinNSROptions" localSheetId="8">'[2]Notes and Guidelines'!#REF!</definedName>
    <definedName name="MinNSROptions">'Notes and Guidelines'!#REF!</definedName>
    <definedName name="minNSRoptionsOver90" localSheetId="8">'[2]Notes and Guidelines'!#REF!</definedName>
    <definedName name="minNSRoptionsOver90">'Notes and Guidelines'!#REF!</definedName>
    <definedName name="MinSurplus" localSheetId="3">'[1]Notes and Guidelines'!#REF!</definedName>
    <definedName name="MinSurplus" localSheetId="8">'[2]Notes and Guidelines'!#REF!</definedName>
    <definedName name="MinSurplus" localSheetId="5">'[1]Notes and Guidelines'!#REF!</definedName>
    <definedName name="MinSurplus" localSheetId="2">'[3]Notes and Guidelines'!#REF!</definedName>
    <definedName name="MinSurplus">'Notes and Guidelines'!#REF!</definedName>
    <definedName name="minVar_rate">References!$H$9</definedName>
    <definedName name="Mortgage_1_Limit" localSheetId="1">'Guarantor Serviceability'!$C$143</definedName>
    <definedName name="Mortgage_1_Limit">'Serviceability Worksheet'!$C$201</definedName>
    <definedName name="Mortgage_1_Mac_Debt">'Serviceability Worksheet'!$AH$356</definedName>
    <definedName name="Mortgage_1_PI_Term">'Serviceability Worksheet'!$E$201</definedName>
    <definedName name="Mortgage_1_Rate">'Serviceability Worksheet'!$G$201</definedName>
    <definedName name="Mortgage_1_Repay" localSheetId="1">'Guarantor Serviceability'!$I$143</definedName>
    <definedName name="Mortgage_1_Repay">'Serviceability Worksheet'!$I$201</definedName>
    <definedName name="Mortgage_2_Limit" localSheetId="1">'Guarantor Serviceability'!$C$145</definedName>
    <definedName name="Mortgage_2_Limit">'Serviceability Worksheet'!$C$203</definedName>
    <definedName name="Mortgage_2_Mac_Debt">'Serviceability Worksheet'!$AH$357</definedName>
    <definedName name="Mortgage_2_PI_Term">'Serviceability Worksheet'!$E$203</definedName>
    <definedName name="Mortgage_2_Rate">'Serviceability Worksheet'!$G$203</definedName>
    <definedName name="Mortgage_2_Repay" localSheetId="1">'Guarantor Serviceability'!$I$145</definedName>
    <definedName name="Mortgage_2_Repay">'Serviceability Worksheet'!$I$203</definedName>
    <definedName name="Mortgage_3_Limit" localSheetId="1">'Guarantor Serviceability'!$C$147</definedName>
    <definedName name="Mortgage_3_Limit">'Serviceability Worksheet'!$C$205</definedName>
    <definedName name="Mortgage_3_Mac_Debt">'Serviceability Worksheet'!$AH$358</definedName>
    <definedName name="Mortgage_3_PI_Term">'Serviceability Worksheet'!$E$205</definedName>
    <definedName name="Mortgage_3_Rate">'Serviceability Worksheet'!$G$205</definedName>
    <definedName name="Mortgage_3_Repay" localSheetId="1">'Guarantor Serviceability'!$I$147</definedName>
    <definedName name="Mortgage_3_Repay">'Serviceability Worksheet'!$I$205</definedName>
    <definedName name="Mortgage_4_Limit" localSheetId="1">'Guarantor Serviceability'!$C$149</definedName>
    <definedName name="Mortgage_4_Limit">'Serviceability Worksheet'!$C$207</definedName>
    <definedName name="Mortgage_4_Mac_Debt">'Serviceability Worksheet'!$AH$359</definedName>
    <definedName name="Mortgage_4_PI_Term">'Serviceability Worksheet'!$E$207</definedName>
    <definedName name="Mortgage_4_Rate">'Serviceability Worksheet'!$G$207</definedName>
    <definedName name="Mortgage_4_Repay" localSheetId="1">'Guarantor Serviceability'!$I$149</definedName>
    <definedName name="Mortgage_4_Repay">'Serviceability Worksheet'!$I$207</definedName>
    <definedName name="Mortgage_HIRE_PI_Term">'Serviceability Worksheet'!$E$211</definedName>
    <definedName name="Mortgage_HIRE_Rate">'Serviceability Worksheet'!$G$211</definedName>
    <definedName name="Mortgage_LEASE_PI_Term">'Serviceability Worksheet'!$E$213</definedName>
    <definedName name="Mortgage_LEASE_Rate">'Serviceability Worksheet'!$G$213</definedName>
    <definedName name="Mortgage_PERSONAL_PI_Term">'Serviceability Worksheet'!$E$209</definedName>
    <definedName name="Mortgage_PERSONAL_Rate">'Serviceability Worksheet'!$G$209</definedName>
    <definedName name="MultiCap">'Loan Workings'!$D$17</definedName>
    <definedName name="new_product" localSheetId="1">'Guarantor Serviceability'!#REF!</definedName>
    <definedName name="new_product" localSheetId="8">'[2]Serviceability Worksheet'!#REF!</definedName>
    <definedName name="new_product">'Serviceability Worksheet'!#REF!</definedName>
    <definedName name="NewPptyDet" localSheetId="3">'[1]Serviceability Worksheet'!#REF!</definedName>
    <definedName name="NewPptyDet" localSheetId="1">'Guarantor Serviceability'!#REF!</definedName>
    <definedName name="NewPptyDet" localSheetId="8">'[2]Serviceability Worksheet'!#REF!</definedName>
    <definedName name="NewPptyDet" localSheetId="5">'[1]Serviceability Worksheet'!#REF!</definedName>
    <definedName name="NewPptyDet" localSheetId="2">'[3]Serviceability Worksheet'!#REF!</definedName>
    <definedName name="NewPptyDet">'Serviceability Worksheet'!#REF!</definedName>
    <definedName name="NGB_other1" localSheetId="1">'Guarantor Serviceability'!$C$130</definedName>
    <definedName name="NGB_other1">'Serviceability Worksheet'!$C$188</definedName>
    <definedName name="NGB_other2" localSheetId="1">'Guarantor Serviceability'!$E$130</definedName>
    <definedName name="NGB_other2">'Serviceability Worksheet'!$E$188</definedName>
    <definedName name="NGB_other3" localSheetId="1">'Guarantor Serviceability'!$G$130</definedName>
    <definedName name="NGB_other3">'Serviceability Worksheet'!$G$188</definedName>
    <definedName name="NGB_other4" localSheetId="1">'Guarantor Serviceability'!$I$130</definedName>
    <definedName name="NGB_other4">'Serviceability Worksheet'!$I$188</definedName>
    <definedName name="No_Child" localSheetId="1">'Guarantor Serviceability'!$P$13</definedName>
    <definedName name="No_Child">'Serviceability Worksheet'!$P$15</definedName>
    <definedName name="No_couples" localSheetId="1">'Guarantor Serviceability'!$P$11</definedName>
    <definedName name="No_couples">'Serviceability Worksheet'!$P$11</definedName>
    <definedName name="No_Dependants_1">'Serviceability Worksheet'!$C$15</definedName>
    <definedName name="No_Dependants_2">'Serviceability Worksheet'!$E$15</definedName>
    <definedName name="No_Dependants_3">'Serviceability Worksheet'!$G$15</definedName>
    <definedName name="No_Dependants_4">'Serviceability Worksheet'!$I$15</definedName>
    <definedName name="no_ofadults" localSheetId="1">'Guarantor Serviceability'!#REF!</definedName>
    <definedName name="no_ofadults" localSheetId="8">'[2]Serviceability Worksheet'!#REF!</definedName>
    <definedName name="no_ofadults">'Serviceability Worksheet'!#REF!</definedName>
    <definedName name="no_ofchild1" localSheetId="1">'Guarantor Serviceability'!$C$13</definedName>
    <definedName name="no_ofchild1">'Serviceability Worksheet'!$C$80</definedName>
    <definedName name="no_ofchild2" localSheetId="1">'Guarantor Serviceability'!$E$13</definedName>
    <definedName name="no_ofchild2">'Serviceability Worksheet'!$E$80</definedName>
    <definedName name="no_ofchild3" localSheetId="1">'Guarantor Serviceability'!$G$13</definedName>
    <definedName name="no_ofchild3">'Serviceability Worksheet'!$G$80</definedName>
    <definedName name="no_ofchild4" localSheetId="1">'Guarantor Serviceability'!$I$13</definedName>
    <definedName name="no_ofchild4">'Serviceability Worksheet'!$I$80</definedName>
    <definedName name="no_ofcouples" localSheetId="1">'Guarantor Serviceability'!#REF!</definedName>
    <definedName name="no_ofcouples" localSheetId="8">'[2]Serviceability Worksheet'!#REF!</definedName>
    <definedName name="no_ofcouples">'Serviceability Worksheet'!#REF!</definedName>
    <definedName name="No_Singles" localSheetId="1">'Guarantor Serviceability'!$P$12</definedName>
    <definedName name="No_Singles">'Serviceability Worksheet'!$P$13</definedName>
    <definedName name="NonRec_Inc" localSheetId="3">'EIV Income Calculator'!$D$26</definedName>
    <definedName name="NonRec_Inc">#REF!</definedName>
    <definedName name="NonRec_Inc_Text" localSheetId="3">'EIV Income Calculator'!$F$26</definedName>
    <definedName name="NonRec_Inc_Text">#REF!</definedName>
    <definedName name="NonRecIncCur" localSheetId="2">'Self Employed Calculator'!$D$11</definedName>
    <definedName name="NonRecIncCur">#REF!</definedName>
    <definedName name="NonRecIncCur2" localSheetId="2">'Self Employed Calculator'!$D$43</definedName>
    <definedName name="NonRecIncCur2">#REF!</definedName>
    <definedName name="NonRecIncCur3" localSheetId="3">'[1]Self Employed Calculator'!#REF!</definedName>
    <definedName name="NonRecIncCur3" localSheetId="5">'[1]Self Employed Calculator'!#REF!</definedName>
    <definedName name="NonRecIncCur3" localSheetId="2">'Self Employed Calculator'!#REF!</definedName>
    <definedName name="NonRecIncCur3">#REF!</definedName>
    <definedName name="NonRecIncCur4" localSheetId="3">'[1]Self Employed Calculator'!#REF!</definedName>
    <definedName name="NonRecIncCur4" localSheetId="5">'[1]Self Employed Calculator'!#REF!</definedName>
    <definedName name="NonRecIncCur4" localSheetId="2">'Self Employed Calculator'!#REF!</definedName>
    <definedName name="NonRecIncCur4">#REF!</definedName>
    <definedName name="NonRecIncPrev" localSheetId="2">'Self Employed Calculator'!$F$11</definedName>
    <definedName name="NonRecIncPrev">#REF!</definedName>
    <definedName name="NonRecIncPrev2" localSheetId="2">'Self Employed Calculator'!$F$43</definedName>
    <definedName name="NonRecIncPrev2">#REF!</definedName>
    <definedName name="NonRecIncPrev3" localSheetId="3">'[1]Self Employed Calculator'!#REF!</definedName>
    <definedName name="NonRecIncPrev3" localSheetId="5">'[1]Self Employed Calculator'!#REF!</definedName>
    <definedName name="NonRecIncPrev3" localSheetId="2">'Self Employed Calculator'!#REF!</definedName>
    <definedName name="NonRecIncPrev3">#REF!</definedName>
    <definedName name="NonRecIncPrev4" localSheetId="3">'[1]Self Employed Calculator'!#REF!</definedName>
    <definedName name="NonRecIncPrev4" localSheetId="5">'[1]Self Employed Calculator'!#REF!</definedName>
    <definedName name="NonRecIncPrev4" localSheetId="2">'Self Employed Calculator'!#REF!</definedName>
    <definedName name="NonRecIncPrev4">#REF!</definedName>
    <definedName name="NonTaxInc1" localSheetId="1">'Guarantor Serviceability'!$C$117</definedName>
    <definedName name="NonTaxInc1">'Serviceability Worksheet'!$C$175</definedName>
    <definedName name="NonTaxInc2" localSheetId="1">'Guarantor Serviceability'!$E$117</definedName>
    <definedName name="NonTaxInc2">'Serviceability Worksheet'!$E$175</definedName>
    <definedName name="NonTaxInc3" localSheetId="1">'Guarantor Serviceability'!$G$117</definedName>
    <definedName name="NonTaxInc3">'Serviceability Worksheet'!$G$175</definedName>
    <definedName name="NonTaxInc4" localSheetId="1">'Guarantor Serviceability'!$I$117</definedName>
    <definedName name="NonTaxInc4">'Serviceability Worksheet'!$I$175</definedName>
    <definedName name="NSR" localSheetId="1">'Guarantor Serviceability'!$K$195</definedName>
    <definedName name="NSR">'Serviceability Worksheet'!$K$260</definedName>
    <definedName name="NSR_Req">References!$B$11</definedName>
    <definedName name="NSRTest1">References!$B$5</definedName>
    <definedName name="NSRTest2">References!$B$6</definedName>
    <definedName name="NSRTest3">References!$B$7</definedName>
    <definedName name="NSRTest4">References!$B$8</definedName>
    <definedName name="number_sec">References!$K$23:$K$28</definedName>
    <definedName name="OptionsNonlodocMAXlvr" localSheetId="8">'[2]Notes and Guidelines'!#REF!</definedName>
    <definedName name="OptionsNonlodocMAXlvr">'Notes and Guidelines'!#REF!</definedName>
    <definedName name="Other_Debt_Limit" localSheetId="1">'Guarantor Serviceability'!$C$157</definedName>
    <definedName name="Other_Debt_Limit">'Serviceability Worksheet'!$C$215</definedName>
    <definedName name="Other_Debt_Mac_Debt">'Serviceability Worksheet'!$AH$363</definedName>
    <definedName name="Other_Debt_PI_Term">'Serviceability Worksheet'!$E$215</definedName>
    <definedName name="Other_Debt_Rate">'Serviceability Worksheet'!$G$215</definedName>
    <definedName name="Other_Debt_Repay" localSheetId="1">'Guarantor Serviceability'!$I$157</definedName>
    <definedName name="Other_Debt_Repay">'Serviceability Worksheet'!$I$215</definedName>
    <definedName name="Other_Property" localSheetId="1">'Guarantor Serviceability'!$K$124</definedName>
    <definedName name="Other_Property" localSheetId="5">'Pledge Calculator'!#REF!</definedName>
    <definedName name="Other_Property">'Serviceability Worksheet'!$K$182</definedName>
    <definedName name="OtherComments" localSheetId="1">'Guarantor Serviceability'!$D$143</definedName>
    <definedName name="OtherComments">'Serviceability Worksheet'!$D$201</definedName>
    <definedName name="OtherFundDet" localSheetId="3">'[1]Serviceability Worksheet'!#REF!</definedName>
    <definedName name="OtherFundDet" localSheetId="1">'Guarantor Serviceability'!#REF!</definedName>
    <definedName name="OtherFundDet" localSheetId="8">'[2]Serviceability Worksheet'!#REF!</definedName>
    <definedName name="OtherFundDet" localSheetId="5">'[1]Serviceability Worksheet'!#REF!</definedName>
    <definedName name="OtherFundDet" localSheetId="2">'[3]Serviceability Worksheet'!#REF!</definedName>
    <definedName name="OtherFundDet">'Serviceability Worksheet'!#REF!</definedName>
    <definedName name="OtherFunds" localSheetId="1">'Guarantor Serviceability'!#REF!</definedName>
    <definedName name="OtherFunds" localSheetId="8">'[2]Serviceability Worksheet'!#REF!</definedName>
    <definedName name="OtherFunds">'Serviceability Worksheet'!#REF!</definedName>
    <definedName name="OtherIncome1" localSheetId="1">'Guarantor Serviceability'!$C$116</definedName>
    <definedName name="OtherIncome1">'Serviceability Worksheet'!$C$174</definedName>
    <definedName name="OtherIncome2" localSheetId="1">'Guarantor Serviceability'!$E$116</definedName>
    <definedName name="OtherIncome2">'Serviceability Worksheet'!$E$174</definedName>
    <definedName name="OtherIncome3" localSheetId="1">'Guarantor Serviceability'!$G$116</definedName>
    <definedName name="OtherIncome3">'Serviceability Worksheet'!$G$174</definedName>
    <definedName name="OtherIncome4" localSheetId="1">'Guarantor Serviceability'!$I$116</definedName>
    <definedName name="OtherIncome4">'Serviceability Worksheet'!$I$174</definedName>
    <definedName name="OtherMortAmt" localSheetId="1">'Guarantor Serviceability'!$K$143</definedName>
    <definedName name="OtherMortAmt">'Serviceability Worksheet'!$K$201</definedName>
    <definedName name="Over90NSR">'Notes and Guidelines'!$J$39</definedName>
    <definedName name="overriderate" localSheetId="1">'Guarantor Serviceability'!#REF!</definedName>
    <definedName name="overriderate" localSheetId="8">'[2]Serviceability Worksheet'!#REF!</definedName>
    <definedName name="overriderate">'Serviceability Worksheet'!#REF!</definedName>
    <definedName name="Overtime1" localSheetId="1">'Guarantor Serviceability'!$C$114</definedName>
    <definedName name="Overtime1">'Serviceability Worksheet'!$C$172</definedName>
    <definedName name="Overtime2" localSheetId="1">'Guarantor Serviceability'!$E$114</definedName>
    <definedName name="Overtime2">'Serviceability Worksheet'!$E$172</definedName>
    <definedName name="Overtime3" localSheetId="1">'Guarantor Serviceability'!$G$114</definedName>
    <definedName name="Overtime3">'Serviceability Worksheet'!$G$172</definedName>
    <definedName name="Overtime4" localSheetId="1">'Guarantor Serviceability'!$I$114</definedName>
    <definedName name="Overtime4">'Serviceability Worksheet'!$I$172</definedName>
    <definedName name="PersLoanAmt" localSheetId="1">'Guarantor Serviceability'!$K$145</definedName>
    <definedName name="PersLoanAmt">'Serviceability Worksheet'!$K$203</definedName>
    <definedName name="PersLoanDet" localSheetId="1">'Guarantor Serviceability'!$D$145</definedName>
    <definedName name="PersLoanDet">'Serviceability Worksheet'!$D$203</definedName>
    <definedName name="Personal_Limit" localSheetId="1">'Guarantor Serviceability'!$C$151</definedName>
    <definedName name="Personal_Limit">'Serviceability Worksheet'!$C$209</definedName>
    <definedName name="Personal_Repay" localSheetId="1">'Guarantor Serviceability'!$I$151</definedName>
    <definedName name="Personal_Repay">'Serviceability Worksheet'!$I$209</definedName>
    <definedName name="PI_Loan_Amount">'Serviceability Worksheet'!#REF!</definedName>
    <definedName name="PI_Loan_Term">'Serviceability Worksheet'!#REF!</definedName>
    <definedName name="Pledge">'Pledge Calculator'!$C$31</definedName>
    <definedName name="PledgeResult">'Pledge Calculator'!$C$34</definedName>
    <definedName name="PostCode1">'Serviceability Worksheet'!$E$40</definedName>
    <definedName name="PostCode2">'Serviceability Worksheet'!$E$41</definedName>
    <definedName name="PostCode3">'Serviceability Worksheet'!$E$42</definedName>
    <definedName name="PostCode4">'Serviceability Worksheet'!$E$43</definedName>
    <definedName name="PostCode5">'Serviceability Worksheet'!$E$44</definedName>
    <definedName name="PostCode6">'Serviceability Worksheet'!$E$45</definedName>
    <definedName name="PostcodeWarningMessage">'Serviceability Worksheet'!$G$50</definedName>
    <definedName name="Ppty_dets1" localSheetId="1">'Guarantor Serviceability'!#REF!</definedName>
    <definedName name="Ppty_dets1" localSheetId="8">'[2]Serviceability Worksheet'!#REF!</definedName>
    <definedName name="Ppty_dets1">'Serviceability Worksheet'!#REF!</definedName>
    <definedName name="Ppty_dets2" localSheetId="1">'Guarantor Serviceability'!#REF!</definedName>
    <definedName name="Ppty_dets2" localSheetId="8">'[2]Serviceability Worksheet'!#REF!</definedName>
    <definedName name="Ppty_dets2">'Serviceability Worksheet'!#REF!</definedName>
    <definedName name="PptySoldDet" localSheetId="3">'[1]Serviceability Worksheet'!#REF!</definedName>
    <definedName name="PptySoldDet" localSheetId="1">'Guarantor Serviceability'!#REF!</definedName>
    <definedName name="PptySoldDet" localSheetId="8">'[2]Serviceability Worksheet'!#REF!</definedName>
    <definedName name="PptySoldDet" localSheetId="5">'[1]Serviceability Worksheet'!#REF!</definedName>
    <definedName name="PptySoldDet" localSheetId="2">'[3]Serviceability Worksheet'!#REF!</definedName>
    <definedName name="PptySoldDet">'Serviceability Worksheet'!#REF!</definedName>
    <definedName name="_xlnm.Print_Area" localSheetId="3">'EIV Income Calculator'!$B$2:$L$52</definedName>
    <definedName name="_xlnm.Print_Area" localSheetId="1">'Guarantor Serviceability'!$B$2:$L$202</definedName>
    <definedName name="_xlnm.Print_Area" localSheetId="4">'Notes and Guidelines'!$B$2:$L$74</definedName>
    <definedName name="_xlnm.Print_Area" localSheetId="5">'Pledge Calculator'!$B$2:$L$35</definedName>
    <definedName name="_xlnm.Print_Area" localSheetId="2">'Self Employed Calculator'!$B$2:$L$73</definedName>
    <definedName name="_xlnm.Print_Area" localSheetId="0">'Serviceability Worksheet'!$B$2:$L$272</definedName>
    <definedName name="product" localSheetId="1">'Guarantor Serviceability'!#REF!</definedName>
    <definedName name="product">'Serviceability Worksheet'!$C$275</definedName>
    <definedName name="Product_list">References!$F$3:$F$5</definedName>
    <definedName name="Product_list_cellLink" localSheetId="1">'Guarantor Serviceability'!$F$2</definedName>
    <definedName name="ProfitCur" localSheetId="2">'Self Employed Calculator'!$D$10</definedName>
    <definedName name="ProfitCur">#REF!</definedName>
    <definedName name="ProfitCur2" localSheetId="2">'Self Employed Calculator'!$D$42</definedName>
    <definedName name="ProfitCur2">#REF!</definedName>
    <definedName name="ProfitCur3" localSheetId="3">'[1]Self Employed Calculator'!#REF!</definedName>
    <definedName name="ProfitCur3" localSheetId="5">'[1]Self Employed Calculator'!#REF!</definedName>
    <definedName name="ProfitCur3" localSheetId="2">'Self Employed Calculator'!#REF!</definedName>
    <definedName name="ProfitCur3">#REF!</definedName>
    <definedName name="ProfitCur4" localSheetId="3">'[1]Self Employed Calculator'!#REF!</definedName>
    <definedName name="ProfitCur4" localSheetId="5">'[1]Self Employed Calculator'!#REF!</definedName>
    <definedName name="ProfitCur4" localSheetId="2">'Self Employed Calculator'!#REF!</definedName>
    <definedName name="ProfitCur4">#REF!</definedName>
    <definedName name="ProfitPrev" localSheetId="2">'Self Employed Calculator'!$F$10</definedName>
    <definedName name="ProfitPrev">#REF!</definedName>
    <definedName name="ProfitPrev2" localSheetId="2">'Self Employed Calculator'!$F$42</definedName>
    <definedName name="ProfitPrev2">#REF!</definedName>
    <definedName name="ProfitPrev3" localSheetId="3">'[1]Self Employed Calculator'!#REF!</definedName>
    <definedName name="ProfitPrev3" localSheetId="5">'[1]Self Employed Calculator'!#REF!</definedName>
    <definedName name="ProfitPrev3" localSheetId="2">'Self Employed Calculator'!#REF!</definedName>
    <definedName name="ProfitPrev3">#REF!</definedName>
    <definedName name="ProfitPrev4" localSheetId="3">'[1]Self Employed Calculator'!#REF!</definedName>
    <definedName name="ProfitPrev4" localSheetId="5">'[1]Self Employed Calculator'!#REF!</definedName>
    <definedName name="ProfitPrev4" localSheetId="2">'Self Employed Calculator'!#REF!</definedName>
    <definedName name="ProfitPrev4">#REF!</definedName>
    <definedName name="Purch_Price">'Pledge Calculator'!$G$10</definedName>
    <definedName name="PurchasePrice" localSheetId="1">'Guarantor Serviceability'!#REF!</definedName>
    <definedName name="PurchasePrice" localSheetId="8">'[2]Serviceability Worksheet'!#REF!</definedName>
    <definedName name="PurchasePrice">'Serviceability Worksheet'!#REF!</definedName>
    <definedName name="Rel_to_Bwr">'Pledge Calculator'!$K$16</definedName>
    <definedName name="Rel_to_Gtr">'Pledge Calculator'!$K$8</definedName>
    <definedName name="Rental1" localSheetId="3">'[1]Serviceability Worksheet'!#REF!</definedName>
    <definedName name="Rental1" localSheetId="1">'Guarantor Serviceability'!#REF!</definedName>
    <definedName name="Rental1" localSheetId="8">'[2]Serviceability Worksheet'!#REF!</definedName>
    <definedName name="Rental1" localSheetId="5">'Pledge Calculator'!#REF!</definedName>
    <definedName name="Rental1" localSheetId="2">'[1]Serviceability Worksheet'!#REF!</definedName>
    <definedName name="Rental1">'Serviceability Worksheet'!#REF!</definedName>
    <definedName name="Rental2" localSheetId="3">'[1]Serviceability Worksheet'!#REF!</definedName>
    <definedName name="Rental2" localSheetId="1">'Guarantor Serviceability'!#REF!</definedName>
    <definedName name="Rental2" localSheetId="8">'[2]Serviceability Worksheet'!#REF!</definedName>
    <definedName name="Rental2" localSheetId="5">'Pledge Calculator'!#REF!</definedName>
    <definedName name="Rental2" localSheetId="2">'[1]Serviceability Worksheet'!#REF!</definedName>
    <definedName name="Rental2">'Serviceability Worksheet'!#REF!</definedName>
    <definedName name="Rental3" localSheetId="3">'[1]Serviceability Worksheet'!#REF!</definedName>
    <definedName name="Rental3" localSheetId="1">'Guarantor Serviceability'!#REF!</definedName>
    <definedName name="Rental3" localSheetId="8">'[2]Serviceability Worksheet'!#REF!</definedName>
    <definedName name="Rental3" localSheetId="5">'Pledge Calculator'!#REF!</definedName>
    <definedName name="Rental3" localSheetId="2">'[1]Serviceability Worksheet'!#REF!</definedName>
    <definedName name="Rental3">'Serviceability Worksheet'!#REF!</definedName>
    <definedName name="Rental4" localSheetId="3">'[1]Serviceability Worksheet'!#REF!</definedName>
    <definedName name="Rental4" localSheetId="1">'Guarantor Serviceability'!#REF!</definedName>
    <definedName name="Rental4" localSheetId="8">'[2]Serviceability Worksheet'!#REF!</definedName>
    <definedName name="Rental4" localSheetId="5">'Pledge Calculator'!#REF!</definedName>
    <definedName name="Rental4" localSheetId="2">'[1]Serviceability Worksheet'!#REF!</definedName>
    <definedName name="Rental4">'Serviceability Worksheet'!#REF!</definedName>
    <definedName name="RentalInc1" localSheetId="1">'Guarantor Serviceability'!$C$123</definedName>
    <definedName name="RentalInc1">'Serviceability Worksheet'!$C$181</definedName>
    <definedName name="RentalInc2" localSheetId="1">'Guarantor Serviceability'!$E$123</definedName>
    <definedName name="RentalInc2">'Serviceability Worksheet'!$E$181</definedName>
    <definedName name="RentalInc3" localSheetId="1">'Guarantor Serviceability'!$G$123</definedName>
    <definedName name="RentalInc3">'Serviceability Worksheet'!$G$181</definedName>
    <definedName name="RentalInc4" localSheetId="1">'Guarantor Serviceability'!$I$123</definedName>
    <definedName name="RentalInc4">'Serviceability Worksheet'!$I$181</definedName>
    <definedName name="RentalIncOth1" localSheetId="1">'Guarantor Serviceability'!$C$124</definedName>
    <definedName name="RentalIncOth1">'Serviceability Worksheet'!$C$182</definedName>
    <definedName name="RentalIncOth2" localSheetId="1">'Guarantor Serviceability'!$E$124</definedName>
    <definedName name="RentalIncOth2">'Serviceability Worksheet'!$E$182</definedName>
    <definedName name="RentalIncOth3" localSheetId="1">'Guarantor Serviceability'!$G$124</definedName>
    <definedName name="RentalIncOth3">'Serviceability Worksheet'!$G$182</definedName>
    <definedName name="RentalIncOth4" localSheetId="1">'Guarantor Serviceability'!$I$124</definedName>
    <definedName name="RentalIncOth4">'Serviceability Worksheet'!$I$182</definedName>
    <definedName name="RentAmt" localSheetId="1">'Guarantor Serviceability'!$K$163</definedName>
    <definedName name="RentAmt">'Serviceability Worksheet'!$K$226</definedName>
    <definedName name="RestrictedCap">'Loan Workings'!$D$15</definedName>
    <definedName name="Row_Account_1">'Serviceability Worksheet'!$B$23:$L$23</definedName>
    <definedName name="Row_Account_2">'Serviceability Worksheet'!$B$25:$K$25</definedName>
    <definedName name="Row_Account_3">'Serviceability Worksheet'!$B$27:$K$27</definedName>
    <definedName name="Row_Account_4">'Serviceability Worksheet'!$B$29:$K$29</definedName>
    <definedName name="Row_Account_5">'Serviceability Worksheet'!$B$31:$K$31</definedName>
    <definedName name="Row_Account_6">'Serviceability Worksheet'!$B$33:$K$33</definedName>
    <definedName name="SaleCost" localSheetId="1">'Guarantor Serviceability'!#REF!</definedName>
    <definedName name="SaleCost" localSheetId="8">'[2]Serviceability Worksheet'!#REF!</definedName>
    <definedName name="SaleCost">'Serviceability Worksheet'!#REF!</definedName>
    <definedName name="SE1netAv" localSheetId="2">'Self Employed Calculator'!$F$26</definedName>
    <definedName name="SE1netAv">#REF!</definedName>
    <definedName name="SE1netAvAdj" localSheetId="2">'Self Employed Calculator'!$F$28</definedName>
    <definedName name="SE1netAvAdj">#REF!</definedName>
    <definedName name="SE1Test" localSheetId="2">'Self Employed Calculator'!$M$24</definedName>
    <definedName name="SE1Test">#REF!</definedName>
    <definedName name="SE2netAv" localSheetId="2">'Self Employed Calculator'!$F$58</definedName>
    <definedName name="SE2netAv">#REF!</definedName>
    <definedName name="SE2netAvAdj" localSheetId="2">'Self Employed Calculator'!$F$60</definedName>
    <definedName name="SE2netAvAdj">#REF!</definedName>
    <definedName name="SE2Test" localSheetId="2">'Self Employed Calculator'!$M$56</definedName>
    <definedName name="SE2Test">#REF!</definedName>
    <definedName name="SE3netAv" localSheetId="3">'[1]Self Employed Calculator'!#REF!</definedName>
    <definedName name="SE3netAv" localSheetId="5">'[1]Self Employed Calculator'!#REF!</definedName>
    <definedName name="SE3netAv" localSheetId="2">'Self Employed Calculator'!#REF!</definedName>
    <definedName name="SE3netAv">#REF!</definedName>
    <definedName name="SE3netAvAdj" localSheetId="3">'[1]Self Employed Calculator'!#REF!</definedName>
    <definedName name="SE3netAvAdj" localSheetId="5">'[1]Self Employed Calculator'!#REF!</definedName>
    <definedName name="SE3netAvAdj" localSheetId="2">'Self Employed Calculator'!#REF!</definedName>
    <definedName name="SE3netAvAdj">#REF!</definedName>
    <definedName name="SE3Test" localSheetId="3">'[1]Self Employed Calculator'!#REF!</definedName>
    <definedName name="SE3Test" localSheetId="5">'[1]Self Employed Calculator'!#REF!</definedName>
    <definedName name="SE3Test" localSheetId="2">'Self Employed Calculator'!#REF!</definedName>
    <definedName name="SE3Test">#REF!</definedName>
    <definedName name="SE4netAv" localSheetId="3">'[1]Self Employed Calculator'!#REF!</definedName>
    <definedName name="SE4netAv" localSheetId="5">'[1]Self Employed Calculator'!#REF!</definedName>
    <definedName name="SE4netAv" localSheetId="2">'Self Employed Calculator'!#REF!</definedName>
    <definedName name="SE4netAv">#REF!</definedName>
    <definedName name="SE4netAvAdj" localSheetId="3">'[1]Self Employed Calculator'!#REF!</definedName>
    <definedName name="SE4netAvAdj" localSheetId="5">'[1]Self Employed Calculator'!#REF!</definedName>
    <definedName name="SE4netAvAdj" localSheetId="2">'Self Employed Calculator'!#REF!</definedName>
    <definedName name="SE4netAvAdj">#REF!</definedName>
    <definedName name="SE4Test" localSheetId="3">'[1]Self Employed Calculator'!#REF!</definedName>
    <definedName name="SE4Test" localSheetId="5">'[1]Self Employed Calculator'!#REF!</definedName>
    <definedName name="SE4Test" localSheetId="2">'Self Employed Calculator'!#REF!</definedName>
    <definedName name="SE4Test">#REF!</definedName>
    <definedName name="Sec_no_linkcell">'Serviceability Worksheet'!$K$72</definedName>
    <definedName name="Sec_no_linkcell2">'Serviceability Worksheet'!$K$46</definedName>
    <definedName name="Sec_StateList">'LMI Rates'!$A$29:$A$37</definedName>
    <definedName name="Sec2_row">'Serviceability Worksheet'!$41:$41</definedName>
    <definedName name="Sec3_row">'Serviceability Worksheet'!$42:$42</definedName>
    <definedName name="Sec4_row">'Serviceability Worksheet'!$43:$43</definedName>
    <definedName name="Sec5_row">'Serviceability Worksheet'!$44:$44</definedName>
    <definedName name="Sec6_row">'Serviceability Worksheet'!$45:$45</definedName>
    <definedName name="SecCount">'Loan Workings'!$D$47</definedName>
    <definedName name="SecInv1">'Serviceability Worksheet'!$G$40</definedName>
    <definedName name="SecInv2">'Serviceability Worksheet'!$G$41</definedName>
    <definedName name="SecInv3">'Serviceability Worksheet'!$G$42</definedName>
    <definedName name="SecInv4">'Serviceability Worksheet'!$G$43</definedName>
    <definedName name="SecInv5">'Serviceability Worksheet'!$G$44</definedName>
    <definedName name="SecInv6">'Serviceability Worksheet'!$G$45</definedName>
    <definedName name="SecLVRrows" localSheetId="1">'Guarantor Serviceability'!#REF!</definedName>
    <definedName name="SecLVRrows" localSheetId="8">'[2]Serviceability Worksheet'!#REF!</definedName>
    <definedName name="SecLVRrows">'Serviceability Worksheet'!#REF!</definedName>
    <definedName name="SecRow" localSheetId="1">'Guarantor Serviceability'!#REF!</definedName>
    <definedName name="SecRow" localSheetId="8">'[2]Serviceability Worksheet'!#REF!</definedName>
    <definedName name="SecRow">'Serviceability Worksheet'!#REF!</definedName>
    <definedName name="SecState1">'LMI Rates'!$G$29</definedName>
    <definedName name="SecState2">'LMI Rates'!$G$30</definedName>
    <definedName name="SecState3">'LMI Rates'!$G$31</definedName>
    <definedName name="SecState4">'LMI Rates'!$G$32</definedName>
    <definedName name="SecState5">'LMI Rates'!$G$33</definedName>
    <definedName name="SecState6">'LMI Rates'!$G$34</definedName>
    <definedName name="Security_Property" localSheetId="1">'Guarantor Serviceability'!$K$123</definedName>
    <definedName name="Security_Property" localSheetId="5">'Pledge Calculator'!#REF!</definedName>
    <definedName name="Security_Property">'Serviceability Worksheet'!$K$181</definedName>
    <definedName name="Security_values">'Serviceability Worksheet'!$C$40:$C$45</definedName>
    <definedName name="Security1HighDensity">'Serviceability Worksheet'!$U$173</definedName>
    <definedName name="Security1Restricted">'Serviceability Worksheet'!$S$173</definedName>
    <definedName name="Security2HighDensity">'Serviceability Worksheet'!$U$174</definedName>
    <definedName name="Security2Restricted">'Serviceability Worksheet'!$S$174</definedName>
    <definedName name="Security3HighDensity">'Serviceability Worksheet'!$U$175</definedName>
    <definedName name="Security3Restricted">'Serviceability Worksheet'!$S$175</definedName>
    <definedName name="Security4HighDensity">'Serviceability Worksheet'!$U$176</definedName>
    <definedName name="Security4Restricted">'Serviceability Worksheet'!$S$176</definedName>
    <definedName name="Security5HighDensity">'Serviceability Worksheet'!$U$177</definedName>
    <definedName name="Security5Restricted">'Serviceability Worksheet'!$S$177</definedName>
    <definedName name="Security6HighDensity">'Serviceability Worksheet'!$U$178</definedName>
    <definedName name="Security6Restricted">'Serviceability Worksheet'!$S$178</definedName>
    <definedName name="SecVal1">'Serviceability Worksheet'!$C$40</definedName>
    <definedName name="SecVal2">'Serviceability Worksheet'!$C$41</definedName>
    <definedName name="SecVal3">'Serviceability Worksheet'!$C$42</definedName>
    <definedName name="SecVal4">'Serviceability Worksheet'!$C$43</definedName>
    <definedName name="SecVal5">'Serviceability Worksheet'!$C$44</definedName>
    <definedName name="SecVal6">'Serviceability Worksheet'!$C$45</definedName>
    <definedName name="SecValue" localSheetId="1">'Guarantor Serviceability'!$K$17</definedName>
    <definedName name="SecValue">'Serviceability Worksheet'!$C$48</definedName>
    <definedName name="SelfEmployedIncomeForPrint">'Serviceability Worksheet'!$K$176</definedName>
    <definedName name="SellValue" localSheetId="1">'Guarantor Serviceability'!#REF!</definedName>
    <definedName name="SellValue" localSheetId="8">'[2]Serviceability Worksheet'!#REF!</definedName>
    <definedName name="SellValue">'Serviceability Worksheet'!#REF!</definedName>
    <definedName name="Standard_Sec2to5rows">'Serviceability Worksheet'!$41:$45</definedName>
    <definedName name="Standard_securityRows">'Serviceability Worksheet'!$38:$51</definedName>
    <definedName name="Standard_TotalSecRow">'Serviceability Worksheet'!$47:$51</definedName>
    <definedName name="StandardMAXloan">'Notes and Guidelines'!$D$23</definedName>
    <definedName name="StandardMAXlvr">'Notes and Guidelines'!$F$25</definedName>
    <definedName name="StandardSec_Row1">'Serviceability Worksheet'!$38:$40</definedName>
    <definedName name="Status1" localSheetId="1">'Guarantor Serviceability'!$C$11</definedName>
    <definedName name="Status1">'Serviceability Worksheet'!$C$78</definedName>
    <definedName name="Status2" localSheetId="1">'Guarantor Serviceability'!$E$11</definedName>
    <definedName name="Status2">'Serviceability Worksheet'!$E$78</definedName>
    <definedName name="Status3" localSheetId="1">'Guarantor Serviceability'!$G$11</definedName>
    <definedName name="Status3">'Serviceability Worksheet'!$G$78</definedName>
    <definedName name="Status4" localSheetId="1">'Guarantor Serviceability'!$I$11</definedName>
    <definedName name="Status4">'Serviceability Worksheet'!$I$78</definedName>
    <definedName name="SURPLUS">'Serviceability Worksheet'!$K$258</definedName>
    <definedName name="TaxYearCur" localSheetId="2">'Self Employed Calculator'!$D$8</definedName>
    <definedName name="TaxYearCur">#REF!</definedName>
    <definedName name="TaxYearCur2" localSheetId="2">'Self Employed Calculator'!$D$40</definedName>
    <definedName name="TaxYearCur2">#REF!</definedName>
    <definedName name="TaxYearCur3" localSheetId="3">'[1]Self Employed Calculator'!#REF!</definedName>
    <definedName name="TaxYearCur3" localSheetId="5">'[1]Self Employed Calculator'!#REF!</definedName>
    <definedName name="TaxYearCur3" localSheetId="2">'Self Employed Calculator'!#REF!</definedName>
    <definedName name="TaxYearCur3">#REF!</definedName>
    <definedName name="TaxYearCur4" localSheetId="3">'[1]Self Employed Calculator'!#REF!</definedName>
    <definedName name="TaxYearCur4" localSheetId="5">'[1]Self Employed Calculator'!#REF!</definedName>
    <definedName name="TaxYearCur4" localSheetId="2">'Self Employed Calculator'!#REF!</definedName>
    <definedName name="TaxYearCur4">#REF!</definedName>
    <definedName name="TaxYearPrev" localSheetId="2">'Self Employed Calculator'!$F$8</definedName>
    <definedName name="TaxYearPrev">#REF!</definedName>
    <definedName name="TaxYearPrev2" localSheetId="2">'Self Employed Calculator'!$F$40</definedName>
    <definedName name="TaxYearPrev2">#REF!</definedName>
    <definedName name="TaxYearPrev3" localSheetId="3">'[1]Self Employed Calculator'!#REF!</definedName>
    <definedName name="TaxYearPrev3" localSheetId="5">'[1]Self Employed Calculator'!#REF!</definedName>
    <definedName name="TaxYearPrev3" localSheetId="2">'Self Employed Calculator'!#REF!</definedName>
    <definedName name="TaxYearPrev3">#REF!</definedName>
    <definedName name="TaxYearPrev4" localSheetId="3">'[1]Self Employed Calculator'!#REF!</definedName>
    <definedName name="TaxYearPrev4" localSheetId="5">'[1]Self Employed Calculator'!#REF!</definedName>
    <definedName name="TaxYearPrev4" localSheetId="2">'Self Employed Calculator'!#REF!</definedName>
    <definedName name="TaxYearPrev4">#REF!</definedName>
    <definedName name="Total_Exp" localSheetId="3">'EIV Income Calculator'!$D$21</definedName>
    <definedName name="Total_Exp">#REF!</definedName>
    <definedName name="Total_GtrLVR">'Pledge Calculator'!$J$28</definedName>
    <definedName name="Total_Income" localSheetId="1">'Guarantor Serviceability'!$K$120</definedName>
    <definedName name="Total_Income">'Serviceability Worksheet'!$K$178</definedName>
    <definedName name="Total_Rental" localSheetId="1">'Guarantor Serviceability'!$K$126</definedName>
    <definedName name="Total_Rental" localSheetId="5">'Pledge Calculator'!#REF!</definedName>
    <definedName name="Total_Rental">'Serviceability Worksheet'!$K$184</definedName>
    <definedName name="TotalDeclaredLivingExpense">'Serviceability Worksheet'!$K$237</definedName>
    <definedName name="TotalTaxAmt" localSheetId="3">'[1]Serviceability Worksheet'!#REF!</definedName>
    <definedName name="TotalTaxAmt" localSheetId="1">'Guarantor Serviceability'!#REF!</definedName>
    <definedName name="TotalTaxAmt" localSheetId="8">'[2]Serviceability Worksheet'!#REF!</definedName>
    <definedName name="TotalTaxAmt" localSheetId="5">'[1]Serviceability Worksheet'!#REF!</definedName>
    <definedName name="TotalTaxAmt" localSheetId="2">'[1]Serviceability Worksheet'!#REF!</definedName>
    <definedName name="TotalTaxAmt">'Serviceability Worksheet'!#REF!</definedName>
    <definedName name="TotRefiAmt" localSheetId="1">'Guarantor Serviceability'!#REF!</definedName>
    <definedName name="TotRefiAmt" localSheetId="8">'[2]Serviceability Worksheet'!#REF!</definedName>
    <definedName name="TotRefiAmt">'Serviceability Worksheet'!#REF!</definedName>
    <definedName name="Val_Amt">'Pledge Calculator'!$K$10</definedName>
    <definedName name="Var_buffer">References!$H$10</definedName>
    <definedName name="Version">'Serviceability Worksheet'!$I$4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48" i="6" l="1"/>
  <c r="C237" i="6" l="1"/>
  <c r="K237" i="6" s="1"/>
  <c r="AF365" i="6"/>
  <c r="AG365" i="6"/>
  <c r="K221" i="6" l="1"/>
  <c r="U178" i="6"/>
  <c r="U177" i="6"/>
  <c r="U176" i="6"/>
  <c r="U175" i="6"/>
  <c r="U174" i="6"/>
  <c r="U173" i="6"/>
  <c r="S178" i="6"/>
  <c r="S177" i="6"/>
  <c r="S176" i="6"/>
  <c r="S175" i="6"/>
  <c r="S174" i="6"/>
  <c r="S173" i="6"/>
  <c r="E45" i="21" l="1"/>
  <c r="I45" i="21" s="1"/>
  <c r="E44" i="21"/>
  <c r="I44" i="21" s="1"/>
  <c r="E43" i="21"/>
  <c r="G43" i="21" s="1"/>
  <c r="E42" i="21"/>
  <c r="G42" i="21" s="1"/>
  <c r="E41" i="21"/>
  <c r="G41" i="21" s="1"/>
  <c r="E40" i="21"/>
  <c r="G40" i="21" s="1"/>
  <c r="D45" i="21"/>
  <c r="D44" i="21"/>
  <c r="D43" i="21"/>
  <c r="D42" i="21"/>
  <c r="D41" i="21"/>
  <c r="D40" i="21"/>
  <c r="D47" i="21" l="1"/>
  <c r="I42" i="21"/>
  <c r="F42" i="21"/>
  <c r="F43" i="21"/>
  <c r="F44" i="21"/>
  <c r="G44" i="21"/>
  <c r="G45" i="21"/>
  <c r="G35" i="21" s="1"/>
  <c r="I43" i="21"/>
  <c r="F40" i="21"/>
  <c r="I40" i="21"/>
  <c r="F41" i="21"/>
  <c r="I41" i="21"/>
  <c r="F45" i="21"/>
  <c r="F33" i="21"/>
  <c r="D31" i="21"/>
  <c r="G31" i="21"/>
  <c r="F31" i="21"/>
  <c r="E31" i="21"/>
  <c r="G33" i="21"/>
  <c r="H33" i="21" s="1"/>
  <c r="H43" i="21" s="1"/>
  <c r="D33" i="21"/>
  <c r="E33" i="21"/>
  <c r="N384" i="6"/>
  <c r="AG364" i="6"/>
  <c r="AG363" i="6"/>
  <c r="AG362" i="6"/>
  <c r="AG361" i="6"/>
  <c r="AG360" i="6"/>
  <c r="AG359" i="6"/>
  <c r="AG358" i="6"/>
  <c r="AG357" i="6"/>
  <c r="AG356" i="6"/>
  <c r="G36" i="6"/>
  <c r="H35" i="6"/>
  <c r="C36" i="6"/>
  <c r="C281" i="6" s="1"/>
  <c r="K162" i="19"/>
  <c r="K161" i="19"/>
  <c r="K225" i="6"/>
  <c r="K224" i="6"/>
  <c r="H86" i="6"/>
  <c r="E27" i="19"/>
  <c r="C27" i="19"/>
  <c r="C182" i="19"/>
  <c r="E182" i="19"/>
  <c r="G182" i="19"/>
  <c r="I182" i="19"/>
  <c r="C178" i="6"/>
  <c r="C241" i="6" s="1"/>
  <c r="H85" i="6"/>
  <c r="F86" i="6"/>
  <c r="F85" i="6"/>
  <c r="D86" i="6"/>
  <c r="K135" i="19"/>
  <c r="K134" i="19"/>
  <c r="I283" i="6"/>
  <c r="G283" i="6"/>
  <c r="E283" i="6"/>
  <c r="C283" i="6"/>
  <c r="I246" i="6"/>
  <c r="G246" i="6"/>
  <c r="E246" i="6"/>
  <c r="C246" i="6"/>
  <c r="K212" i="19"/>
  <c r="K193" i="6"/>
  <c r="K192" i="6"/>
  <c r="I126" i="19"/>
  <c r="G126" i="19"/>
  <c r="E126" i="19"/>
  <c r="C126" i="19"/>
  <c r="I184" i="6"/>
  <c r="G184" i="6"/>
  <c r="E184" i="6"/>
  <c r="C184" i="6"/>
  <c r="I180" i="19"/>
  <c r="G180" i="19"/>
  <c r="E180" i="19"/>
  <c r="C180" i="19"/>
  <c r="O201" i="6"/>
  <c r="I198" i="6"/>
  <c r="E286" i="6" s="1"/>
  <c r="C279" i="6"/>
  <c r="E279" i="6"/>
  <c r="G279" i="6"/>
  <c r="I279" i="6"/>
  <c r="C282" i="6"/>
  <c r="E282" i="6"/>
  <c r="G282" i="6"/>
  <c r="I282" i="6"/>
  <c r="C80" i="6"/>
  <c r="E89" i="6" s="1"/>
  <c r="P13" i="19"/>
  <c r="P12" i="19"/>
  <c r="P11" i="19"/>
  <c r="K115" i="19"/>
  <c r="K114" i="19"/>
  <c r="I120" i="19"/>
  <c r="I23" i="19" s="1"/>
  <c r="G24" i="19"/>
  <c r="G120" i="19"/>
  <c r="G177" i="19" s="1"/>
  <c r="G206" i="19" s="1"/>
  <c r="I24" i="19"/>
  <c r="E120" i="19"/>
  <c r="E23" i="19" s="1"/>
  <c r="C120" i="19"/>
  <c r="C177" i="19" s="1"/>
  <c r="C206" i="19" s="1"/>
  <c r="K116" i="19"/>
  <c r="P300" i="19"/>
  <c r="P299" i="19"/>
  <c r="P298" i="19"/>
  <c r="P297" i="19"/>
  <c r="P296" i="19"/>
  <c r="P295" i="19"/>
  <c r="P294" i="19"/>
  <c r="I178" i="6"/>
  <c r="G178" i="6"/>
  <c r="G82" i="6" s="1"/>
  <c r="E178" i="6"/>
  <c r="E82" i="6" s="1"/>
  <c r="I79" i="6"/>
  <c r="I78" i="6"/>
  <c r="J79" i="6" s="1"/>
  <c r="G79" i="6"/>
  <c r="G78" i="6"/>
  <c r="E80" i="6"/>
  <c r="C89" i="6" s="1"/>
  <c r="E79" i="6"/>
  <c r="E78" i="6"/>
  <c r="F13" i="6" s="1"/>
  <c r="C79" i="6"/>
  <c r="C78" i="6"/>
  <c r="D79" i="6" s="1"/>
  <c r="I87" i="6"/>
  <c r="G87" i="6"/>
  <c r="E87" i="6"/>
  <c r="I80" i="6"/>
  <c r="G80" i="6"/>
  <c r="I89" i="6" s="1"/>
  <c r="G89" i="6"/>
  <c r="I88" i="6"/>
  <c r="G88" i="6"/>
  <c r="E88" i="6"/>
  <c r="C88" i="6"/>
  <c r="L18" i="6"/>
  <c r="V7" i="14"/>
  <c r="V6" i="14"/>
  <c r="V5" i="14"/>
  <c r="W7" i="14" s="1"/>
  <c r="S8" i="14"/>
  <c r="S6" i="14"/>
  <c r="S5" i="14"/>
  <c r="P8" i="14"/>
  <c r="P7" i="14"/>
  <c r="P5" i="14"/>
  <c r="M8" i="14"/>
  <c r="M7" i="14"/>
  <c r="M6" i="14"/>
  <c r="L16" i="6"/>
  <c r="L14" i="6"/>
  <c r="L10" i="6"/>
  <c r="K173" i="6"/>
  <c r="K172" i="6"/>
  <c r="AF364" i="6"/>
  <c r="AF363" i="6"/>
  <c r="AF362" i="6"/>
  <c r="AF361" i="6"/>
  <c r="AF360" i="6"/>
  <c r="AF359" i="6"/>
  <c r="AF358" i="6"/>
  <c r="P293" i="19"/>
  <c r="P292" i="19"/>
  <c r="AF357" i="6"/>
  <c r="AF356" i="6"/>
  <c r="N7" i="6"/>
  <c r="AH337" i="6"/>
  <c r="Y336" i="6"/>
  <c r="Y335" i="6"/>
  <c r="H30" i="22"/>
  <c r="G30" i="22" s="1"/>
  <c r="B77" i="22" s="1"/>
  <c r="H31" i="22"/>
  <c r="G31" i="22" s="1"/>
  <c r="B78" i="22" s="1"/>
  <c r="H32" i="22"/>
  <c r="G32" i="22" s="1"/>
  <c r="B79" i="22" s="1"/>
  <c r="H33" i="22"/>
  <c r="G33" i="22" s="1"/>
  <c r="B80" i="22" s="1"/>
  <c r="H34" i="22"/>
  <c r="G34" i="22" s="1"/>
  <c r="B81" i="22" s="1"/>
  <c r="H29" i="22"/>
  <c r="G29" i="22" s="1"/>
  <c r="B76" i="22" s="1"/>
  <c r="D76" i="22" s="1"/>
  <c r="D39" i="14"/>
  <c r="K187" i="6"/>
  <c r="L22" i="6" s="1"/>
  <c r="C81" i="22"/>
  <c r="C80" i="22"/>
  <c r="C79" i="22"/>
  <c r="A79" i="22"/>
  <c r="C78" i="22"/>
  <c r="A78" i="22"/>
  <c r="C77" i="22"/>
  <c r="C76" i="22"/>
  <c r="B28" i="22"/>
  <c r="A81" i="22"/>
  <c r="A80" i="22"/>
  <c r="A77" i="22"/>
  <c r="A76" i="22"/>
  <c r="C59" i="22"/>
  <c r="D59" i="22" s="1"/>
  <c r="C61" i="22"/>
  <c r="D61" i="22" s="1"/>
  <c r="B47" i="22"/>
  <c r="B48" i="22" s="1"/>
  <c r="C48" i="22" s="1"/>
  <c r="L8" i="6"/>
  <c r="AJ320" i="6"/>
  <c r="K181" i="6"/>
  <c r="L12" i="6" s="1"/>
  <c r="K171" i="6"/>
  <c r="K174" i="6"/>
  <c r="K175" i="6"/>
  <c r="K176" i="6"/>
  <c r="K182" i="6"/>
  <c r="P326" i="6"/>
  <c r="Q326" i="6"/>
  <c r="P327" i="6"/>
  <c r="Q327" i="6"/>
  <c r="P328" i="6"/>
  <c r="Q328" i="6"/>
  <c r="P329" i="6"/>
  <c r="Q329" i="6"/>
  <c r="Q330" i="6"/>
  <c r="C31" i="15"/>
  <c r="J24" i="15" s="1"/>
  <c r="J28" i="15" s="1"/>
  <c r="C68" i="6"/>
  <c r="P12" i="14"/>
  <c r="S12" i="14"/>
  <c r="V12" i="14"/>
  <c r="M13" i="14"/>
  <c r="S13" i="14"/>
  <c r="V13" i="14"/>
  <c r="M14" i="14"/>
  <c r="P14" i="14"/>
  <c r="Q12" i="14"/>
  <c r="V14" i="14"/>
  <c r="M15" i="14"/>
  <c r="P15" i="14"/>
  <c r="S15" i="14"/>
  <c r="G19" i="19"/>
  <c r="Q292" i="19" s="1"/>
  <c r="D33" i="14"/>
  <c r="G33" i="14"/>
  <c r="H33" i="14"/>
  <c r="D34" i="14"/>
  <c r="D36" i="14"/>
  <c r="D37" i="14"/>
  <c r="G54" i="14"/>
  <c r="G55" i="14" s="1"/>
  <c r="I62" i="6"/>
  <c r="K62" i="6" s="1"/>
  <c r="I63" i="6"/>
  <c r="K63" i="6" s="1"/>
  <c r="I65" i="6"/>
  <c r="K65" i="6" s="1"/>
  <c r="I66" i="6"/>
  <c r="K66" i="6" s="1"/>
  <c r="I64" i="6"/>
  <c r="K64" i="6" s="1"/>
  <c r="H4" i="15"/>
  <c r="C24" i="15"/>
  <c r="C46" i="15" s="1"/>
  <c r="K43" i="15" s="1"/>
  <c r="D29" i="15"/>
  <c r="K38" i="15"/>
  <c r="K40" i="15"/>
  <c r="K41" i="15"/>
  <c r="K42" i="15"/>
  <c r="J46" i="15"/>
  <c r="J49" i="15"/>
  <c r="H5" i="18"/>
  <c r="D13" i="18"/>
  <c r="D24" i="18"/>
  <c r="D28" i="18" s="1"/>
  <c r="D44" i="18"/>
  <c r="F45" i="18"/>
  <c r="D4" i="17"/>
  <c r="D13" i="17"/>
  <c r="D22" i="17" s="1"/>
  <c r="D24" i="17" s="1"/>
  <c r="F13" i="17"/>
  <c r="F22" i="17" s="1"/>
  <c r="K32" i="17"/>
  <c r="L32" i="17" s="1"/>
  <c r="M32" i="17"/>
  <c r="N32" i="17"/>
  <c r="O32" i="17"/>
  <c r="P32" i="17"/>
  <c r="D45" i="17"/>
  <c r="D54" i="17" s="1"/>
  <c r="F45" i="17"/>
  <c r="F54" i="17" s="1"/>
  <c r="F56" i="17" s="1"/>
  <c r="K64" i="17"/>
  <c r="L64" i="17"/>
  <c r="M64" i="17"/>
  <c r="N64" i="17"/>
  <c r="O64" i="17"/>
  <c r="P64" i="17"/>
  <c r="I5" i="19"/>
  <c r="K113" i="19"/>
  <c r="K117" i="19"/>
  <c r="K118" i="19"/>
  <c r="K17" i="19"/>
  <c r="K19" i="19" s="1"/>
  <c r="I19" i="19" s="1"/>
  <c r="D12" i="19"/>
  <c r="F12" i="19"/>
  <c r="H12" i="19"/>
  <c r="J12" i="19"/>
  <c r="E29" i="19"/>
  <c r="G29" i="19"/>
  <c r="I29" i="19"/>
  <c r="C30" i="19"/>
  <c r="E30" i="19"/>
  <c r="G30" i="19"/>
  <c r="G31" i="19"/>
  <c r="I30" i="19"/>
  <c r="I31" i="19"/>
  <c r="C31" i="19"/>
  <c r="E31" i="19"/>
  <c r="E37" i="19"/>
  <c r="C211" i="19"/>
  <c r="E211" i="19"/>
  <c r="G211" i="19"/>
  <c r="I211" i="19"/>
  <c r="C173" i="19"/>
  <c r="K173" i="19" s="1"/>
  <c r="C208" i="19"/>
  <c r="E208" i="19"/>
  <c r="G208" i="19"/>
  <c r="I208" i="19"/>
  <c r="P255" i="19"/>
  <c r="Q255" i="19"/>
  <c r="P256" i="19"/>
  <c r="Q256" i="19"/>
  <c r="P257" i="19"/>
  <c r="Q257" i="19"/>
  <c r="P258" i="19"/>
  <c r="Q258" i="19"/>
  <c r="Q259" i="19"/>
  <c r="E73" i="19"/>
  <c r="K123" i="19"/>
  <c r="K124" i="19"/>
  <c r="K129" i="19"/>
  <c r="K130" i="19"/>
  <c r="K169" i="19"/>
  <c r="K171" i="19"/>
  <c r="O249" i="19"/>
  <c r="Y249" i="19"/>
  <c r="O255" i="19"/>
  <c r="O256" i="19"/>
  <c r="O257" i="19"/>
  <c r="O258" i="19"/>
  <c r="O259" i="19"/>
  <c r="P259" i="19"/>
  <c r="E95" i="6"/>
  <c r="E131" i="6"/>
  <c r="K188" i="6"/>
  <c r="K232" i="6"/>
  <c r="K235" i="6"/>
  <c r="O320" i="6"/>
  <c r="Y320" i="6"/>
  <c r="O326" i="6"/>
  <c r="O327" i="6"/>
  <c r="O328" i="6"/>
  <c r="O329" i="6"/>
  <c r="O330" i="6"/>
  <c r="P330" i="6"/>
  <c r="I61" i="6"/>
  <c r="K61" i="6" s="1"/>
  <c r="W12" i="14"/>
  <c r="Q14" i="14"/>
  <c r="W13" i="14"/>
  <c r="T12" i="14"/>
  <c r="T15" i="14"/>
  <c r="W14" i="14"/>
  <c r="AB336" i="6"/>
  <c r="AD336" i="6" s="1"/>
  <c r="Q15" i="14"/>
  <c r="T13" i="14"/>
  <c r="N13" i="14"/>
  <c r="N15" i="14"/>
  <c r="N14" i="14"/>
  <c r="AB337" i="6"/>
  <c r="AI337" i="6" s="1"/>
  <c r="AB335" i="6"/>
  <c r="AD335" i="6" s="1"/>
  <c r="H54" i="14"/>
  <c r="I40" i="6"/>
  <c r="I45" i="6"/>
  <c r="I43" i="6"/>
  <c r="I44" i="6"/>
  <c r="G34" i="14"/>
  <c r="G35" i="14"/>
  <c r="G36" i="14" s="1"/>
  <c r="I42" i="6"/>
  <c r="I41" i="6"/>
  <c r="G27" i="19"/>
  <c r="I27" i="19"/>
  <c r="H34" i="14"/>
  <c r="B54" i="22"/>
  <c r="I60" i="19"/>
  <c r="E32" i="15"/>
  <c r="C34" i="15"/>
  <c r="I7" i="19" s="1"/>
  <c r="E60" i="19"/>
  <c r="C70" i="19"/>
  <c r="I70" i="19"/>
  <c r="I50" i="19"/>
  <c r="I81" i="19"/>
  <c r="E81" i="19"/>
  <c r="C60" i="19"/>
  <c r="I65" i="19"/>
  <c r="I40" i="19"/>
  <c r="I106" i="19"/>
  <c r="E70" i="19"/>
  <c r="E91" i="19"/>
  <c r="C91" i="19"/>
  <c r="C55" i="19"/>
  <c r="C96" i="19"/>
  <c r="I55" i="19"/>
  <c r="I86" i="19"/>
  <c r="I101" i="19"/>
  <c r="E101" i="19"/>
  <c r="E45" i="19"/>
  <c r="C45" i="19"/>
  <c r="I96" i="19"/>
  <c r="I45" i="19"/>
  <c r="I76" i="19"/>
  <c r="I91" i="19"/>
  <c r="C24" i="19"/>
  <c r="E24" i="19"/>
  <c r="G50" i="19"/>
  <c r="G86" i="19"/>
  <c r="G40" i="19"/>
  <c r="G76" i="19"/>
  <c r="G96" i="19"/>
  <c r="G55" i="19"/>
  <c r="G65" i="19"/>
  <c r="G106" i="19"/>
  <c r="G185" i="19"/>
  <c r="G35" i="19" s="1"/>
  <c r="I185" i="19"/>
  <c r="I35" i="19" s="1"/>
  <c r="C185" i="19"/>
  <c r="C35" i="19" s="1"/>
  <c r="E185" i="19"/>
  <c r="E35" i="19" s="1"/>
  <c r="E50" i="19"/>
  <c r="E65" i="19"/>
  <c r="E55" i="19"/>
  <c r="E96" i="19"/>
  <c r="E76" i="19"/>
  <c r="E40" i="19"/>
  <c r="E86" i="19"/>
  <c r="E106" i="19"/>
  <c r="C65" i="19"/>
  <c r="C101" i="19"/>
  <c r="C40" i="19"/>
  <c r="C81" i="19"/>
  <c r="C106" i="19"/>
  <c r="C86" i="19"/>
  <c r="C50" i="19"/>
  <c r="C76" i="19"/>
  <c r="G60" i="19"/>
  <c r="G81" i="19"/>
  <c r="G45" i="19"/>
  <c r="G101" i="19"/>
  <c r="G70" i="19"/>
  <c r="G91" i="19"/>
  <c r="J37" i="15"/>
  <c r="J40" i="15"/>
  <c r="J42" i="15"/>
  <c r="J41" i="15"/>
  <c r="J39" i="15"/>
  <c r="J38" i="15"/>
  <c r="J43" i="15"/>
  <c r="D38" i="18" l="1"/>
  <c r="D45" i="18" s="1"/>
  <c r="D46" i="18" s="1"/>
  <c r="P31" i="18"/>
  <c r="G37" i="14"/>
  <c r="H36" i="14"/>
  <c r="G56" i="14"/>
  <c r="H55" i="14"/>
  <c r="D78" i="22"/>
  <c r="H35" i="14"/>
  <c r="D77" i="22"/>
  <c r="Q8" i="14"/>
  <c r="D80" i="22"/>
  <c r="D79" i="22"/>
  <c r="W6" i="14"/>
  <c r="Q7" i="14"/>
  <c r="T8" i="14"/>
  <c r="W5" i="14"/>
  <c r="Q5" i="14"/>
  <c r="N6" i="14"/>
  <c r="T6" i="14"/>
  <c r="T5" i="14"/>
  <c r="Q299" i="19"/>
  <c r="K157" i="19" s="1"/>
  <c r="K50" i="6"/>
  <c r="I50" i="6" s="1"/>
  <c r="M43" i="21"/>
  <c r="N43" i="21" s="1"/>
  <c r="J43" i="21"/>
  <c r="H31" i="21"/>
  <c r="H41" i="21" s="1"/>
  <c r="J41" i="21" s="1"/>
  <c r="F35" i="21"/>
  <c r="H35" i="21"/>
  <c r="H45" i="21" s="1"/>
  <c r="J45" i="21" s="1"/>
  <c r="E34" i="21"/>
  <c r="G34" i="21"/>
  <c r="E35" i="21"/>
  <c r="D35" i="21"/>
  <c r="D34" i="21"/>
  <c r="F34" i="21"/>
  <c r="F32" i="21"/>
  <c r="E32" i="21"/>
  <c r="G32" i="21"/>
  <c r="D32" i="21"/>
  <c r="G30" i="21"/>
  <c r="F30" i="21"/>
  <c r="E30" i="21"/>
  <c r="D30" i="21"/>
  <c r="O43" i="21"/>
  <c r="K43" i="21"/>
  <c r="L43" i="21" s="1"/>
  <c r="G90" i="6"/>
  <c r="G91" i="6" s="1"/>
  <c r="K201" i="6"/>
  <c r="K194" i="6"/>
  <c r="C82" i="6"/>
  <c r="N7" i="14"/>
  <c r="N8" i="14"/>
  <c r="Q297" i="19"/>
  <c r="K153" i="19" s="1"/>
  <c r="K205" i="6"/>
  <c r="E215" i="19"/>
  <c r="Q298" i="19"/>
  <c r="K155" i="19" s="1"/>
  <c r="K203" i="6"/>
  <c r="B53" i="22"/>
  <c r="B55" i="22" s="1"/>
  <c r="A88" i="22" s="1"/>
  <c r="K143" i="19"/>
  <c r="I177" i="19"/>
  <c r="I206" i="19" s="1"/>
  <c r="Q294" i="19"/>
  <c r="K147" i="19" s="1"/>
  <c r="Q296" i="19"/>
  <c r="K151" i="19" s="1"/>
  <c r="Q293" i="19"/>
  <c r="K145" i="19" s="1"/>
  <c r="Q295" i="19"/>
  <c r="K149" i="19" s="1"/>
  <c r="K70" i="6"/>
  <c r="K15" i="19"/>
  <c r="C210" i="19" s="1"/>
  <c r="Q300" i="19"/>
  <c r="K159" i="19" s="1"/>
  <c r="C32" i="19"/>
  <c r="C33" i="19" s="1"/>
  <c r="K209" i="6"/>
  <c r="K217" i="6"/>
  <c r="K131" i="19"/>
  <c r="E36" i="6"/>
  <c r="K126" i="19"/>
  <c r="K211" i="6"/>
  <c r="K215" i="6"/>
  <c r="H76" i="22"/>
  <c r="H81" i="22"/>
  <c r="E90" i="6"/>
  <c r="E91" i="6" s="1"/>
  <c r="K136" i="19"/>
  <c r="C23" i="19"/>
  <c r="C25" i="19" s="1"/>
  <c r="E177" i="19"/>
  <c r="E206" i="19" s="1"/>
  <c r="G23" i="19"/>
  <c r="G25" i="19" s="1"/>
  <c r="K180" i="19"/>
  <c r="I32" i="19"/>
  <c r="I33" i="19" s="1"/>
  <c r="O13" i="14"/>
  <c r="U14" i="14"/>
  <c r="X15" i="14"/>
  <c r="E32" i="19"/>
  <c r="E33" i="19" s="1"/>
  <c r="R14" i="14"/>
  <c r="H77" i="22"/>
  <c r="H79" i="22"/>
  <c r="D56" i="17"/>
  <c r="H40" i="17" s="1"/>
  <c r="F24" i="17"/>
  <c r="F26" i="17" s="1"/>
  <c r="F28" i="17" s="1"/>
  <c r="K282" i="6"/>
  <c r="E241" i="6"/>
  <c r="E277" i="6" s="1"/>
  <c r="H80" i="22"/>
  <c r="E79" i="22"/>
  <c r="I90" i="6"/>
  <c r="I91" i="6" s="1"/>
  <c r="O15" i="14"/>
  <c r="U13" i="14"/>
  <c r="R13" i="14"/>
  <c r="O14" i="14"/>
  <c r="K211" i="19"/>
  <c r="G32" i="19"/>
  <c r="G33" i="19" s="1"/>
  <c r="R15" i="14"/>
  <c r="X13" i="14"/>
  <c r="U15" i="14"/>
  <c r="E77" i="22"/>
  <c r="K68" i="6"/>
  <c r="K213" i="6"/>
  <c r="K189" i="6"/>
  <c r="L24" i="6" s="1"/>
  <c r="H78" i="22"/>
  <c r="D81" i="22"/>
  <c r="G81" i="22"/>
  <c r="G76" i="22"/>
  <c r="C90" i="6"/>
  <c r="C91" i="6" s="1"/>
  <c r="F79" i="6"/>
  <c r="K79" i="6"/>
  <c r="K120" i="19"/>
  <c r="K182" i="19"/>
  <c r="X14" i="14"/>
  <c r="K185" i="19"/>
  <c r="K35" i="19"/>
  <c r="E25" i="19"/>
  <c r="I25" i="19"/>
  <c r="E78" i="22"/>
  <c r="E76" i="22"/>
  <c r="K184" i="6"/>
  <c r="K207" i="6"/>
  <c r="I241" i="6"/>
  <c r="I82" i="6"/>
  <c r="H13" i="6"/>
  <c r="H79" i="6"/>
  <c r="C277" i="6"/>
  <c r="C47" i="22"/>
  <c r="B49" i="22" s="1"/>
  <c r="G78" i="22"/>
  <c r="G80" i="22"/>
  <c r="E81" i="22"/>
  <c r="E281" i="6"/>
  <c r="G241" i="6"/>
  <c r="E80" i="22"/>
  <c r="G77" i="22"/>
  <c r="G79" i="22"/>
  <c r="K178" i="6"/>
  <c r="D13" i="6"/>
  <c r="G57" i="14" l="1"/>
  <c r="H56" i="14"/>
  <c r="G38" i="14"/>
  <c r="H37" i="14"/>
  <c r="D40" i="18"/>
  <c r="D48" i="18" s="1"/>
  <c r="X7" i="14"/>
  <c r="R8" i="14"/>
  <c r="X6" i="14"/>
  <c r="X8" i="14"/>
  <c r="R7" i="14"/>
  <c r="R6" i="14"/>
  <c r="U8" i="14"/>
  <c r="H32" i="21"/>
  <c r="H42" i="21" s="1"/>
  <c r="O42" i="21" s="1"/>
  <c r="P43" i="21"/>
  <c r="Q43" i="21" s="1"/>
  <c r="K43" i="6" s="1"/>
  <c r="U6" i="14"/>
  <c r="U7" i="14"/>
  <c r="H34" i="21"/>
  <c r="H44" i="21" s="1"/>
  <c r="M44" i="21" s="1"/>
  <c r="N44" i="21" s="1"/>
  <c r="I178" i="19"/>
  <c r="I187" i="19" s="1"/>
  <c r="H30" i="21"/>
  <c r="H40" i="21" s="1"/>
  <c r="M45" i="21"/>
  <c r="N45" i="21" s="1"/>
  <c r="O45" i="21"/>
  <c r="P45" i="21" s="1"/>
  <c r="K45" i="21"/>
  <c r="L45" i="21" s="1"/>
  <c r="O41" i="21"/>
  <c r="P41" i="21" s="1"/>
  <c r="M41" i="21"/>
  <c r="N41" i="21" s="1"/>
  <c r="K41" i="21"/>
  <c r="L41" i="21" s="1"/>
  <c r="H8" i="17"/>
  <c r="O7" i="14"/>
  <c r="W217" i="19"/>
  <c r="O8" i="14"/>
  <c r="O6" i="14"/>
  <c r="K195" i="19"/>
  <c r="Q217" i="19"/>
  <c r="S217" i="19"/>
  <c r="AA217" i="19"/>
  <c r="R217" i="19"/>
  <c r="AD217" i="19"/>
  <c r="V217" i="19"/>
  <c r="AB217" i="19"/>
  <c r="AC217" i="19"/>
  <c r="G179" i="19"/>
  <c r="G26" i="19" s="1"/>
  <c r="G28" i="19" s="1"/>
  <c r="G34" i="19" s="1"/>
  <c r="U217" i="19"/>
  <c r="T217" i="19"/>
  <c r="K140" i="19"/>
  <c r="K216" i="19" s="1"/>
  <c r="AE217" i="19"/>
  <c r="AG217" i="19"/>
  <c r="AF217" i="19"/>
  <c r="E179" i="19"/>
  <c r="E26" i="19" s="1"/>
  <c r="E28" i="19" s="1"/>
  <c r="E34" i="19" s="1"/>
  <c r="E210" i="19"/>
  <c r="G210" i="19" s="1"/>
  <c r="AB227" i="19" s="1"/>
  <c r="I179" i="19"/>
  <c r="I26" i="19" s="1"/>
  <c r="I28" i="19" s="1"/>
  <c r="I34" i="19" s="1"/>
  <c r="C179" i="19"/>
  <c r="C26" i="19" s="1"/>
  <c r="C28" i="19" s="1"/>
  <c r="C34" i="19" s="1"/>
  <c r="K177" i="19"/>
  <c r="AG293" i="6"/>
  <c r="AL288" i="6"/>
  <c r="AR288" i="6"/>
  <c r="R288" i="6"/>
  <c r="AP288" i="6"/>
  <c r="S288" i="6"/>
  <c r="AM288" i="6"/>
  <c r="AF288" i="6"/>
  <c r="D58" i="22"/>
  <c r="AE288" i="6"/>
  <c r="A89" i="22"/>
  <c r="AB288" i="6"/>
  <c r="A87" i="22"/>
  <c r="F58" i="17"/>
  <c r="F60" i="17" s="1"/>
  <c r="F66" i="17" s="1"/>
  <c r="AC288" i="6"/>
  <c r="AD288" i="6"/>
  <c r="AN288" i="6"/>
  <c r="Q288" i="6"/>
  <c r="K11" i="6"/>
  <c r="V288" i="6"/>
  <c r="I244" i="6"/>
  <c r="AA288" i="6"/>
  <c r="W288" i="6"/>
  <c r="U288" i="6"/>
  <c r="AO288" i="6"/>
  <c r="T288" i="6"/>
  <c r="AG288" i="6"/>
  <c r="AQ288" i="6"/>
  <c r="C244" i="6"/>
  <c r="E244" i="6"/>
  <c r="G244" i="6"/>
  <c r="H82" i="22"/>
  <c r="H34" i="17"/>
  <c r="J34" i="17"/>
  <c r="F34" i="17"/>
  <c r="D34" i="17"/>
  <c r="E178" i="19"/>
  <c r="C178" i="19"/>
  <c r="G178" i="19"/>
  <c r="L15" i="19"/>
  <c r="H26" i="17"/>
  <c r="V293" i="6"/>
  <c r="G82" i="22"/>
  <c r="C49" i="22"/>
  <c r="C60" i="22" s="1"/>
  <c r="D60" i="22" s="1"/>
  <c r="AP293" i="6"/>
  <c r="AC293" i="6"/>
  <c r="I277" i="6"/>
  <c r="G242" i="6"/>
  <c r="G251" i="6" s="1"/>
  <c r="E242" i="6"/>
  <c r="I242" i="6"/>
  <c r="I278" i="6" s="1"/>
  <c r="C242" i="6"/>
  <c r="G277" i="6"/>
  <c r="AR293" i="6"/>
  <c r="AA293" i="6"/>
  <c r="W293" i="6"/>
  <c r="AO293" i="6"/>
  <c r="G281" i="6"/>
  <c r="AN293" i="6"/>
  <c r="AD293" i="6"/>
  <c r="AB293" i="6"/>
  <c r="AQ293" i="6"/>
  <c r="AL293" i="6"/>
  <c r="U293" i="6"/>
  <c r="AE293" i="6"/>
  <c r="AM293" i="6"/>
  <c r="AF293" i="6"/>
  <c r="R293" i="6"/>
  <c r="T293" i="6"/>
  <c r="S293" i="6"/>
  <c r="Q293" i="6"/>
  <c r="K241" i="6"/>
  <c r="H38" i="14" l="1"/>
  <c r="G39" i="14"/>
  <c r="H57" i="14"/>
  <c r="G58" i="14"/>
  <c r="K42" i="21"/>
  <c r="L42" i="21" s="1"/>
  <c r="J42" i="21"/>
  <c r="P42" i="21" s="1"/>
  <c r="M42" i="21"/>
  <c r="N42" i="21" s="1"/>
  <c r="Q45" i="21"/>
  <c r="K45" i="6" s="1"/>
  <c r="I207" i="19"/>
  <c r="AE231" i="19" s="1"/>
  <c r="O44" i="21"/>
  <c r="K44" i="21"/>
  <c r="L44" i="21" s="1"/>
  <c r="J44" i="21"/>
  <c r="D66" i="17"/>
  <c r="M40" i="21"/>
  <c r="N40" i="21" s="1"/>
  <c r="J40" i="21"/>
  <c r="Q41" i="21"/>
  <c r="K41" i="6" s="1"/>
  <c r="K40" i="21"/>
  <c r="L40" i="21" s="1"/>
  <c r="O40" i="21"/>
  <c r="AE222" i="19"/>
  <c r="S222" i="19"/>
  <c r="H58" i="17"/>
  <c r="T227" i="19"/>
  <c r="I210" i="19"/>
  <c r="K210" i="19" s="1"/>
  <c r="AA227" i="19"/>
  <c r="Q222" i="19"/>
  <c r="V227" i="19"/>
  <c r="W222" i="19"/>
  <c r="H66" i="17"/>
  <c r="J66" i="17"/>
  <c r="S227" i="19"/>
  <c r="T222" i="19"/>
  <c r="U222" i="19"/>
  <c r="AE227" i="19"/>
  <c r="AC227" i="19"/>
  <c r="AC222" i="19"/>
  <c r="AG222" i="19"/>
  <c r="AF222" i="19"/>
  <c r="W227" i="19"/>
  <c r="AG227" i="19"/>
  <c r="U227" i="19"/>
  <c r="AF227" i="19"/>
  <c r="AB222" i="19"/>
  <c r="AA222" i="19"/>
  <c r="I183" i="19"/>
  <c r="I28" i="14" s="1"/>
  <c r="G183" i="19"/>
  <c r="G213" i="19" s="1"/>
  <c r="K165" i="19"/>
  <c r="K190" i="19" s="1"/>
  <c r="K218" i="19" s="1"/>
  <c r="E183" i="19"/>
  <c r="E184" i="19" s="1"/>
  <c r="AD227" i="19"/>
  <c r="R227" i="19"/>
  <c r="Q227" i="19"/>
  <c r="AD222" i="19"/>
  <c r="R222" i="19"/>
  <c r="V222" i="19"/>
  <c r="K179" i="19"/>
  <c r="C181" i="19"/>
  <c r="I181" i="19"/>
  <c r="E207" i="19"/>
  <c r="T221" i="19" s="1"/>
  <c r="D62" i="22"/>
  <c r="D64" i="22" s="1"/>
  <c r="D68" i="22" s="1"/>
  <c r="F68" i="22" s="1"/>
  <c r="D69" i="22" s="1"/>
  <c r="E187" i="19"/>
  <c r="E181" i="19"/>
  <c r="C183" i="19"/>
  <c r="F25" i="14" s="1"/>
  <c r="K244" i="6"/>
  <c r="B84" i="22"/>
  <c r="C52" i="6" s="1"/>
  <c r="K34" i="19"/>
  <c r="K188" i="19" s="1"/>
  <c r="K189" i="19" s="1"/>
  <c r="C207" i="19"/>
  <c r="Q216" i="19" s="1"/>
  <c r="C187" i="19"/>
  <c r="G187" i="19"/>
  <c r="G207" i="19"/>
  <c r="AB226" i="19" s="1"/>
  <c r="K178" i="19"/>
  <c r="G181" i="19"/>
  <c r="V302" i="6"/>
  <c r="I122" i="6" s="1"/>
  <c r="AF302" i="6"/>
  <c r="I158" i="6" s="1"/>
  <c r="AG302" i="6"/>
  <c r="I163" i="6" s="1"/>
  <c r="AD302" i="6"/>
  <c r="I148" i="6" s="1"/>
  <c r="AA302" i="6"/>
  <c r="I133" i="6" s="1"/>
  <c r="AQ302" i="6"/>
  <c r="Q302" i="6"/>
  <c r="I97" i="6" s="1"/>
  <c r="AL302" i="6"/>
  <c r="AR302" i="6"/>
  <c r="T302" i="6"/>
  <c r="AE302" i="6"/>
  <c r="I153" i="6" s="1"/>
  <c r="S302" i="6"/>
  <c r="I107" i="6" s="1"/>
  <c r="AM302" i="6"/>
  <c r="AC302" i="6"/>
  <c r="I143" i="6" s="1"/>
  <c r="U302" i="6"/>
  <c r="I117" i="6" s="1"/>
  <c r="W302" i="6"/>
  <c r="I127" i="6" s="1"/>
  <c r="AP302" i="6"/>
  <c r="AO302" i="6"/>
  <c r="AB302" i="6"/>
  <c r="I138" i="6" s="1"/>
  <c r="AN302" i="6"/>
  <c r="R302" i="6"/>
  <c r="I102" i="6" s="1"/>
  <c r="E251" i="6"/>
  <c r="E278" i="6"/>
  <c r="AL298" i="6"/>
  <c r="AM298" i="6"/>
  <c r="AE298" i="6"/>
  <c r="AC298" i="6"/>
  <c r="AR298" i="6"/>
  <c r="AF298" i="6"/>
  <c r="AA298" i="6"/>
  <c r="R298" i="6"/>
  <c r="AD298" i="6"/>
  <c r="T298" i="6"/>
  <c r="AB298" i="6"/>
  <c r="AN298" i="6"/>
  <c r="AG298" i="6"/>
  <c r="AQ298" i="6"/>
  <c r="U298" i="6"/>
  <c r="AP298" i="6"/>
  <c r="V298" i="6"/>
  <c r="I281" i="6"/>
  <c r="K281" i="6" s="1"/>
  <c r="Q298" i="6"/>
  <c r="AO298" i="6"/>
  <c r="W298" i="6"/>
  <c r="S298" i="6"/>
  <c r="G278" i="6"/>
  <c r="AN297" i="6" s="1"/>
  <c r="C278" i="6"/>
  <c r="K242" i="6"/>
  <c r="C251" i="6"/>
  <c r="I251" i="6"/>
  <c r="G59" i="14" l="1"/>
  <c r="H58" i="14"/>
  <c r="G40" i="14"/>
  <c r="H39" i="14"/>
  <c r="Q42" i="21"/>
  <c r="K42" i="6" s="1"/>
  <c r="V231" i="19"/>
  <c r="I64" i="19" s="1"/>
  <c r="I66" i="19" s="1"/>
  <c r="I67" i="19" s="1"/>
  <c r="U231" i="19"/>
  <c r="I59" i="19" s="1"/>
  <c r="I61" i="19" s="1"/>
  <c r="I62" i="19" s="1"/>
  <c r="S231" i="19"/>
  <c r="I49" i="19" s="1"/>
  <c r="I51" i="19" s="1"/>
  <c r="I52" i="19" s="1"/>
  <c r="T231" i="19"/>
  <c r="I54" i="19" s="1"/>
  <c r="I56" i="19" s="1"/>
  <c r="I57" i="19" s="1"/>
  <c r="AG231" i="19"/>
  <c r="I105" i="19" s="1"/>
  <c r="I107" i="19" s="1"/>
  <c r="I108" i="19" s="1"/>
  <c r="AF231" i="19"/>
  <c r="I100" i="19" s="1"/>
  <c r="I102" i="19" s="1"/>
  <c r="I103" i="19" s="1"/>
  <c r="R231" i="19"/>
  <c r="I44" i="19" s="1"/>
  <c r="I46" i="19" s="1"/>
  <c r="I47" i="19" s="1"/>
  <c r="P44" i="21"/>
  <c r="Q44" i="21" s="1"/>
  <c r="K44" i="6" s="1"/>
  <c r="Q231" i="19"/>
  <c r="I39" i="19" s="1"/>
  <c r="I41" i="19" s="1"/>
  <c r="I42" i="19" s="1"/>
  <c r="W231" i="19"/>
  <c r="I69" i="19" s="1"/>
  <c r="I71" i="19" s="1"/>
  <c r="I72" i="19" s="1"/>
  <c r="AB231" i="19"/>
  <c r="I80" i="19" s="1"/>
  <c r="I82" i="19" s="1"/>
  <c r="I83" i="19" s="1"/>
  <c r="AA231" i="19"/>
  <c r="I75" i="19" s="1"/>
  <c r="I77" i="19" s="1"/>
  <c r="I78" i="19" s="1"/>
  <c r="AC231" i="19"/>
  <c r="I85" i="19" s="1"/>
  <c r="I87" i="19" s="1"/>
  <c r="I88" i="19" s="1"/>
  <c r="AD231" i="19"/>
  <c r="I90" i="19" s="1"/>
  <c r="I92" i="19" s="1"/>
  <c r="I93" i="19" s="1"/>
  <c r="AB232" i="19"/>
  <c r="P40" i="21"/>
  <c r="Q40" i="21" s="1"/>
  <c r="V232" i="19"/>
  <c r="I213" i="19"/>
  <c r="W232" i="19"/>
  <c r="Q232" i="19"/>
  <c r="AE232" i="19"/>
  <c r="AE233" i="19" s="1"/>
  <c r="AE234" i="19" s="1"/>
  <c r="AE235" i="19" s="1"/>
  <c r="G26" i="14"/>
  <c r="I27" i="14"/>
  <c r="AA232" i="19"/>
  <c r="AG232" i="19"/>
  <c r="AF232" i="19"/>
  <c r="S232" i="19"/>
  <c r="AD232" i="19"/>
  <c r="T232" i="19"/>
  <c r="R232" i="19"/>
  <c r="U232" i="19"/>
  <c r="AC232" i="19"/>
  <c r="I184" i="19"/>
  <c r="I26" i="14"/>
  <c r="AE221" i="19"/>
  <c r="E95" i="19" s="1"/>
  <c r="E97" i="19" s="1"/>
  <c r="E98" i="19" s="1"/>
  <c r="I25" i="14"/>
  <c r="I24" i="14"/>
  <c r="U221" i="19"/>
  <c r="E59" i="19" s="1"/>
  <c r="E61" i="19" s="1"/>
  <c r="E62" i="19" s="1"/>
  <c r="V221" i="19"/>
  <c r="V223" i="19" s="1"/>
  <c r="V224" i="19" s="1"/>
  <c r="V225" i="19" s="1"/>
  <c r="AF216" i="19"/>
  <c r="C100" i="19" s="1"/>
  <c r="C102" i="19" s="1"/>
  <c r="C103" i="19" s="1"/>
  <c r="AF221" i="19"/>
  <c r="E100" i="19" s="1"/>
  <c r="E102" i="19" s="1"/>
  <c r="E103" i="19" s="1"/>
  <c r="E213" i="19"/>
  <c r="G25" i="14"/>
  <c r="H24" i="14"/>
  <c r="G28" i="14"/>
  <c r="G27" i="14"/>
  <c r="G184" i="19"/>
  <c r="H28" i="14"/>
  <c r="H27" i="14"/>
  <c r="H25" i="14"/>
  <c r="H26" i="14"/>
  <c r="AG216" i="19"/>
  <c r="C105" i="19" s="1"/>
  <c r="C107" i="19" s="1"/>
  <c r="C108" i="19" s="1"/>
  <c r="AB221" i="19"/>
  <c r="AB223" i="19" s="1"/>
  <c r="AB224" i="19" s="1"/>
  <c r="AB225" i="19" s="1"/>
  <c r="AA221" i="19"/>
  <c r="E75" i="19" s="1"/>
  <c r="E77" i="19" s="1"/>
  <c r="E78" i="19" s="1"/>
  <c r="AC221" i="19"/>
  <c r="E85" i="19" s="1"/>
  <c r="E87" i="19" s="1"/>
  <c r="E88" i="19" s="1"/>
  <c r="Q221" i="19"/>
  <c r="E39" i="19" s="1"/>
  <c r="E41" i="19" s="1"/>
  <c r="E42" i="19" s="1"/>
  <c r="AC216" i="19"/>
  <c r="C85" i="19" s="1"/>
  <c r="C87" i="19" s="1"/>
  <c r="C88" i="19" s="1"/>
  <c r="V216" i="19"/>
  <c r="C64" i="19" s="1"/>
  <c r="C66" i="19" s="1"/>
  <c r="C67" i="19" s="1"/>
  <c r="G24" i="14"/>
  <c r="K193" i="19"/>
  <c r="C193" i="19" s="1"/>
  <c r="L195" i="19" s="1"/>
  <c r="AD221" i="19"/>
  <c r="E90" i="19" s="1"/>
  <c r="E92" i="19" s="1"/>
  <c r="E93" i="19" s="1"/>
  <c r="W221" i="19"/>
  <c r="W223" i="19" s="1"/>
  <c r="W224" i="19" s="1"/>
  <c r="W225" i="19" s="1"/>
  <c r="S221" i="19"/>
  <c r="S223" i="19" s="1"/>
  <c r="S224" i="19" s="1"/>
  <c r="S225" i="19" s="1"/>
  <c r="T216" i="19"/>
  <c r="C54" i="19" s="1"/>
  <c r="C56" i="19" s="1"/>
  <c r="C57" i="19" s="1"/>
  <c r="F26" i="14"/>
  <c r="AG221" i="19"/>
  <c r="E105" i="19" s="1"/>
  <c r="E107" i="19" s="1"/>
  <c r="E108" i="19" s="1"/>
  <c r="R221" i="19"/>
  <c r="E44" i="19" s="1"/>
  <c r="E46" i="19" s="1"/>
  <c r="E47" i="19" s="1"/>
  <c r="AA216" i="19"/>
  <c r="C75" i="19" s="1"/>
  <c r="C77" i="19" s="1"/>
  <c r="C78" i="19" s="1"/>
  <c r="W216" i="19"/>
  <c r="C69" i="19" s="1"/>
  <c r="C71" i="19" s="1"/>
  <c r="C72" i="19" s="1"/>
  <c r="K181" i="19"/>
  <c r="F76" i="22"/>
  <c r="F80" i="22"/>
  <c r="F28" i="14"/>
  <c r="K183" i="19"/>
  <c r="F77" i="22"/>
  <c r="F78" i="22"/>
  <c r="F79" i="22"/>
  <c r="D70" i="22"/>
  <c r="F81" i="22"/>
  <c r="C184" i="19"/>
  <c r="F27" i="14"/>
  <c r="F24" i="14"/>
  <c r="C213" i="19"/>
  <c r="R216" i="19"/>
  <c r="R218" i="19" s="1"/>
  <c r="R219" i="19" s="1"/>
  <c r="R220" i="19" s="1"/>
  <c r="AB216" i="19"/>
  <c r="C80" i="19" s="1"/>
  <c r="C82" i="19" s="1"/>
  <c r="C83" i="19" s="1"/>
  <c r="S216" i="19"/>
  <c r="S218" i="19" s="1"/>
  <c r="S219" i="19" s="1"/>
  <c r="S220" i="19" s="1"/>
  <c r="U216" i="19"/>
  <c r="U218" i="19" s="1"/>
  <c r="U219" i="19" s="1"/>
  <c r="U220" i="19" s="1"/>
  <c r="AE216" i="19"/>
  <c r="C95" i="19" s="1"/>
  <c r="C97" i="19" s="1"/>
  <c r="C98" i="19" s="1"/>
  <c r="AD216" i="19"/>
  <c r="AD218" i="19" s="1"/>
  <c r="AD219" i="19" s="1"/>
  <c r="AD220" i="19" s="1"/>
  <c r="J11" i="19"/>
  <c r="AD226" i="19"/>
  <c r="AD228" i="19" s="1"/>
  <c r="AD229" i="19" s="1"/>
  <c r="AD230" i="19" s="1"/>
  <c r="K217" i="19"/>
  <c r="P248" i="19" s="1"/>
  <c r="Q238" i="19" s="1"/>
  <c r="Q240" i="19" s="1"/>
  <c r="W226" i="19"/>
  <c r="W228" i="19" s="1"/>
  <c r="W229" i="19" s="1"/>
  <c r="W230" i="19" s="1"/>
  <c r="AA226" i="19"/>
  <c r="G75" i="19" s="1"/>
  <c r="G77" i="19" s="1"/>
  <c r="G78" i="19" s="1"/>
  <c r="AF226" i="19"/>
  <c r="G100" i="19" s="1"/>
  <c r="G102" i="19" s="1"/>
  <c r="G103" i="19" s="1"/>
  <c r="AE226" i="19"/>
  <c r="AE228" i="19" s="1"/>
  <c r="AE229" i="19" s="1"/>
  <c r="AE230" i="19" s="1"/>
  <c r="S226" i="19"/>
  <c r="G49" i="19" s="1"/>
  <c r="G51" i="19" s="1"/>
  <c r="G52" i="19" s="1"/>
  <c r="AC226" i="19"/>
  <c r="G85" i="19" s="1"/>
  <c r="G87" i="19" s="1"/>
  <c r="G88" i="19" s="1"/>
  <c r="V226" i="19"/>
  <c r="G64" i="19" s="1"/>
  <c r="G66" i="19" s="1"/>
  <c r="G67" i="19" s="1"/>
  <c r="T226" i="19"/>
  <c r="G54" i="19" s="1"/>
  <c r="G56" i="19" s="1"/>
  <c r="G57" i="19" s="1"/>
  <c r="Q226" i="19"/>
  <c r="Q228" i="19" s="1"/>
  <c r="Q229" i="19" s="1"/>
  <c r="Q230" i="19" s="1"/>
  <c r="R226" i="19"/>
  <c r="G44" i="19" s="1"/>
  <c r="G46" i="19" s="1"/>
  <c r="G47" i="19" s="1"/>
  <c r="AG226" i="19"/>
  <c r="G105" i="19" s="1"/>
  <c r="G107" i="19" s="1"/>
  <c r="G108" i="19" s="1"/>
  <c r="U226" i="19"/>
  <c r="G59" i="19" s="1"/>
  <c r="G61" i="19" s="1"/>
  <c r="G62" i="19" s="1"/>
  <c r="J78" i="6"/>
  <c r="C39" i="19"/>
  <c r="C41" i="19" s="1"/>
  <c r="C42" i="19" s="1"/>
  <c r="Q218" i="19"/>
  <c r="Q219" i="19" s="1"/>
  <c r="Q220" i="19" s="1"/>
  <c r="AB228" i="19"/>
  <c r="AB229" i="19" s="1"/>
  <c r="AB230" i="19" s="1"/>
  <c r="G80" i="19"/>
  <c r="G82" i="19" s="1"/>
  <c r="G83" i="19" s="1"/>
  <c r="T223" i="19"/>
  <c r="T224" i="19" s="1"/>
  <c r="T225" i="19" s="1"/>
  <c r="E54" i="19"/>
  <c r="E56" i="19" s="1"/>
  <c r="E57" i="19" s="1"/>
  <c r="I95" i="19"/>
  <c r="I97" i="19" s="1"/>
  <c r="I98" i="19" s="1"/>
  <c r="AA297" i="6"/>
  <c r="AA299" i="6" s="1"/>
  <c r="AA300" i="6" s="1"/>
  <c r="AA301" i="6" s="1"/>
  <c r="V297" i="6"/>
  <c r="G122" i="6" s="1"/>
  <c r="I123" i="6" s="1"/>
  <c r="I124" i="6" s="1"/>
  <c r="I125" i="6" s="1"/>
  <c r="AF297" i="6"/>
  <c r="G158" i="6" s="1"/>
  <c r="I159" i="6" s="1"/>
  <c r="I160" i="6" s="1"/>
  <c r="I161" i="6" s="1"/>
  <c r="AE297" i="6"/>
  <c r="G153" i="6" s="1"/>
  <c r="I154" i="6" s="1"/>
  <c r="I155" i="6" s="1"/>
  <c r="I156" i="6" s="1"/>
  <c r="AD297" i="6"/>
  <c r="G148" i="6" s="1"/>
  <c r="I149" i="6" s="1"/>
  <c r="I150" i="6" s="1"/>
  <c r="I151" i="6" s="1"/>
  <c r="S297" i="6"/>
  <c r="G107" i="6" s="1"/>
  <c r="I108" i="6" s="1"/>
  <c r="I109" i="6" s="1"/>
  <c r="I110" i="6" s="1"/>
  <c r="AN299" i="6"/>
  <c r="AN300" i="6" s="1"/>
  <c r="AN301" i="6" s="1"/>
  <c r="T303" i="6"/>
  <c r="T304" i="6" s="1"/>
  <c r="T305" i="6" s="1"/>
  <c r="T306" i="6" s="1"/>
  <c r="AL303" i="6"/>
  <c r="AL304" i="6" s="1"/>
  <c r="AL305" i="6" s="1"/>
  <c r="AL306" i="6" s="1"/>
  <c r="AR303" i="6"/>
  <c r="AR304" i="6" s="1"/>
  <c r="AR305" i="6" s="1"/>
  <c r="AR306" i="6" s="1"/>
  <c r="AO303" i="6"/>
  <c r="AO304" i="6" s="1"/>
  <c r="AO305" i="6" s="1"/>
  <c r="AO306" i="6" s="1"/>
  <c r="AQ303" i="6"/>
  <c r="AQ304" i="6" s="1"/>
  <c r="AQ305" i="6" s="1"/>
  <c r="AQ306" i="6" s="1"/>
  <c r="AN303" i="6"/>
  <c r="AN304" i="6" s="1"/>
  <c r="AN305" i="6" s="1"/>
  <c r="AN306" i="6" s="1"/>
  <c r="Q303" i="6"/>
  <c r="Q304" i="6" s="1"/>
  <c r="Q305" i="6" s="1"/>
  <c r="Q306" i="6" s="1"/>
  <c r="AA303" i="6"/>
  <c r="AA304" i="6" s="1"/>
  <c r="AA305" i="6" s="1"/>
  <c r="AA306" i="6" s="1"/>
  <c r="R303" i="6"/>
  <c r="R304" i="6" s="1"/>
  <c r="R305" i="6" s="1"/>
  <c r="R306" i="6" s="1"/>
  <c r="AD303" i="6"/>
  <c r="AD304" i="6" s="1"/>
  <c r="AD305" i="6" s="1"/>
  <c r="AD306" i="6" s="1"/>
  <c r="AE303" i="6"/>
  <c r="AE304" i="6" s="1"/>
  <c r="AE305" i="6" s="1"/>
  <c r="AE306" i="6" s="1"/>
  <c r="AF303" i="6"/>
  <c r="AF304" i="6" s="1"/>
  <c r="AF305" i="6" s="1"/>
  <c r="AF306" i="6" s="1"/>
  <c r="W303" i="6"/>
  <c r="W304" i="6" s="1"/>
  <c r="W305" i="6" s="1"/>
  <c r="W306" i="6" s="1"/>
  <c r="AG303" i="6"/>
  <c r="AG304" i="6" s="1"/>
  <c r="AG305" i="6" s="1"/>
  <c r="AG306" i="6" s="1"/>
  <c r="AP303" i="6"/>
  <c r="AP304" i="6" s="1"/>
  <c r="AP305" i="6" s="1"/>
  <c r="AP306" i="6" s="1"/>
  <c r="AM303" i="6"/>
  <c r="AM304" i="6" s="1"/>
  <c r="AM305" i="6" s="1"/>
  <c r="AM306" i="6" s="1"/>
  <c r="S303" i="6"/>
  <c r="S304" i="6" s="1"/>
  <c r="S305" i="6" s="1"/>
  <c r="S306" i="6" s="1"/>
  <c r="AC303" i="6"/>
  <c r="AC304" i="6" s="1"/>
  <c r="AC305" i="6" s="1"/>
  <c r="AC306" i="6" s="1"/>
  <c r="V303" i="6"/>
  <c r="V304" i="6" s="1"/>
  <c r="V305" i="6" s="1"/>
  <c r="V306" i="6" s="1"/>
  <c r="U303" i="6"/>
  <c r="U304" i="6" s="1"/>
  <c r="U305" i="6" s="1"/>
  <c r="U306" i="6" s="1"/>
  <c r="AB303" i="6"/>
  <c r="AB304" i="6" s="1"/>
  <c r="AB305" i="6" s="1"/>
  <c r="AB306" i="6" s="1"/>
  <c r="Q297" i="6"/>
  <c r="Q299" i="6" s="1"/>
  <c r="Q300" i="6" s="1"/>
  <c r="AB297" i="6"/>
  <c r="AB299" i="6" s="1"/>
  <c r="AB300" i="6" s="1"/>
  <c r="AR297" i="6"/>
  <c r="AR299" i="6" s="1"/>
  <c r="AR300" i="6" s="1"/>
  <c r="AR301" i="6" s="1"/>
  <c r="AO297" i="6"/>
  <c r="AO299" i="6" s="1"/>
  <c r="AO300" i="6" s="1"/>
  <c r="AO301" i="6" s="1"/>
  <c r="AQ297" i="6"/>
  <c r="AQ299" i="6" s="1"/>
  <c r="AQ300" i="6" s="1"/>
  <c r="U297" i="6"/>
  <c r="T297" i="6"/>
  <c r="G112" i="6" s="1"/>
  <c r="I113" i="6" s="1"/>
  <c r="AG297" i="6"/>
  <c r="G163" i="6" s="1"/>
  <c r="I164" i="6" s="1"/>
  <c r="I165" i="6" s="1"/>
  <c r="I166" i="6" s="1"/>
  <c r="W297" i="6"/>
  <c r="G127" i="6" s="1"/>
  <c r="I128" i="6" s="1"/>
  <c r="I129" i="6" s="1"/>
  <c r="I130" i="6" s="1"/>
  <c r="AC297" i="6"/>
  <c r="AC299" i="6" s="1"/>
  <c r="AC300" i="6" s="1"/>
  <c r="AB292" i="6"/>
  <c r="W292" i="6"/>
  <c r="S292" i="6"/>
  <c r="AC292" i="6"/>
  <c r="AR292" i="6"/>
  <c r="AR294" i="6" s="1"/>
  <c r="AR295" i="6" s="1"/>
  <c r="AR296" i="6" s="1"/>
  <c r="AA292" i="6"/>
  <c r="AF292" i="6"/>
  <c r="AP292" i="6"/>
  <c r="AP294" i="6" s="1"/>
  <c r="AP295" i="6" s="1"/>
  <c r="AP296" i="6" s="1"/>
  <c r="T292" i="6"/>
  <c r="U292" i="6"/>
  <c r="V292" i="6"/>
  <c r="AO292" i="6"/>
  <c r="AO294" i="6" s="1"/>
  <c r="AO295" i="6" s="1"/>
  <c r="AO296" i="6" s="1"/>
  <c r="AD292" i="6"/>
  <c r="AL292" i="6"/>
  <c r="AL294" i="6" s="1"/>
  <c r="AL295" i="6" s="1"/>
  <c r="AL296" i="6" s="1"/>
  <c r="AN292" i="6"/>
  <c r="AN294" i="6" s="1"/>
  <c r="AN295" i="6" s="1"/>
  <c r="AN296" i="6" s="1"/>
  <c r="AM292" i="6"/>
  <c r="AM294" i="6" s="1"/>
  <c r="AM295" i="6" s="1"/>
  <c r="AM296" i="6" s="1"/>
  <c r="AG292" i="6"/>
  <c r="Q292" i="6"/>
  <c r="AQ292" i="6"/>
  <c r="AQ294" i="6" s="1"/>
  <c r="AQ295" i="6" s="1"/>
  <c r="AQ296" i="6" s="1"/>
  <c r="R292" i="6"/>
  <c r="AE292" i="6"/>
  <c r="AC287" i="6"/>
  <c r="AE287" i="6"/>
  <c r="AR287" i="6"/>
  <c r="AR289" i="6" s="1"/>
  <c r="AR290" i="6" s="1"/>
  <c r="AR291" i="6" s="1"/>
  <c r="Q287" i="6"/>
  <c r="S287" i="6"/>
  <c r="AO287" i="6"/>
  <c r="V287" i="6"/>
  <c r="AB287" i="6"/>
  <c r="AL287" i="6"/>
  <c r="AL289" i="6" s="1"/>
  <c r="AL290" i="6" s="1"/>
  <c r="AL291" i="6" s="1"/>
  <c r="AP287" i="6"/>
  <c r="AP289" i="6" s="1"/>
  <c r="AP290" i="6" s="1"/>
  <c r="AP291" i="6" s="1"/>
  <c r="AD287" i="6"/>
  <c r="AF287" i="6"/>
  <c r="AG287" i="6"/>
  <c r="R287" i="6"/>
  <c r="T287" i="6"/>
  <c r="AA287" i="6"/>
  <c r="AN287" i="6"/>
  <c r="AN289" i="6" s="1"/>
  <c r="AN290" i="6" s="1"/>
  <c r="AN291" i="6" s="1"/>
  <c r="W287" i="6"/>
  <c r="AQ287" i="6"/>
  <c r="AQ289" i="6" s="1"/>
  <c r="AQ290" i="6" s="1"/>
  <c r="AQ291" i="6" s="1"/>
  <c r="AM287" i="6"/>
  <c r="AM289" i="6" s="1"/>
  <c r="AM290" i="6" s="1"/>
  <c r="AM291" i="6" s="1"/>
  <c r="U287" i="6"/>
  <c r="AL297" i="6"/>
  <c r="AL299" i="6" s="1"/>
  <c r="AL300" i="6" s="1"/>
  <c r="R297" i="6"/>
  <c r="AM297" i="6"/>
  <c r="AP297" i="6"/>
  <c r="I112" i="6"/>
  <c r="G41" i="14" l="1"/>
  <c r="H40" i="14"/>
  <c r="G60" i="14"/>
  <c r="H59" i="14"/>
  <c r="S233" i="19"/>
  <c r="S234" i="19" s="1"/>
  <c r="S235" i="19" s="1"/>
  <c r="V233" i="19"/>
  <c r="V234" i="19" s="1"/>
  <c r="V235" i="19" s="1"/>
  <c r="AG233" i="19"/>
  <c r="AG234" i="19" s="1"/>
  <c r="AG235" i="19" s="1"/>
  <c r="I114" i="6"/>
  <c r="I115" i="6" s="1"/>
  <c r="U233" i="19"/>
  <c r="U234" i="19" s="1"/>
  <c r="U235" i="19" s="1"/>
  <c r="E64" i="19"/>
  <c r="E66" i="19" s="1"/>
  <c r="E67" i="19" s="1"/>
  <c r="K67" i="19" s="1"/>
  <c r="T233" i="19"/>
  <c r="T234" i="19" s="1"/>
  <c r="T235" i="19" s="1"/>
  <c r="C59" i="19"/>
  <c r="C61" i="19" s="1"/>
  <c r="C62" i="19" s="1"/>
  <c r="K62" i="19" s="1"/>
  <c r="E49" i="19"/>
  <c r="E51" i="19" s="1"/>
  <c r="E52" i="19" s="1"/>
  <c r="R223" i="19"/>
  <c r="R224" i="19" s="1"/>
  <c r="R225" i="19" s="1"/>
  <c r="AC223" i="19"/>
  <c r="AC224" i="19" s="1"/>
  <c r="AC225" i="19" s="1"/>
  <c r="C44" i="19"/>
  <c r="C46" i="19" s="1"/>
  <c r="C47" i="19" s="1"/>
  <c r="K47" i="19" s="1"/>
  <c r="AF218" i="19"/>
  <c r="AF219" i="19" s="1"/>
  <c r="AF220" i="19" s="1"/>
  <c r="AG218" i="19"/>
  <c r="AG219" i="19" s="1"/>
  <c r="AG220" i="19" s="1"/>
  <c r="AD233" i="19"/>
  <c r="AD234" i="19" s="1"/>
  <c r="AD235" i="19" s="1"/>
  <c r="AC233" i="19"/>
  <c r="AC234" i="19" s="1"/>
  <c r="AC235" i="19" s="1"/>
  <c r="Q233" i="19"/>
  <c r="Q234" i="19" s="1"/>
  <c r="Q235" i="19" s="1"/>
  <c r="R233" i="19"/>
  <c r="R234" i="19" s="1"/>
  <c r="R235" i="19" s="1"/>
  <c r="AF233" i="19"/>
  <c r="AF234" i="19" s="1"/>
  <c r="AF235" i="19" s="1"/>
  <c r="AA233" i="19"/>
  <c r="AA234" i="19" s="1"/>
  <c r="AA235" i="19" s="1"/>
  <c r="AB233" i="19"/>
  <c r="AB234" i="19" s="1"/>
  <c r="AB235" i="19" s="1"/>
  <c r="W233" i="19"/>
  <c r="W234" i="19" s="1"/>
  <c r="W235" i="19" s="1"/>
  <c r="T218" i="19"/>
  <c r="T219" i="19" s="1"/>
  <c r="T220" i="19" s="1"/>
  <c r="Q223" i="19"/>
  <c r="Q224" i="19" s="1"/>
  <c r="Q225" i="19" s="1"/>
  <c r="AE223" i="19"/>
  <c r="AE224" i="19" s="1"/>
  <c r="AE225" i="19" s="1"/>
  <c r="Q46" i="21"/>
  <c r="K40" i="6"/>
  <c r="AB218" i="19"/>
  <c r="AB219" i="19" s="1"/>
  <c r="AB220" i="19" s="1"/>
  <c r="AA223" i="19"/>
  <c r="AA224" i="19" s="1"/>
  <c r="AA225" i="19" s="1"/>
  <c r="G69" i="19"/>
  <c r="G71" i="19" s="1"/>
  <c r="G72" i="19" s="1"/>
  <c r="V218" i="19"/>
  <c r="V219" i="19" s="1"/>
  <c r="V220" i="19" s="1"/>
  <c r="E69" i="19"/>
  <c r="E71" i="19" s="1"/>
  <c r="E72" i="19" s="1"/>
  <c r="C49" i="19"/>
  <c r="C51" i="19" s="1"/>
  <c r="C52" i="19" s="1"/>
  <c r="AA228" i="19"/>
  <c r="AA229" i="19" s="1"/>
  <c r="AA230" i="19" s="1"/>
  <c r="I29" i="14"/>
  <c r="AC228" i="19"/>
  <c r="AC229" i="19" s="1"/>
  <c r="AC230" i="19" s="1"/>
  <c r="G90" i="19"/>
  <c r="G92" i="19" s="1"/>
  <c r="G93" i="19" s="1"/>
  <c r="AG223" i="19"/>
  <c r="AG224" i="19" s="1"/>
  <c r="AG225" i="19" s="1"/>
  <c r="U223" i="19"/>
  <c r="U224" i="19" s="1"/>
  <c r="U225" i="19" s="1"/>
  <c r="K184" i="19"/>
  <c r="AE218" i="19"/>
  <c r="AE219" i="19" s="1"/>
  <c r="AE220" i="19" s="1"/>
  <c r="S228" i="19"/>
  <c r="S229" i="19" s="1"/>
  <c r="S230" i="19" s="1"/>
  <c r="E80" i="19"/>
  <c r="E82" i="19" s="1"/>
  <c r="E83" i="19" s="1"/>
  <c r="K83" i="19" s="1"/>
  <c r="AC218" i="19"/>
  <c r="AC219" i="19" s="1"/>
  <c r="AC220" i="19" s="1"/>
  <c r="AF223" i="19"/>
  <c r="AF224" i="19" s="1"/>
  <c r="AF225" i="19" s="1"/>
  <c r="C90" i="19"/>
  <c r="C92" i="19" s="1"/>
  <c r="C93" i="19" s="1"/>
  <c r="AD223" i="19"/>
  <c r="AD224" i="19" s="1"/>
  <c r="AD225" i="19" s="1"/>
  <c r="AA218" i="19"/>
  <c r="AA219" i="19" s="1"/>
  <c r="AA220" i="19" s="1"/>
  <c r="H29" i="14"/>
  <c r="G29" i="14"/>
  <c r="U228" i="19"/>
  <c r="U229" i="19" s="1"/>
  <c r="U230" i="19" s="1"/>
  <c r="K213" i="19"/>
  <c r="W218" i="19"/>
  <c r="W219" i="19" s="1"/>
  <c r="W220" i="19" s="1"/>
  <c r="G39" i="19"/>
  <c r="G41" i="19" s="1"/>
  <c r="G42" i="19" s="1"/>
  <c r="K42" i="19" s="1"/>
  <c r="T228" i="19"/>
  <c r="T229" i="19" s="1"/>
  <c r="T230" i="19" s="1"/>
  <c r="F29" i="14"/>
  <c r="F82" i="22"/>
  <c r="D65" i="22" s="1"/>
  <c r="D66" i="22" s="1"/>
  <c r="AF299" i="6"/>
  <c r="AF300" i="6" s="1"/>
  <c r="AF301" i="6" s="1"/>
  <c r="Z248" i="19"/>
  <c r="AA238" i="19" s="1"/>
  <c r="AA240" i="19" s="1"/>
  <c r="G133" i="6"/>
  <c r="I134" i="6" s="1"/>
  <c r="I135" i="6" s="1"/>
  <c r="I136" i="6" s="1"/>
  <c r="AD299" i="6"/>
  <c r="AD300" i="6" s="1"/>
  <c r="AD301" i="6" s="1"/>
  <c r="V299" i="6"/>
  <c r="V300" i="6" s="1"/>
  <c r="V301" i="6" s="1"/>
  <c r="V228" i="19"/>
  <c r="V229" i="19" s="1"/>
  <c r="V230" i="19" s="1"/>
  <c r="AF228" i="19"/>
  <c r="AF229" i="19" s="1"/>
  <c r="AF230" i="19" s="1"/>
  <c r="AG228" i="19"/>
  <c r="AG229" i="19" s="1"/>
  <c r="AG230" i="19" s="1"/>
  <c r="G95" i="19"/>
  <c r="G97" i="19" s="1"/>
  <c r="G98" i="19" s="1"/>
  <c r="K98" i="19" s="1"/>
  <c r="R228" i="19"/>
  <c r="R229" i="19" s="1"/>
  <c r="R230" i="19" s="1"/>
  <c r="K108" i="19"/>
  <c r="K103" i="19"/>
  <c r="K88" i="19"/>
  <c r="K78" i="19"/>
  <c r="K57" i="19"/>
  <c r="S299" i="6"/>
  <c r="S300" i="6" s="1"/>
  <c r="S301" i="6" s="1"/>
  <c r="W299" i="6"/>
  <c r="W300" i="6" s="1"/>
  <c r="W301" i="6" s="1"/>
  <c r="AE299" i="6"/>
  <c r="AE300" i="6" s="1"/>
  <c r="AE301" i="6" s="1"/>
  <c r="T299" i="6"/>
  <c r="T300" i="6" s="1"/>
  <c r="T301" i="6" s="1"/>
  <c r="AM299" i="6"/>
  <c r="AM300" i="6" s="1"/>
  <c r="AM301" i="6" s="1"/>
  <c r="C107" i="6"/>
  <c r="G108" i="6" s="1"/>
  <c r="G109" i="6" s="1"/>
  <c r="G110" i="6" s="1"/>
  <c r="S289" i="6"/>
  <c r="S290" i="6" s="1"/>
  <c r="S291" i="6" s="1"/>
  <c r="C143" i="6"/>
  <c r="G144" i="6" s="1"/>
  <c r="AC289" i="6"/>
  <c r="AC290" i="6" s="1"/>
  <c r="AC291" i="6" s="1"/>
  <c r="E97" i="6"/>
  <c r="Q294" i="6"/>
  <c r="Q295" i="6" s="1"/>
  <c r="Q296" i="6" s="1"/>
  <c r="E117" i="6"/>
  <c r="U294" i="6"/>
  <c r="U295" i="6" s="1"/>
  <c r="U296" i="6" s="1"/>
  <c r="E133" i="6"/>
  <c r="AA294" i="6"/>
  <c r="AA295" i="6" s="1"/>
  <c r="AA296" i="6" s="1"/>
  <c r="E127" i="6"/>
  <c r="W294" i="6"/>
  <c r="W295" i="6" s="1"/>
  <c r="W296" i="6" s="1"/>
  <c r="G102" i="6"/>
  <c r="I103" i="6" s="1"/>
  <c r="I104" i="6" s="1"/>
  <c r="I105" i="6" s="1"/>
  <c r="AL301" i="6"/>
  <c r="AG299" i="6"/>
  <c r="AG300" i="6" s="1"/>
  <c r="AG301" i="6" s="1"/>
  <c r="C112" i="6"/>
  <c r="G113" i="6" s="1"/>
  <c r="G114" i="6" s="1"/>
  <c r="G115" i="6" s="1"/>
  <c r="T289" i="6"/>
  <c r="T290" i="6" s="1"/>
  <c r="T291" i="6" s="1"/>
  <c r="C148" i="6"/>
  <c r="G149" i="6" s="1"/>
  <c r="G150" i="6" s="1"/>
  <c r="G151" i="6" s="1"/>
  <c r="AD289" i="6"/>
  <c r="AD290" i="6" s="1"/>
  <c r="AD291" i="6" s="1"/>
  <c r="C122" i="6"/>
  <c r="G123" i="6" s="1"/>
  <c r="G124" i="6" s="1"/>
  <c r="G125" i="6" s="1"/>
  <c r="V289" i="6"/>
  <c r="V290" i="6" s="1"/>
  <c r="V291" i="6" s="1"/>
  <c r="E102" i="6"/>
  <c r="R294" i="6"/>
  <c r="R295" i="6" s="1"/>
  <c r="R296" i="6" s="1"/>
  <c r="E143" i="6"/>
  <c r="AC294" i="6"/>
  <c r="AC295" i="6" s="1"/>
  <c r="AC296" i="6" s="1"/>
  <c r="G143" i="6"/>
  <c r="I144" i="6" s="1"/>
  <c r="I145" i="6" s="1"/>
  <c r="I146" i="6" s="1"/>
  <c r="AC301" i="6"/>
  <c r="G117" i="6"/>
  <c r="I118" i="6" s="1"/>
  <c r="I119" i="6" s="1"/>
  <c r="I120" i="6" s="1"/>
  <c r="R299" i="6"/>
  <c r="R300" i="6" s="1"/>
  <c r="R301" i="6" s="1"/>
  <c r="G138" i="6"/>
  <c r="I139" i="6" s="1"/>
  <c r="I140" i="6" s="1"/>
  <c r="I141" i="6" s="1"/>
  <c r="AB301" i="6"/>
  <c r="U299" i="6"/>
  <c r="U300" i="6" s="1"/>
  <c r="U301" i="6" s="1"/>
  <c r="U289" i="6"/>
  <c r="U290" i="6" s="1"/>
  <c r="U291" i="6" s="1"/>
  <c r="C117" i="6"/>
  <c r="G118" i="6" s="1"/>
  <c r="C163" i="6"/>
  <c r="G164" i="6" s="1"/>
  <c r="G165" i="6" s="1"/>
  <c r="G166" i="6" s="1"/>
  <c r="AG289" i="6"/>
  <c r="AG290" i="6" s="1"/>
  <c r="AG291" i="6" s="1"/>
  <c r="C133" i="6"/>
  <c r="G134" i="6" s="1"/>
  <c r="AA289" i="6"/>
  <c r="AA290" i="6" s="1"/>
  <c r="AA291" i="6" s="1"/>
  <c r="AF289" i="6"/>
  <c r="AF290" i="6" s="1"/>
  <c r="AF291" i="6" s="1"/>
  <c r="C158" i="6"/>
  <c r="G159" i="6" s="1"/>
  <c r="G160" i="6" s="1"/>
  <c r="G161" i="6" s="1"/>
  <c r="AB289" i="6"/>
  <c r="AB290" i="6" s="1"/>
  <c r="AB291" i="6" s="1"/>
  <c r="C138" i="6"/>
  <c r="G139" i="6" s="1"/>
  <c r="Q289" i="6"/>
  <c r="Q290" i="6" s="1"/>
  <c r="Q291" i="6" s="1"/>
  <c r="C97" i="6"/>
  <c r="G98" i="6" s="1"/>
  <c r="AE294" i="6"/>
  <c r="AE295" i="6" s="1"/>
  <c r="AE296" i="6" s="1"/>
  <c r="E153" i="6"/>
  <c r="E163" i="6"/>
  <c r="AG294" i="6"/>
  <c r="AG295" i="6" s="1"/>
  <c r="AG296" i="6" s="1"/>
  <c r="AD294" i="6"/>
  <c r="AD295" i="6" s="1"/>
  <c r="AD296" i="6" s="1"/>
  <c r="E148" i="6"/>
  <c r="E112" i="6"/>
  <c r="T294" i="6"/>
  <c r="T295" i="6" s="1"/>
  <c r="T296" i="6" s="1"/>
  <c r="AB294" i="6"/>
  <c r="AB295" i="6" s="1"/>
  <c r="AB296" i="6" s="1"/>
  <c r="E138" i="6"/>
  <c r="W289" i="6"/>
  <c r="W290" i="6" s="1"/>
  <c r="W291" i="6" s="1"/>
  <c r="C127" i="6"/>
  <c r="G128" i="6" s="1"/>
  <c r="G129" i="6" s="1"/>
  <c r="G130" i="6" s="1"/>
  <c r="R289" i="6"/>
  <c r="R290" i="6" s="1"/>
  <c r="R291" i="6" s="1"/>
  <c r="C102" i="6"/>
  <c r="G103" i="6" s="1"/>
  <c r="AO289" i="6"/>
  <c r="AO290" i="6" s="1"/>
  <c r="AO291" i="6" s="1"/>
  <c r="AE289" i="6"/>
  <c r="AE290" i="6" s="1"/>
  <c r="AE291" i="6" s="1"/>
  <c r="C153" i="6"/>
  <c r="G154" i="6" s="1"/>
  <c r="G155" i="6" s="1"/>
  <c r="G156" i="6" s="1"/>
  <c r="E122" i="6"/>
  <c r="V294" i="6"/>
  <c r="V295" i="6" s="1"/>
  <c r="V296" i="6" s="1"/>
  <c r="AF294" i="6"/>
  <c r="AF295" i="6" s="1"/>
  <c r="AF296" i="6" s="1"/>
  <c r="E158" i="6"/>
  <c r="E107" i="6"/>
  <c r="S294" i="6"/>
  <c r="S295" i="6" s="1"/>
  <c r="S296" i="6" s="1"/>
  <c r="AP299" i="6"/>
  <c r="AP300" i="6" s="1"/>
  <c r="AP301" i="6" s="1"/>
  <c r="AQ301" i="6"/>
  <c r="Q301" i="6"/>
  <c r="G97" i="6"/>
  <c r="I98" i="6" s="1"/>
  <c r="I99" i="6" s="1"/>
  <c r="I100" i="6" s="1"/>
  <c r="G61" i="14" l="1"/>
  <c r="H60" i="14"/>
  <c r="G42" i="14"/>
  <c r="H41" i="14"/>
  <c r="K52" i="19"/>
  <c r="S239" i="19" s="1"/>
  <c r="G145" i="6"/>
  <c r="G146" i="6" s="1"/>
  <c r="G99" i="6"/>
  <c r="G100" i="6" s="1"/>
  <c r="G104" i="6"/>
  <c r="G105" i="6" s="1"/>
  <c r="G140" i="6"/>
  <c r="G141" i="6" s="1"/>
  <c r="G119" i="6"/>
  <c r="G120" i="6" s="1"/>
  <c r="G135" i="6"/>
  <c r="G136" i="6" s="1"/>
  <c r="Q239" i="19"/>
  <c r="Q243" i="19" s="1"/>
  <c r="K48" i="6"/>
  <c r="AB239" i="19"/>
  <c r="K72" i="19"/>
  <c r="W239" i="19" s="1"/>
  <c r="K93" i="19"/>
  <c r="AD239" i="19" s="1"/>
  <c r="AC239" i="19"/>
  <c r="AE239" i="19"/>
  <c r="C134" i="6"/>
  <c r="C135" i="6" s="1"/>
  <c r="C136" i="6" s="1"/>
  <c r="E108" i="6"/>
  <c r="E109" i="6" s="1"/>
  <c r="E110" i="6" s="1"/>
  <c r="E134" i="6"/>
  <c r="E135" i="6" s="1"/>
  <c r="E136" i="6" s="1"/>
  <c r="C98" i="6"/>
  <c r="C99" i="6" s="1"/>
  <c r="C100" i="6" s="1"/>
  <c r="E98" i="6"/>
  <c r="E99" i="6" s="1"/>
  <c r="E100" i="6" s="1"/>
  <c r="E159" i="6"/>
  <c r="E160" i="6" s="1"/>
  <c r="E161" i="6" s="1"/>
  <c r="C144" i="6"/>
  <c r="C145" i="6" s="1"/>
  <c r="C146" i="6" s="1"/>
  <c r="E123" i="6"/>
  <c r="E124" i="6" s="1"/>
  <c r="E125" i="6" s="1"/>
  <c r="E113" i="6"/>
  <c r="E114" i="6" s="1"/>
  <c r="E115" i="6" s="1"/>
  <c r="C108" i="6"/>
  <c r="C109" i="6" s="1"/>
  <c r="C110" i="6" s="1"/>
  <c r="C123" i="6"/>
  <c r="C124" i="6" s="1"/>
  <c r="C125" i="6" s="1"/>
  <c r="E103" i="6"/>
  <c r="E104" i="6" s="1"/>
  <c r="E105" i="6" s="1"/>
  <c r="C113" i="6"/>
  <c r="C114" i="6" s="1"/>
  <c r="C115" i="6" s="1"/>
  <c r="C164" i="6"/>
  <c r="C165" i="6" s="1"/>
  <c r="C166" i="6" s="1"/>
  <c r="E164" i="6"/>
  <c r="E165" i="6" s="1"/>
  <c r="E166" i="6" s="1"/>
  <c r="C128" i="6"/>
  <c r="C129" i="6" s="1"/>
  <c r="C130" i="6" s="1"/>
  <c r="C118" i="6"/>
  <c r="C119" i="6" s="1"/>
  <c r="C120" i="6" s="1"/>
  <c r="E144" i="6"/>
  <c r="E145" i="6" s="1"/>
  <c r="E146" i="6" s="1"/>
  <c r="E128" i="6"/>
  <c r="E129" i="6" s="1"/>
  <c r="E130" i="6" s="1"/>
  <c r="C159" i="6"/>
  <c r="C160" i="6" s="1"/>
  <c r="C161" i="6" s="1"/>
  <c r="E154" i="6"/>
  <c r="E155" i="6" s="1"/>
  <c r="E156" i="6" s="1"/>
  <c r="C139" i="6"/>
  <c r="C140" i="6" s="1"/>
  <c r="C141" i="6" s="1"/>
  <c r="C149" i="6"/>
  <c r="C150" i="6" s="1"/>
  <c r="C151" i="6" s="1"/>
  <c r="C154" i="6"/>
  <c r="C155" i="6" s="1"/>
  <c r="C156" i="6" s="1"/>
  <c r="E139" i="6"/>
  <c r="E140" i="6" s="1"/>
  <c r="E141" i="6" s="1"/>
  <c r="E118" i="6"/>
  <c r="E119" i="6" s="1"/>
  <c r="E120" i="6" s="1"/>
  <c r="C103" i="6"/>
  <c r="C104" i="6" s="1"/>
  <c r="C105" i="6" s="1"/>
  <c r="E149" i="6"/>
  <c r="E150" i="6" s="1"/>
  <c r="E151" i="6" s="1"/>
  <c r="AA239" i="19"/>
  <c r="AA248" i="19" s="1"/>
  <c r="AB238" i="19" s="1"/>
  <c r="AB240" i="19" s="1"/>
  <c r="U239" i="19"/>
  <c r="T239" i="19"/>
  <c r="D71" i="22"/>
  <c r="D72" i="22" s="1"/>
  <c r="K54" i="6" s="1"/>
  <c r="AF239" i="19"/>
  <c r="V239" i="19"/>
  <c r="AG239" i="19"/>
  <c r="R239" i="19"/>
  <c r="G62" i="14" l="1"/>
  <c r="H61" i="14"/>
  <c r="G43" i="14"/>
  <c r="H42" i="14"/>
  <c r="Q248" i="19"/>
  <c r="R238" i="19" s="1"/>
  <c r="R240" i="19" s="1"/>
  <c r="R248" i="19" s="1"/>
  <c r="S238" i="19" s="1"/>
  <c r="S240" i="19" s="1"/>
  <c r="K198" i="6"/>
  <c r="K228" i="6" s="1"/>
  <c r="K254" i="6" s="1"/>
  <c r="K289" i="6" s="1"/>
  <c r="N382" i="6"/>
  <c r="AB243" i="19"/>
  <c r="K110" i="6"/>
  <c r="S310" i="6" s="1"/>
  <c r="K105" i="6"/>
  <c r="R310" i="6" s="1"/>
  <c r="K120" i="6"/>
  <c r="U310" i="6" s="1"/>
  <c r="K136" i="6"/>
  <c r="AL310" i="6" s="1"/>
  <c r="K115" i="6"/>
  <c r="T310" i="6" s="1"/>
  <c r="AB248" i="19"/>
  <c r="AC238" i="19" s="1"/>
  <c r="AC240" i="19" s="1"/>
  <c r="AC243" i="19" s="1"/>
  <c r="AF248" i="19"/>
  <c r="AG238" i="19" s="1"/>
  <c r="AG240" i="19" s="1"/>
  <c r="AG243" i="19" s="1"/>
  <c r="AD248" i="19"/>
  <c r="AE238" i="19" s="1"/>
  <c r="AE240" i="19" s="1"/>
  <c r="AE243" i="19" s="1"/>
  <c r="AE248" i="19"/>
  <c r="AF238" i="19" s="1"/>
  <c r="AF240" i="19" s="1"/>
  <c r="AF243" i="19" s="1"/>
  <c r="AC248" i="19"/>
  <c r="AD238" i="19" s="1"/>
  <c r="AD240" i="19" s="1"/>
  <c r="AD243" i="19" s="1"/>
  <c r="AA243" i="19"/>
  <c r="K130" i="6"/>
  <c r="W310" i="6" s="1"/>
  <c r="K156" i="6"/>
  <c r="AP310" i="6" s="1"/>
  <c r="K146" i="6"/>
  <c r="AC310" i="6" s="1"/>
  <c r="K125" i="6"/>
  <c r="V310" i="6" s="1"/>
  <c r="K141" i="6"/>
  <c r="AB310" i="6" s="1"/>
  <c r="K100" i="6"/>
  <c r="Q310" i="6" s="1"/>
  <c r="K151" i="6"/>
  <c r="AD310" i="6" s="1"/>
  <c r="K166" i="6"/>
  <c r="AR310" i="6" s="1"/>
  <c r="K161" i="6"/>
  <c r="AQ310" i="6" s="1"/>
  <c r="G56" i="6"/>
  <c r="N386" i="6" s="1"/>
  <c r="G44" i="14" l="1"/>
  <c r="H43" i="14"/>
  <c r="G63" i="14"/>
  <c r="H62" i="14"/>
  <c r="R243" i="19"/>
  <c r="K262" i="6"/>
  <c r="K287" i="6"/>
  <c r="E243" i="6"/>
  <c r="G243" i="6"/>
  <c r="I243" i="6"/>
  <c r="C243" i="6"/>
  <c r="AE310" i="6"/>
  <c r="AG248" i="19"/>
  <c r="AA310" i="6"/>
  <c r="AN310" i="6"/>
  <c r="AO310" i="6"/>
  <c r="AG310" i="6"/>
  <c r="AM310" i="6"/>
  <c r="AF310" i="6"/>
  <c r="N391" i="6"/>
  <c r="K56" i="6"/>
  <c r="N385" i="6"/>
  <c r="N383" i="6"/>
  <c r="N387" i="6"/>
  <c r="K263" i="6" s="1"/>
  <c r="S248" i="19"/>
  <c r="T238" i="19" s="1"/>
  <c r="T240" i="19" s="1"/>
  <c r="S243" i="19"/>
  <c r="G45" i="14" l="1"/>
  <c r="H44" i="14"/>
  <c r="H63" i="14"/>
  <c r="G64" i="14"/>
  <c r="C263" i="6"/>
  <c r="I245" i="6"/>
  <c r="I247" i="6"/>
  <c r="I83" i="6"/>
  <c r="C245" i="6"/>
  <c r="C247" i="6"/>
  <c r="K243" i="6"/>
  <c r="C83" i="6"/>
  <c r="G83" i="6"/>
  <c r="I84" i="6" s="1"/>
  <c r="G245" i="6"/>
  <c r="G247" i="6"/>
  <c r="E83" i="6"/>
  <c r="E247" i="6"/>
  <c r="E245" i="6"/>
  <c r="I56" i="6"/>
  <c r="T243" i="19"/>
  <c r="T248" i="19"/>
  <c r="U238" i="19" s="1"/>
  <c r="U240" i="19" s="1"/>
  <c r="H45" i="14" l="1"/>
  <c r="G46" i="14"/>
  <c r="H64" i="14"/>
  <c r="G65" i="14"/>
  <c r="G84" i="6"/>
  <c r="G86" i="6" s="1"/>
  <c r="G92" i="6" s="1"/>
  <c r="E84" i="6"/>
  <c r="E86" i="6" s="1"/>
  <c r="E92" i="6" s="1"/>
  <c r="K245" i="6"/>
  <c r="C84" i="6"/>
  <c r="C86" i="6" s="1"/>
  <c r="C92" i="6" s="1"/>
  <c r="I85" i="6"/>
  <c r="I86" i="6"/>
  <c r="I92" i="6" s="1"/>
  <c r="H17" i="14"/>
  <c r="H15" i="14"/>
  <c r="H19" i="14"/>
  <c r="H18" i="14"/>
  <c r="H16" i="14"/>
  <c r="G284" i="6"/>
  <c r="I16" i="14"/>
  <c r="I18" i="14"/>
  <c r="I284" i="6"/>
  <c r="I17" i="14"/>
  <c r="I19" i="14"/>
  <c r="I15" i="14"/>
  <c r="G16" i="14"/>
  <c r="G15" i="14"/>
  <c r="G17" i="14"/>
  <c r="E284" i="6"/>
  <c r="G19" i="14"/>
  <c r="G18" i="14"/>
  <c r="F19" i="14"/>
  <c r="F17" i="14"/>
  <c r="K247" i="6"/>
  <c r="C284" i="6"/>
  <c r="F18" i="14"/>
  <c r="F16" i="14"/>
  <c r="F15" i="14"/>
  <c r="U248" i="19"/>
  <c r="V238" i="19" s="1"/>
  <c r="V240" i="19" s="1"/>
  <c r="U243" i="19"/>
  <c r="H65" i="14" l="1"/>
  <c r="G66" i="14"/>
  <c r="H46" i="14"/>
  <c r="G47" i="14"/>
  <c r="G85" i="6"/>
  <c r="E85" i="6"/>
  <c r="I20" i="14"/>
  <c r="I248" i="6" s="1"/>
  <c r="I249" i="6" s="1"/>
  <c r="I93" i="6" s="1"/>
  <c r="C85" i="6"/>
  <c r="H20" i="14"/>
  <c r="G248" i="6" s="1"/>
  <c r="G249" i="6" s="1"/>
  <c r="G93" i="6" s="1"/>
  <c r="G20" i="14"/>
  <c r="E248" i="6" s="1"/>
  <c r="E249" i="6" s="1"/>
  <c r="E93" i="6" s="1"/>
  <c r="F20" i="14"/>
  <c r="C248" i="6" s="1"/>
  <c r="C249" i="6" s="1"/>
  <c r="K92" i="6"/>
  <c r="K284" i="6"/>
  <c r="V243" i="19"/>
  <c r="V248" i="19"/>
  <c r="W238" i="19" s="1"/>
  <c r="W240" i="19" s="1"/>
  <c r="G48" i="14" l="1"/>
  <c r="H47" i="14"/>
  <c r="H66" i="14"/>
  <c r="G67" i="14"/>
  <c r="K248" i="6"/>
  <c r="K249" i="6"/>
  <c r="C93" i="6"/>
  <c r="K93" i="6" s="1"/>
  <c r="K252" i="6"/>
  <c r="C238" i="6"/>
  <c r="W248" i="19"/>
  <c r="V258" i="19" s="1"/>
  <c r="K198" i="19" s="1"/>
  <c r="W243" i="19"/>
  <c r="H67" i="14" l="1"/>
  <c r="G68" i="14"/>
  <c r="H48" i="14"/>
  <c r="G49" i="14"/>
  <c r="K253" i="6"/>
  <c r="H49" i="14" l="1"/>
  <c r="G50" i="14"/>
  <c r="G69" i="14"/>
  <c r="H68" i="14"/>
  <c r="K258" i="6"/>
  <c r="K288" i="6"/>
  <c r="K260" i="6"/>
  <c r="M41" i="6"/>
  <c r="H69" i="14" l="1"/>
  <c r="G70" i="14"/>
  <c r="G51" i="14"/>
  <c r="H50" i="14"/>
  <c r="N388" i="6"/>
  <c r="M260" i="6"/>
  <c r="AK319" i="6"/>
  <c r="AL309" i="6" s="1"/>
  <c r="AL311" i="6" s="1"/>
  <c r="P319" i="6"/>
  <c r="Q309" i="6" s="1"/>
  <c r="Q311" i="6" s="1"/>
  <c r="Z319" i="6"/>
  <c r="AA309" i="6" s="1"/>
  <c r="AA311" i="6" s="1"/>
  <c r="N389" i="6"/>
  <c r="N390" i="6"/>
  <c r="C260" i="6"/>
  <c r="L260" i="6" s="1"/>
  <c r="M42" i="6"/>
  <c r="M43" i="6"/>
  <c r="M45" i="6"/>
  <c r="M40" i="6"/>
  <c r="M44" i="6"/>
  <c r="H51" i="14" l="1"/>
  <c r="G52" i="14"/>
  <c r="G71" i="14"/>
  <c r="H70" i="14"/>
  <c r="AL314" i="6"/>
  <c r="AL319" i="6"/>
  <c r="AM309" i="6" s="1"/>
  <c r="AM311" i="6" s="1"/>
  <c r="Q319" i="6"/>
  <c r="R309" i="6" s="1"/>
  <c r="R311" i="6" s="1"/>
  <c r="Q314" i="6"/>
  <c r="AA314" i="6"/>
  <c r="AA319" i="6"/>
  <c r="AB309" i="6" s="1"/>
  <c r="AB311" i="6" s="1"/>
  <c r="G72" i="14" l="1"/>
  <c r="H71" i="14"/>
  <c r="G53" i="14"/>
  <c r="H53" i="14" s="1"/>
  <c r="H52" i="14"/>
  <c r="AM319" i="6"/>
  <c r="AN309" i="6" s="1"/>
  <c r="AN311" i="6" s="1"/>
  <c r="AM314" i="6"/>
  <c r="AB314" i="6"/>
  <c r="AB319" i="6"/>
  <c r="AC309" i="6" s="1"/>
  <c r="AC311" i="6" s="1"/>
  <c r="R314" i="6"/>
  <c r="R319" i="6"/>
  <c r="S309" i="6" s="1"/>
  <c r="S311" i="6" s="1"/>
  <c r="H72" i="14" l="1"/>
  <c r="G73" i="14"/>
  <c r="AC314" i="6"/>
  <c r="AC319" i="6"/>
  <c r="AD309" i="6" s="1"/>
  <c r="AD311" i="6" s="1"/>
  <c r="S319" i="6"/>
  <c r="T309" i="6" s="1"/>
  <c r="T311" i="6" s="1"/>
  <c r="S314" i="6"/>
  <c r="AN314" i="6"/>
  <c r="AN319" i="6"/>
  <c r="AO309" i="6" s="1"/>
  <c r="AO311" i="6" s="1"/>
  <c r="G74" i="14" l="1"/>
  <c r="H74" i="14" s="1"/>
  <c r="H73" i="14"/>
  <c r="AO314" i="6"/>
  <c r="AO319" i="6"/>
  <c r="AP309" i="6" s="1"/>
  <c r="AP311" i="6" s="1"/>
  <c r="T319" i="6"/>
  <c r="U309" i="6" s="1"/>
  <c r="U311" i="6" s="1"/>
  <c r="T314" i="6"/>
  <c r="AD314" i="6"/>
  <c r="AD319" i="6"/>
  <c r="AE309" i="6" s="1"/>
  <c r="AE311" i="6" s="1"/>
  <c r="AE314" i="6" l="1"/>
  <c r="AE319" i="6"/>
  <c r="AF309" i="6" s="1"/>
  <c r="AF311" i="6" s="1"/>
  <c r="U314" i="6"/>
  <c r="U319" i="6"/>
  <c r="V309" i="6" s="1"/>
  <c r="V311" i="6" s="1"/>
  <c r="AP319" i="6"/>
  <c r="AQ309" i="6" s="1"/>
  <c r="AQ311" i="6" s="1"/>
  <c r="AP314" i="6"/>
  <c r="V314" i="6" l="1"/>
  <c r="V319" i="6"/>
  <c r="W309" i="6" s="1"/>
  <c r="W311" i="6" s="1"/>
  <c r="AQ319" i="6"/>
  <c r="AR309" i="6" s="1"/>
  <c r="AR311" i="6" s="1"/>
  <c r="AQ314" i="6"/>
  <c r="AF319" i="6"/>
  <c r="AG309" i="6" s="1"/>
  <c r="AG311" i="6" s="1"/>
  <c r="AF314" i="6"/>
  <c r="AG319" i="6" l="1"/>
  <c r="AG314" i="6"/>
  <c r="AR314" i="6"/>
  <c r="AR319" i="6"/>
  <c r="Z341" i="6" s="1"/>
  <c r="AE347" i="6" s="1"/>
  <c r="K266" i="6" s="1"/>
  <c r="W319" i="6"/>
  <c r="W314" i="6"/>
  <c r="Z335" i="6" l="1"/>
  <c r="Z336" i="6"/>
  <c r="AE342" i="6"/>
  <c r="Z339" i="6"/>
  <c r="AJ339" i="6" s="1"/>
  <c r="AL339" i="6" s="1"/>
  <c r="Z337" i="6"/>
  <c r="Z338" i="6"/>
  <c r="AJ338" i="6" s="1"/>
  <c r="AL338" i="6" s="1"/>
  <c r="AC337" i="6" l="1"/>
  <c r="AJ337" i="6"/>
  <c r="AE348" i="6"/>
  <c r="C266" i="6"/>
  <c r="AE346" i="6"/>
  <c r="E266" i="6" s="1"/>
  <c r="AC336" i="6"/>
  <c r="AJ336" i="6"/>
  <c r="AC335" i="6"/>
  <c r="AJ335" i="6"/>
  <c r="AK337" i="6" l="1"/>
  <c r="AL337" i="6" s="1"/>
  <c r="AK335" i="6"/>
  <c r="AL335" i="6" s="1"/>
  <c r="AK336" i="6"/>
  <c r="AL336" i="6" s="1"/>
  <c r="AE343" i="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Chris Martin</author>
  </authors>
  <commentList>
    <comment ref="E198" authorId="0" shapeId="0" xr:uid="{00000000-0006-0000-0000-000001000000}">
      <text>
        <r>
          <rPr>
            <sz val="9"/>
            <color indexed="81"/>
            <rFont val="Tahoma"/>
            <family val="2"/>
          </rPr>
          <t>Term included must be the remaining loan term (in months) less any remaining interest only period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bwhittin</author>
    <author>Chris Martin</author>
  </authors>
  <commentList>
    <comment ref="K15" authorId="0" shapeId="0" xr:uid="{00000000-0006-0000-0100-000001000000}">
      <text>
        <r>
          <rPr>
            <sz val="9"/>
            <color indexed="81"/>
            <rFont val="Tahoma"/>
            <family val="2"/>
          </rPr>
          <t xml:space="preserve">Please complete pledge calculator and value will map accross
</t>
        </r>
      </text>
    </comment>
    <comment ref="K17" authorId="0" shapeId="0" xr:uid="{00000000-0006-0000-0100-000002000000}">
      <text>
        <r>
          <rPr>
            <sz val="9"/>
            <color indexed="81"/>
            <rFont val="Tahoma"/>
            <family val="2"/>
          </rPr>
          <t>Please complete pledge calculator and value will map accross</t>
        </r>
      </text>
    </comment>
    <comment ref="E142" authorId="1" shapeId="0" xr:uid="{00000000-0006-0000-0100-000003000000}">
      <text>
        <r>
          <rPr>
            <sz val="9"/>
            <color indexed="81"/>
            <rFont val="Tahoma"/>
            <family val="2"/>
          </rPr>
          <t>Term included must be the remaining loan term (in months) less any remaining interest only period</t>
        </r>
      </text>
    </comment>
  </commentList>
</comments>
</file>

<file path=xl/sharedStrings.xml><?xml version="1.0" encoding="utf-8"?>
<sst xmlns="http://schemas.openxmlformats.org/spreadsheetml/2006/main" count="15900" uniqueCount="788">
  <si>
    <t>PLEASE ENSURE THAT ALL LIGHT GREY FIELDS HAVE BEEN COMPLETED</t>
  </si>
  <si>
    <t>Loan/applicant details</t>
  </si>
  <si>
    <t>Applicant name/s</t>
  </si>
  <si>
    <t>Applicant 1</t>
  </si>
  <si>
    <t>Applicant 2</t>
  </si>
  <si>
    <t>Applicant 3</t>
  </si>
  <si>
    <t>Applicant 4</t>
  </si>
  <si>
    <t>Status (Couple or single)</t>
  </si>
  <si>
    <t>Couple</t>
  </si>
  <si>
    <t>Couple with other applicant?</t>
  </si>
  <si>
    <t>Number of dependants*</t>
  </si>
  <si>
    <t>*Only include common dependants once</t>
  </si>
  <si>
    <t>Account details</t>
  </si>
  <si>
    <t>Number of accounts</t>
  </si>
  <si>
    <t>Loan Amount</t>
  </si>
  <si>
    <t>Loan Term (yrs)</t>
  </si>
  <si>
    <t>Int. Only Period</t>
  </si>
  <si>
    <t>Carded Interest rate</t>
  </si>
  <si>
    <t>Account 1</t>
  </si>
  <si>
    <t>Account 2</t>
  </si>
  <si>
    <t>Account 3</t>
  </si>
  <si>
    <t>Account 4</t>
  </si>
  <si>
    <t>Account 5</t>
  </si>
  <si>
    <t>Account 6</t>
  </si>
  <si>
    <t>Total Loan amount</t>
  </si>
  <si>
    <t>Security details</t>
  </si>
  <si>
    <t>Number of securities</t>
  </si>
  <si>
    <t>Security value</t>
  </si>
  <si>
    <t>Postcode</t>
  </si>
  <si>
    <t>Investment (Y/N)</t>
  </si>
  <si>
    <t>Max loan amount per security 
Subject to satisfactory valuation</t>
  </si>
  <si>
    <t>Security 1</t>
  </si>
  <si>
    <t>N</t>
  </si>
  <si>
    <t>Security 2</t>
  </si>
  <si>
    <t>[Please select]</t>
  </si>
  <si>
    <t>Security 3</t>
  </si>
  <si>
    <t>Security 4</t>
  </si>
  <si>
    <t>Security 5</t>
  </si>
  <si>
    <t>Security 6</t>
  </si>
  <si>
    <t>Row to be hidden</t>
  </si>
  <si>
    <t>Total security value</t>
  </si>
  <si>
    <t>Maximum total loan based on security</t>
  </si>
  <si>
    <t>Capitalise LMI/LDF (Y/N)</t>
  </si>
  <si>
    <t xml:space="preserve"> </t>
  </si>
  <si>
    <t>LMI/LDF premium</t>
  </si>
  <si>
    <t>More than 50% of loan amount is for refinance or cash out purposes</t>
  </si>
  <si>
    <t>Self employed applicant</t>
  </si>
  <si>
    <t>Final loan amount</t>
  </si>
  <si>
    <t>Large loan (&gt;$2m) - Security details</t>
  </si>
  <si>
    <t>Investment (YN)</t>
  </si>
  <si>
    <t>Max loan amount per security</t>
  </si>
  <si>
    <t>Max total loan based on security</t>
  </si>
  <si>
    <t>LVR</t>
  </si>
  <si>
    <t>Security # dropdown box cell link</t>
  </si>
  <si>
    <t>Total loan fixed?</t>
  </si>
  <si>
    <t>Max fixed period</t>
  </si>
  <si>
    <t>Applicant name</t>
  </si>
  <si>
    <t>Couple with other applicant</t>
  </si>
  <si>
    <t>Number of children</t>
  </si>
  <si>
    <t>Living expense calc</t>
  </si>
  <si>
    <t>Taxable income</t>
  </si>
  <si>
    <t>Income for HEM</t>
  </si>
  <si>
    <t>Spouse income for HEM</t>
  </si>
  <si>
    <t>Total income</t>
  </si>
  <si>
    <t>Total Income for HEM</t>
  </si>
  <si>
    <t>Exclude for LE calc</t>
  </si>
  <si>
    <t>Applicant children</t>
  </si>
  <si>
    <t>Spouse children</t>
  </si>
  <si>
    <t>Total children</t>
  </si>
  <si>
    <t>Code</t>
  </si>
  <si>
    <t>Living expense</t>
  </si>
  <si>
    <t>Is this an applicant?</t>
  </si>
  <si>
    <t>Living exp calc for max loan</t>
  </si>
  <si>
    <t>NSR</t>
  </si>
  <si>
    <t>Step1</t>
  </si>
  <si>
    <t>Spouse income</t>
  </si>
  <si>
    <t>Step2</t>
  </si>
  <si>
    <t>Step3</t>
  </si>
  <si>
    <t>Step4</t>
  </si>
  <si>
    <t>Step5</t>
  </si>
  <si>
    <t>Step6</t>
  </si>
  <si>
    <t>Step7</t>
  </si>
  <si>
    <t>Gross annual income</t>
  </si>
  <si>
    <t>Total</t>
  </si>
  <si>
    <t>Base income (PAYG)</t>
  </si>
  <si>
    <t>Overtime/Bonus/Commission</t>
  </si>
  <si>
    <t>Restricted Postcode</t>
  </si>
  <si>
    <t>High Density</t>
  </si>
  <si>
    <t>Foreign(in AUD)/Investment</t>
  </si>
  <si>
    <t>Other income (taxable)</t>
  </si>
  <si>
    <t>Non-taxable income</t>
  </si>
  <si>
    <t>Self employed income</t>
  </si>
  <si>
    <r>
      <t xml:space="preserve">Annual rental income received </t>
    </r>
    <r>
      <rPr>
        <i/>
        <sz val="9"/>
        <color indexed="63"/>
        <rFont val="Arial"/>
        <family val="2"/>
      </rPr>
      <t>(apportion rental income to each applicant as per % of property ownership</t>
    </r>
    <r>
      <rPr>
        <sz val="9"/>
        <color indexed="63"/>
        <rFont val="Arial"/>
        <family val="2"/>
      </rPr>
      <t>)</t>
    </r>
  </si>
  <si>
    <t>Security property</t>
  </si>
  <si>
    <t>Other property</t>
  </si>
  <si>
    <t>Total annual rental @ 75%</t>
  </si>
  <si>
    <r>
      <t>Tax deductibility - Investment loans</t>
    </r>
    <r>
      <rPr>
        <i/>
        <sz val="9"/>
        <color indexed="63"/>
        <rFont val="Arial"/>
        <family val="2"/>
      </rPr>
      <t xml:space="preserve"> (apportion investment loan amounts to each applicant as per % of asset ownership)</t>
    </r>
  </si>
  <si>
    <t>This loan investment portion</t>
  </si>
  <si>
    <t>Other investment loans</t>
  </si>
  <si>
    <t>(Deductibility on any other investment loan can be used)</t>
  </si>
  <si>
    <r>
      <t>Annual investment property expenses</t>
    </r>
    <r>
      <rPr>
        <i/>
        <sz val="9"/>
        <color indexed="63"/>
        <rFont val="Arial"/>
        <family val="2"/>
      </rPr>
      <t xml:space="preserve"> (apportion expenses to each applicant as per % of property ownership)</t>
    </r>
  </si>
  <si>
    <t>Annual commitments (combined)</t>
  </si>
  <si>
    <t>(Enter comments/details)</t>
  </si>
  <si>
    <t>Annual</t>
  </si>
  <si>
    <t>This loan @ assessment rate</t>
  </si>
  <si>
    <r>
      <t xml:space="preserve">Remaining P&amp;I Loan Term </t>
    </r>
    <r>
      <rPr>
        <sz val="7.5"/>
        <color rgb="FF333333"/>
        <rFont val="Arial"/>
        <family val="2"/>
      </rPr>
      <t>(months)</t>
    </r>
  </si>
  <si>
    <t>Limit</t>
  </si>
  <si>
    <t>Interest Rate</t>
  </si>
  <si>
    <t>Monthly Repayments</t>
  </si>
  <si>
    <t>Existing Home Loan 1</t>
  </si>
  <si>
    <t>Existing Home Loan 2</t>
  </si>
  <si>
    <t>Existing Home Loan 3</t>
  </si>
  <si>
    <t>Existing Home Loan 4</t>
  </si>
  <si>
    <t>Personal loan limits</t>
  </si>
  <si>
    <t>Hire Purchase</t>
  </si>
  <si>
    <t>Lease/car loan</t>
  </si>
  <si>
    <t>Other debts</t>
  </si>
  <si>
    <t>Margin/Term/Other loans</t>
  </si>
  <si>
    <t>Balance</t>
  </si>
  <si>
    <t>Monthly Repayment</t>
  </si>
  <si>
    <t>Buy Now Pay Later</t>
  </si>
  <si>
    <t>Credit card total limit</t>
  </si>
  <si>
    <t>(Serviceability based on 45.6% p.a. of credit card limit)</t>
  </si>
  <si>
    <t>Credit card (proposed)</t>
  </si>
  <si>
    <t>Other (e.g. rent, board, child maintenance)</t>
  </si>
  <si>
    <t>Annual amount</t>
  </si>
  <si>
    <t>Total annual outgoings</t>
  </si>
  <si>
    <t>Monthly living expenses (combined)</t>
  </si>
  <si>
    <t xml:space="preserve"> Include Medical and health (excluding health insurance),  Groceries, Clothing &amp; Personal Care, Recreation &amp; entertainment (includes petcare), Childcare, Telephone/Internet/Media Streaming, Transport, Higher Education (excludes HECS), Public primary/Secondary   education, General Insurance (includes home and contents and car), Primary Residence Costs (excludes insurance), </t>
  </si>
  <si>
    <t>General living expenses (per month)</t>
  </si>
  <si>
    <t xml:space="preserve">Include - Medical and health (excludes health insurance),  Groceries, Clothing &amp; Personal Care, Recreation &amp; entertainment (includes petcare), Childcare, Telephone/Internet/Media Streaming, Transport, Higher Education (excludes HECS), Public Primary/Secondary education, General Insurance (includes home and contents, car), Primary Residence Costs. </t>
  </si>
  <si>
    <t>Additional living expenses (per month)</t>
  </si>
  <si>
    <t>Include - Personal Insurance (health, life, personal accident), Private education, Owner occupied strata/body corporate fees, Secondary residence/holiday home costs, Other regular expenses.</t>
  </si>
  <si>
    <t>Total (per month)</t>
  </si>
  <si>
    <t>PLEASE NOTE - DO NOT INCLUDE INVESTMENT PROPERTY EXPENSES IN THIS SECTION</t>
  </si>
  <si>
    <t>H</t>
  </si>
  <si>
    <t xml:space="preserve"> Read only</t>
  </si>
  <si>
    <t>I</t>
  </si>
  <si>
    <t>D</t>
  </si>
  <si>
    <t>Rental (75% used)</t>
  </si>
  <si>
    <t>E</t>
  </si>
  <si>
    <t>Interest Component (Inv. Loan)</t>
  </si>
  <si>
    <t>Interest Comp other loan</t>
  </si>
  <si>
    <t>R</t>
  </si>
  <si>
    <t>Interest component (Inv. loan)</t>
  </si>
  <si>
    <t>Extra Investment Property expenses</t>
  </si>
  <si>
    <t>O</t>
  </si>
  <si>
    <t>W</t>
  </si>
  <si>
    <t>Applicable tax</t>
  </si>
  <si>
    <t>S</t>
  </si>
  <si>
    <t>Net income after tax</t>
  </si>
  <si>
    <t>Code-App status cond. Format</t>
  </si>
  <si>
    <t>Calculated living expenses</t>
  </si>
  <si>
    <t>Net available</t>
  </si>
  <si>
    <t>Please check NOTES and GUIDELINES page to ensure this NSR ratio 
and surplus is applicable for this type of transaction</t>
  </si>
  <si>
    <t>Total outgoings</t>
  </si>
  <si>
    <t>Please check the NOTES and GUIDELINES page to ensure this NSR ratio and surplus is applicable for this type of transaction</t>
  </si>
  <si>
    <t>Surplus</t>
  </si>
  <si>
    <t>Serviceability test (NSR)</t>
  </si>
  <si>
    <t>hide</t>
  </si>
  <si>
    <t>DSR</t>
  </si>
  <si>
    <t>Serviceability test (DTI)</t>
  </si>
  <si>
    <t>Max loan (incl. LMI cap)</t>
  </si>
  <si>
    <t>Where LVR &gt; 90% (Based on 1.0 NSR)</t>
  </si>
  <si>
    <t>The information contained in this calculator is by way of example only and should not be regarded as a prediction. Interest rates and living expenses contained herein are for information purposes only and are subject to change. The information in this printout does not constitute an offer to lend. If you wish to apply for a loan, then you need to complete the application form available from our staff.</t>
  </si>
  <si>
    <t>The information contained in this calculator is provided by Macquarie Bank Limited ABN 46 008 583 542 AFSL and Australian Credit Licence 237502 for illustrative purposes only and should not be regarded as a prediction, or as personal advice. Calculations are not forecasts or projections but is a tool that may assist you to make your own projections. The calculator is not intended to be a substitute for professional financial advice. The information in this calculator does not constitute an offer to lend, or imply the product is suitable for clients. Before acting on this general information, your client must consider its appropriateness having regard to their own objectives, financial situation and need and also seek independent financial, legal and taxation advice. No guarantee, warranty, or representation is given or implied as to the reliability or accuracy of the information used to compile each index or each calculation. Macquarie specifically disclaims any liability for any direct, indirect, incidental, consequential, or special damages or for any loss arising out of or in any way connected with the access to, reliance on, or use of this calculator.</t>
  </si>
  <si>
    <t>Product cell link</t>
  </si>
  <si>
    <t>Rental income (80% used)</t>
  </si>
  <si>
    <t>Tax deductibility - Investment loans</t>
  </si>
  <si>
    <t>This loan amount</t>
  </si>
  <si>
    <t>Other loan amount</t>
  </si>
  <si>
    <t>NSR No.1</t>
  </si>
  <si>
    <t>NSR No.2: Large Loan &gt; $2mil or Construction</t>
  </si>
  <si>
    <t>NSR No.3 : LVR&gt;90%</t>
  </si>
  <si>
    <t>Taxable income for HEM</t>
  </si>
  <si>
    <t>This loan pa</t>
  </si>
  <si>
    <t>App1 Inc</t>
  </si>
  <si>
    <t>App1 NGB</t>
  </si>
  <si>
    <t>App1 Tax Inc</t>
  </si>
  <si>
    <t>App1 Tax</t>
  </si>
  <si>
    <t>Max loan</t>
  </si>
  <si>
    <t>App1 Net Inc</t>
  </si>
  <si>
    <t>App2 Tax Inc</t>
  </si>
  <si>
    <t>App2 NGB</t>
  </si>
  <si>
    <t>App2 Tax</t>
  </si>
  <si>
    <t>App2 Net Inc</t>
  </si>
  <si>
    <t>App3 Tax Inc</t>
  </si>
  <si>
    <t>App3 NGB</t>
  </si>
  <si>
    <t>App3 Tax</t>
  </si>
  <si>
    <t>App3 Net Inc</t>
  </si>
  <si>
    <t>App4 Tax Inc</t>
  </si>
  <si>
    <t>App4 NGB</t>
  </si>
  <si>
    <t>App4 Tax</t>
  </si>
  <si>
    <t>App4 Net Inc</t>
  </si>
  <si>
    <t>Net Avail</t>
  </si>
  <si>
    <t>Total Out</t>
  </si>
  <si>
    <t>Tax rates</t>
  </si>
  <si>
    <t>Inc Bracket</t>
  </si>
  <si>
    <t>Rate</t>
  </si>
  <si>
    <t>Calc max loan using max NGB where Inv loan = "Y" and total manually entered NGB = 0</t>
  </si>
  <si>
    <t>Y</t>
  </si>
  <si>
    <t>standard loan</t>
  </si>
  <si>
    <t>Product</t>
  </si>
  <si>
    <t>Max loan rules</t>
  </si>
  <si>
    <t>Security</t>
  </si>
  <si>
    <t>LVR Max</t>
  </si>
  <si>
    <t>Max LVR</t>
  </si>
  <si>
    <t>Cons max</t>
  </si>
  <si>
    <t>Cons max 90%</t>
  </si>
  <si>
    <t>Max loan final LVR &gt; 90</t>
  </si>
  <si>
    <t>If &gt; $2M</t>
  </si>
  <si>
    <t xml:space="preserve">Please select </t>
  </si>
  <si>
    <t>Standard</t>
  </si>
  <si>
    <t>Construction</t>
  </si>
  <si>
    <t>Family Guarantee</t>
  </si>
  <si>
    <t>Loan &gt; $2M</t>
  </si>
  <si>
    <t>LVR &gt; 90%</t>
  </si>
  <si>
    <t>Product selected</t>
  </si>
  <si>
    <t>Max loan based on NSR, LVR and product rules</t>
  </si>
  <si>
    <t>Max loan based on 1.20</t>
  </si>
  <si>
    <t>Max loan based on NSR, actual scenario based (1.20NSR where LVR &gt; 90%)</t>
  </si>
  <si>
    <t>Declared Repayment Annualised</t>
  </si>
  <si>
    <t>Assessed Annual Repayment</t>
  </si>
  <si>
    <t>Existing mortgage 1</t>
  </si>
  <si>
    <t>Existing mortgage 2</t>
  </si>
  <si>
    <t>Existing mortgage 3</t>
  </si>
  <si>
    <t>Existing mortgage 4</t>
  </si>
  <si>
    <t>PI Serviceability Fields</t>
  </si>
  <si>
    <t>RTI</t>
  </si>
  <si>
    <t>Total loan (incl LMI cap)</t>
  </si>
  <si>
    <t>Income pre haircut</t>
  </si>
  <si>
    <t>LTI</t>
  </si>
  <si>
    <t>Total debt</t>
  </si>
  <si>
    <t>DTI</t>
  </si>
  <si>
    <t>Surplus (NIS HRL)</t>
  </si>
  <si>
    <t>Surplus to gross income</t>
  </si>
  <si>
    <t>Assessment Rate</t>
  </si>
  <si>
    <t>GUARANTOR LOAN SERVICEABILITY WORKSHEET</t>
  </si>
  <si>
    <r>
      <t>PLEASE ENSURE THAT ALL HIGHLIGHTED (</t>
    </r>
    <r>
      <rPr>
        <b/>
        <i/>
        <sz val="8"/>
        <color indexed="9"/>
        <rFont val="Arial"/>
        <family val="2"/>
      </rPr>
      <t>PALE GREY</t>
    </r>
    <r>
      <rPr>
        <b/>
        <sz val="8"/>
        <color indexed="9"/>
        <rFont val="Arial"/>
        <family val="2"/>
      </rPr>
      <t>) FIELDS HAVE BEEN COMPLETED</t>
    </r>
  </si>
  <si>
    <t>Applicant details</t>
  </si>
  <si>
    <t>Hide Columns</t>
  </si>
  <si>
    <t>Number of couples</t>
  </si>
  <si>
    <t>Number of single adults</t>
  </si>
  <si>
    <t>100% Investment (Y/N)</t>
  </si>
  <si>
    <r>
      <t>Loan</t>
    </r>
    <r>
      <rPr>
        <sz val="9"/>
        <color indexed="63"/>
        <rFont val="Arial"/>
        <family val="2"/>
      </rPr>
      <t xml:space="preserve"> (incl. pledge)</t>
    </r>
  </si>
  <si>
    <t>Max borrower rate</t>
  </si>
  <si>
    <t>Assessment rate</t>
  </si>
  <si>
    <t>Hide</t>
  </si>
  <si>
    <t>Spouse Income for HEM</t>
  </si>
  <si>
    <t>Security Property</t>
  </si>
  <si>
    <t>Other Property</t>
  </si>
  <si>
    <t>(Enter details)</t>
  </si>
  <si>
    <t xml:space="preserve">Interest Only period </t>
  </si>
  <si>
    <r>
      <t xml:space="preserve">Remaining P&amp;I Loan Term </t>
    </r>
    <r>
      <rPr>
        <sz val="7.5"/>
        <color rgb="FF333333"/>
        <rFont val="Arial"/>
        <family val="2"/>
      </rPr>
      <t>(Months)</t>
    </r>
  </si>
  <si>
    <t>(Serviceability based on 45.6% of credit card limit)</t>
  </si>
  <si>
    <t>Other (eg rent)</t>
  </si>
  <si>
    <t> (Include clothing, personal care, groceries, transport, owner occupied rates &amp; utilities and other basic living expenses)</t>
  </si>
  <si>
    <t>Basic living expenses (p/m)</t>
  </si>
  <si>
    <t>Discretionary living expenses (p/m)</t>
  </si>
  <si>
    <t>(Include childcare, education, insurance, medical, health, recreation, entertainment, telephone, internet, pay TV and any other expenses, DO NOT INCLUDE INVESTMENT PROPERTY EXPENSES IN THIS SECTION)</t>
  </si>
  <si>
    <t>Total (p/m)</t>
  </si>
  <si>
    <t>Extra Investment Property Expense</t>
  </si>
  <si>
    <t>Maximum loan amount</t>
  </si>
  <si>
    <t xml:space="preserve">(Based on NSR. For investment loans, maximum tax deductibility split evenly per applicant) </t>
  </si>
  <si>
    <t>Medicare levy</t>
  </si>
  <si>
    <t>Higher NSR where loan &gt;</t>
  </si>
  <si>
    <t>(Y/N)</t>
  </si>
  <si>
    <t>Maximum loan amount based on NSR</t>
  </si>
  <si>
    <t>Macquarie Debt</t>
  </si>
  <si>
    <t>No</t>
  </si>
  <si>
    <t>Self employed worksheet</t>
  </si>
  <si>
    <t>Self employed - Business 1</t>
  </si>
  <si>
    <t>Current year</t>
  </si>
  <si>
    <t>Previous year</t>
  </si>
  <si>
    <t>Comments</t>
  </si>
  <si>
    <t xml:space="preserve">Tax year ending </t>
  </si>
  <si>
    <r>
      <t xml:space="preserve">Profit/loss </t>
    </r>
    <r>
      <rPr>
        <sz val="10"/>
        <color indexed="63"/>
        <rFont val="Arial"/>
        <family val="2"/>
      </rPr>
      <t>(before tax)</t>
    </r>
  </si>
  <si>
    <r>
      <t>minus</t>
    </r>
    <r>
      <rPr>
        <sz val="10"/>
        <color indexed="63"/>
        <rFont val="Arial"/>
        <family val="2"/>
      </rPr>
      <t xml:space="preserve"> Non-recurring income</t>
    </r>
  </si>
  <si>
    <t>Total profit/loss</t>
  </si>
  <si>
    <t>Allowable add-backs</t>
  </si>
  <si>
    <t>Director salary/fees (before tax)</t>
  </si>
  <si>
    <t>Depreciation *</t>
  </si>
  <si>
    <t>Interest expenses (loans being refinanced)</t>
  </si>
  <si>
    <t>Superannuation (in excess of compulsory)</t>
  </si>
  <si>
    <t>Non-recurring expenses (please specify)</t>
  </si>
  <si>
    <t>Other (please specify)</t>
  </si>
  <si>
    <t>Total add-backs</t>
  </si>
  <si>
    <t>Net available income</t>
  </si>
  <si>
    <t>Average net available income</t>
  </si>
  <si>
    <t>Income for serviceability</t>
  </si>
  <si>
    <t>(this amount auto populates serviceability worksheet)</t>
  </si>
  <si>
    <t>(uses lower current year or max 20% increase rule)</t>
  </si>
  <si>
    <t>Total allocation</t>
  </si>
  <si>
    <t>Income allocation to applicants (%)</t>
  </si>
  <si>
    <t>Income distribution for business 1</t>
  </si>
  <si>
    <t>* Depreciation add-back automatically limited to a maximum 20% of profit in the total add-backs.</t>
  </si>
  <si>
    <t>Self employed - Business 2</t>
  </si>
  <si>
    <t>Income distribution for business 2</t>
  </si>
  <si>
    <t xml:space="preserve">The information contained in this calculator is by way of example only and should not be regarded as a prediction.  The information in this printout does not constitute </t>
  </si>
  <si>
    <t>an offer to lend. If you wish to apply for a loan, then you need to complete the application form available from our staff.</t>
  </si>
  <si>
    <t xml:space="preserve">  Macquarie Securitisation Limited is not an authorised deposit-taking institution for the purposes of the Banking Act (Cth) 1959, and Macquarie</t>
  </si>
  <si>
    <t xml:space="preserve">  Securitisation Limited’s obligations do not represent deposits or other liabilities of Macquarie Bank Limited ABN 46 008 583 542. Macquarie Bank</t>
  </si>
  <si>
    <t xml:space="preserve">  Limited does not guarantee or otherwise provide assurance in respect of the obligations of Macquarie Securitisation Limited.</t>
  </si>
  <si>
    <t xml:space="preserve"> Macquarie Bank          </t>
  </si>
  <si>
    <t>Expanded Income Verification (EIV) - Self employed income calculator (using BAS)</t>
  </si>
  <si>
    <t>(Please complete pale yellow highlighted fields)</t>
  </si>
  <si>
    <t>Step 1.     Input BAS turnover for last 4 consecutive quarters (minimum 12 months)</t>
  </si>
  <si>
    <t>Last 12 months BAS turnover</t>
  </si>
  <si>
    <t>Quarter 1</t>
  </si>
  <si>
    <t>Quarter 2</t>
  </si>
  <si>
    <t>Quarter 3</t>
  </si>
  <si>
    <t>Quarter 4</t>
  </si>
  <si>
    <t>Most recent BAS (to be no older than 3 months)</t>
  </si>
  <si>
    <t>Total gross turnover</t>
  </si>
  <si>
    <t>Step 2.    Input Income and expenses from recent tax return to calculate expense ratio</t>
  </si>
  <si>
    <t>(Financial year end to be no older than 2 year and 9 months)</t>
  </si>
  <si>
    <t>Gross income</t>
  </si>
  <si>
    <t>Total expenses/costs</t>
  </si>
  <si>
    <t>(Including staff, director salary/fees)</t>
  </si>
  <si>
    <t>Net profit before tax</t>
  </si>
  <si>
    <t>Non-recurring income</t>
  </si>
  <si>
    <t>Please specify</t>
  </si>
  <si>
    <t>Depreciation</t>
  </si>
  <si>
    <t>(Max 20% of net available income used in calculation)</t>
  </si>
  <si>
    <t>Depreciation used</t>
  </si>
  <si>
    <r>
      <t xml:space="preserve">Directors salary/fees </t>
    </r>
    <r>
      <rPr>
        <i/>
        <sz val="9"/>
        <color indexed="62"/>
        <rFont val="Arial"/>
        <family val="2"/>
      </rPr>
      <t>(before tax)</t>
    </r>
  </si>
  <si>
    <t>(Include directors remuneration as per expenses)</t>
  </si>
  <si>
    <t>Directors superannuation</t>
  </si>
  <si>
    <t>(In excess of compulsory contribution)</t>
  </si>
  <si>
    <t>Interest expenses</t>
  </si>
  <si>
    <t>(For existing loans being refinanced)</t>
  </si>
  <si>
    <t>Non-recurring expenses</t>
  </si>
  <si>
    <t>(Must be supported by an accountants letter)</t>
  </si>
  <si>
    <t>Step 3.    Calculate income to be used in serviceability assessment</t>
  </si>
  <si>
    <t>Expense ratio</t>
  </si>
  <si>
    <t>Calculated expenses (using expense ratio)</t>
  </si>
  <si>
    <t>Borrower income</t>
  </si>
  <si>
    <t>Maximum allowable income</t>
  </si>
  <si>
    <t>Use this figure in the serviceability calculator</t>
  </si>
  <si>
    <t>(Maximum 20% increase on previous year)</t>
  </si>
  <si>
    <t xml:space="preserve">Other than Macquarie Bank Limited ABN 46 008 583 542 (also referred to as Macquarie Bank), any Macquarie Group entity noted in this document is not an </t>
  </si>
  <si>
    <t xml:space="preserve">authorised deposit-taking institution for the purposes of the Banking Act (Cth) 1959. That entity’s obligations do not represent deposits or other liabilities of </t>
  </si>
  <si>
    <t>Macquarie Bank Limited and Macquarie Bank Limited does not guarantee or otherwise provide assurance in respect of the obligations of that entity.</t>
  </si>
  <si>
    <t>LOAN SERVICEABILITY WORKSHEET - NOTES and GUIDELINES</t>
  </si>
  <si>
    <t>User notes</t>
  </si>
  <si>
    <t>•  For construction accounts/splits, a minimum 2 year interest only period is required.</t>
  </si>
  <si>
    <t>•  Complete all highlighted cells that apply to the applicant(s)</t>
  </si>
  <si>
    <t>•  Non highlighted cells will populate automatically</t>
  </si>
  <si>
    <t>•  Enter the verified amount of anticipated or existing rental income from ALL sources (including self-employed) for each applicant per their</t>
  </si>
  <si>
    <t xml:space="preserve">   percentage ownership split for security and other investment property(s) into the Annual rental income received field(s)</t>
  </si>
  <si>
    <r>
      <t xml:space="preserve">•  45.6% p.a of </t>
    </r>
    <r>
      <rPr>
        <b/>
        <sz val="9"/>
        <color indexed="63"/>
        <rFont val="Arial"/>
        <family val="2"/>
      </rPr>
      <t>credit card limits</t>
    </r>
    <r>
      <rPr>
        <sz val="9"/>
        <color indexed="63"/>
        <rFont val="Arial"/>
        <family val="2"/>
      </rPr>
      <t xml:space="preserve"> will be used in assessment. Insert the full amount of combined limits (existing) and proposed credit </t>
    </r>
  </si>
  <si>
    <t xml:space="preserve">   card limits (for loan packages) and the spreadsheet will calculate automatically</t>
  </si>
  <si>
    <r>
      <t xml:space="preserve">•  </t>
    </r>
    <r>
      <rPr>
        <b/>
        <sz val="9"/>
        <color indexed="63"/>
        <rFont val="Arial"/>
        <family val="2"/>
      </rPr>
      <t>Tax deductibility</t>
    </r>
    <r>
      <rPr>
        <sz val="9"/>
        <color indexed="63"/>
        <rFont val="Arial"/>
        <family val="2"/>
      </rPr>
      <t xml:space="preserve"> on all investment loans may be considered in assessment. Enter the investment portion of this loan amount</t>
    </r>
  </si>
  <si>
    <t xml:space="preserve">    and any other investment loan into the tax deductible section for each applicant (split by asset ownership)</t>
  </si>
  <si>
    <t>•  Applicants who reside with family or friends rent free or at an unusually low cost, $650 per month notional rent is to be included as an</t>
  </si>
  <si>
    <t xml:space="preserve">    expense in for serviceability.</t>
  </si>
  <si>
    <t>Maximum loan amount / LVR</t>
  </si>
  <si>
    <t>Maximum loan</t>
  </si>
  <si>
    <t>Maximum LVR</t>
  </si>
  <si>
    <t>Property purchase</t>
  </si>
  <si>
    <t>(including LMI/LDF capitalisation where applicable)</t>
  </si>
  <si>
    <t>Refinance</t>
  </si>
  <si>
    <r>
      <t>Note:</t>
    </r>
    <r>
      <rPr>
        <sz val="9"/>
        <color rgb="FF333333"/>
        <rFont val="Arial"/>
        <family val="2"/>
      </rPr>
      <t xml:space="preserve"> Other LVR restrictions may apply depending on loan purpose, LVR, security location, security type, valuation risk assessment etc. </t>
    </r>
  </si>
  <si>
    <t>Please refer to policy for further details</t>
  </si>
  <si>
    <t>Serviceability Guidelines</t>
  </si>
  <si>
    <t>Serviceability Test</t>
  </si>
  <si>
    <t>The NSR must be equal to at least</t>
  </si>
  <si>
    <t xml:space="preserve"> times.</t>
  </si>
  <si>
    <t>Where the final LVR is greater than 90% (including LMI premium capitalisation)</t>
  </si>
  <si>
    <t xml:space="preserve"> times is required.</t>
  </si>
  <si>
    <r>
      <t xml:space="preserve">Note:   </t>
    </r>
    <r>
      <rPr>
        <sz val="9"/>
        <color indexed="63"/>
        <rFont val="Arial"/>
        <family val="2"/>
      </rPr>
      <t xml:space="preserve">Where the NSR is less than </t>
    </r>
  </si>
  <si>
    <t xml:space="preserve"> the loan approval is considered based on the overall strengths </t>
  </si>
  <si>
    <t>and merits of the application. Please refer to your BDM</t>
  </si>
  <si>
    <r>
      <t>Minimum NSR is 1.10</t>
    </r>
    <r>
      <rPr>
        <sz val="9"/>
        <color indexed="63"/>
        <rFont val="Arial"/>
        <family val="2"/>
      </rPr>
      <t xml:space="preserve"> where the family guarantee feature is used, for construction loans or where the </t>
    </r>
  </si>
  <si>
    <t>loan amount is greater than $2,000,000.</t>
  </si>
  <si>
    <t>Self Employed Worksheet</t>
  </si>
  <si>
    <t xml:space="preserve">•  Click on </t>
  </si>
  <si>
    <t>in the serviceability worksheet to access the self employed worksheet</t>
  </si>
  <si>
    <t xml:space="preserve">•  To go back to the serviceability worksheet from the self employed worksheet click on </t>
  </si>
  <si>
    <t>•  The worksheet is to assist with calculating income for self employed individuals (including company directors)</t>
  </si>
  <si>
    <t xml:space="preserve">•  Enter all income details, expenses and allowable add backs </t>
  </si>
  <si>
    <t>•  Any non-recurring (one off ) expenses will require an accountants letter to justify</t>
  </si>
  <si>
    <t>•  Please add notes where required, including for one off expenses, where income has reduced or increased (by more than 20%)</t>
  </si>
  <si>
    <t>•  The income figure for serviceability will be calculated by using the average of 2 years or 20% max increase on the previous year</t>
  </si>
  <si>
    <t xml:space="preserve">   (where current year is lower that figure will be used). The calculated figure will be auto-populated to the serviceability worksheet </t>
  </si>
  <si>
    <t>•  Any income figure (outside this rule), required for serviceability will be considered only on an exception basis.</t>
  </si>
  <si>
    <t>Expanded income verification (EIV) feature</t>
  </si>
  <si>
    <t>•  For self employed applicants wanting to use business activity statements (BAS) in lieu of tax returns for income verification</t>
  </si>
  <si>
    <t>in the serviceability worksheet to access the EIV income calculator</t>
  </si>
  <si>
    <t>•  Follow the instructions on the page to calculate income for serviceability using recent 12 months BAS and previous tax return</t>
  </si>
  <si>
    <t>•  Please refer to the lending policy document for full EIV parameters and documentation requirements.</t>
  </si>
  <si>
    <t>Family Guarantee feature</t>
  </si>
  <si>
    <t xml:space="preserve">•  Select family guarantee in the product drop down box (the family guarantee calculator and guarantor serviceability worksheets </t>
  </si>
  <si>
    <t xml:space="preserve">   will then become available)  </t>
  </si>
  <si>
    <t>•  Complete the pledge calculator. The borrower(s) and guarantor(s) loan amount and LVR (including allowance for pledge) will populate</t>
  </si>
  <si>
    <t xml:space="preserve">    to the respective serviceability worksheets</t>
  </si>
  <si>
    <t>•  Complete the borrower and guarantor serviceability worksheets (including loans to be refinanced on the guarantor's property)</t>
  </si>
  <si>
    <t xml:space="preserve">FAMILY GUARANTEE - PLEDGE CALCULATOR </t>
  </si>
  <si>
    <r>
      <t>PLEASE COMPLETE ALL HIGHLIGHTED (</t>
    </r>
    <r>
      <rPr>
        <b/>
        <i/>
        <sz val="11"/>
        <color indexed="9"/>
        <rFont val="Calibri"/>
        <family val="2"/>
      </rPr>
      <t>PALE GREY</t>
    </r>
    <r>
      <rPr>
        <b/>
        <sz val="11"/>
        <color indexed="9"/>
        <rFont val="Calibri"/>
        <family val="2"/>
      </rPr>
      <t>) FIELDS</t>
    </r>
  </si>
  <si>
    <t>Borrower details</t>
  </si>
  <si>
    <t>Borrower name/s</t>
  </si>
  <si>
    <t>Relationship to guarantor</t>
  </si>
  <si>
    <t xml:space="preserve">Loan amount </t>
  </si>
  <si>
    <t>Purchase price</t>
  </si>
  <si>
    <t xml:space="preserve">Valuation amount </t>
  </si>
  <si>
    <t>Security address</t>
  </si>
  <si>
    <t>Guarantor details</t>
  </si>
  <si>
    <t>Guarantor name/s</t>
  </si>
  <si>
    <t>Relationship to borrower</t>
  </si>
  <si>
    <t xml:space="preserve">Refinance loan amount </t>
  </si>
  <si>
    <t>(MBMS to hold 1st RM)</t>
  </si>
  <si>
    <t xml:space="preserve">Guarantor security value </t>
  </si>
  <si>
    <t>Pledge calculation</t>
  </si>
  <si>
    <r>
      <t>Borrower LVR</t>
    </r>
    <r>
      <rPr>
        <b/>
        <sz val="10"/>
        <color indexed="63"/>
        <rFont val="Calibri"/>
        <family val="2"/>
      </rPr>
      <t xml:space="preserve"> </t>
    </r>
  </si>
  <si>
    <t xml:space="preserve"> (Max 110%)</t>
  </si>
  <si>
    <t xml:space="preserve">Guarantor pledge LVR </t>
  </si>
  <si>
    <t xml:space="preserve"> (Max 50%)</t>
  </si>
  <si>
    <t>(without pledge)</t>
  </si>
  <si>
    <t>Proposed borrower LVR</t>
  </si>
  <si>
    <t xml:space="preserve"> (Max 80%)</t>
  </si>
  <si>
    <t xml:space="preserve">Overall guarantor LVR </t>
  </si>
  <si>
    <t xml:space="preserve"> (Max 70%)</t>
  </si>
  <si>
    <t xml:space="preserve">(with pledge)  </t>
  </si>
  <si>
    <t>(including refinanced loan)</t>
  </si>
  <si>
    <t xml:space="preserve">Required pledge amount </t>
  </si>
  <si>
    <t>Loan/LVR Parameters</t>
  </si>
  <si>
    <t>Rules matrix</t>
  </si>
  <si>
    <t>Result</t>
  </si>
  <si>
    <t>Error messages</t>
  </si>
  <si>
    <t>BwrLVR_NoPledge</t>
  </si>
  <si>
    <t>&lt;=</t>
  </si>
  <si>
    <t>Family guarantee not required</t>
  </si>
  <si>
    <t>&gt;</t>
  </si>
  <si>
    <t>BwrLVR_Pledge</t>
  </si>
  <si>
    <t>Gtr_SecValue</t>
  </si>
  <si>
    <t>=</t>
  </si>
  <si>
    <t>Please enter guarantor security value</t>
  </si>
  <si>
    <t>Gtr_PledgeLVR</t>
  </si>
  <si>
    <t>Total_GtrLVR</t>
  </si>
  <si>
    <t>&lt;</t>
  </si>
  <si>
    <t>MinBwrLVR</t>
  </si>
  <si>
    <t>Min borrower LVR</t>
  </si>
  <si>
    <t>(Max 85%)</t>
  </si>
  <si>
    <t>Max available pledge amount</t>
  </si>
  <si>
    <t xml:space="preserve">(based on availabe pledge) </t>
  </si>
  <si>
    <t>References</t>
  </si>
  <si>
    <t>postcode</t>
  </si>
  <si>
    <t>state</t>
  </si>
  <si>
    <t>Location cat</t>
  </si>
  <si>
    <t>Large loan_MedV band_Cat1</t>
  </si>
  <si>
    <t>State/Location Cat</t>
  </si>
  <si>
    <t>12 mth Median Value*</t>
  </si>
  <si>
    <t>Restricted List</t>
  </si>
  <si>
    <t>12 mth Median Value bands</t>
  </si>
  <si>
    <t>Product dropdown list</t>
  </si>
  <si>
    <t>Calcuator type:</t>
  </si>
  <si>
    <t>NT</t>
  </si>
  <si>
    <t>&gt;=450-750K</t>
  </si>
  <si>
    <t>NT Cat 1</t>
  </si>
  <si>
    <t/>
  </si>
  <si>
    <t>Yes</t>
  </si>
  <si>
    <t>[Please Select]</t>
  </si>
  <si>
    <t>Applicant couple matching matrix (currently not used - hidden in servicing worksheet - required to be activated where living expense tiering based on household income is used )</t>
  </si>
  <si>
    <t>NT Cat 4</t>
  </si>
  <si>
    <t>&lt;300K</t>
  </si>
  <si>
    <t>NSR test responses</t>
  </si>
  <si>
    <t>Cell link</t>
  </si>
  <si>
    <t>List 1</t>
  </si>
  <si>
    <t>List 2</t>
  </si>
  <si>
    <t>List 3</t>
  </si>
  <si>
    <t>List 4</t>
  </si>
  <si>
    <t>&gt;=300-450K</t>
  </si>
  <si>
    <t>Passes serviceability test</t>
  </si>
  <si>
    <t>List:</t>
  </si>
  <si>
    <t>Internal</t>
  </si>
  <si>
    <t>Applicant</t>
  </si>
  <si>
    <t>N/A</t>
  </si>
  <si>
    <t>Please refer to your BDM</t>
  </si>
  <si>
    <t>External</t>
  </si>
  <si>
    <t>&gt;=750-900K</t>
  </si>
  <si>
    <t>Fails serviceability test - Please refer to 'Notes and Guidelines' tab</t>
  </si>
  <si>
    <t>Large Loan (&gt;$2m)</t>
  </si>
  <si>
    <t>&gt;=900K</t>
  </si>
  <si>
    <t>Refer BDM – Minimum surplus of $500 is required unless satisfactory evidence of at least $10,000 in savings/redraw/liquid assets is provided (for purchases this is based on the post settlement funds position).</t>
  </si>
  <si>
    <t>Min variable rate</t>
  </si>
  <si>
    <t>Var assessment rate buffer</t>
  </si>
  <si>
    <t>Applicant couple matching matrix - Family Guarantee - Guarantor Serviceability</t>
  </si>
  <si>
    <t>* Rpdata last 12 months median values. Max of houses/units used and averaged for suburbs in postcode (PC)</t>
  </si>
  <si>
    <t>Fix(4,5) assessment rate buffer</t>
  </si>
  <si>
    <t>MV last updated March 2015</t>
  </si>
  <si>
    <t>Tax Scales (effective 1/7/2011)</t>
  </si>
  <si>
    <t>Tax applicable per applicant</t>
  </si>
  <si>
    <t>Security location categories</t>
  </si>
  <si>
    <t>From</t>
  </si>
  <si>
    <t>To</t>
  </si>
  <si>
    <t>Tax rate</t>
  </si>
  <si>
    <t>App1</t>
  </si>
  <si>
    <t>App2</t>
  </si>
  <si>
    <t>App3</t>
  </si>
  <si>
    <t>App4</t>
  </si>
  <si>
    <t>Metropolitan</t>
  </si>
  <si>
    <t>Major Regional</t>
  </si>
  <si>
    <t>Regional</t>
  </si>
  <si>
    <t>NT Cat 3</t>
  </si>
  <si>
    <t>National (country)</t>
  </si>
  <si>
    <t>Based on Genworth LMI category ratings</t>
  </si>
  <si>
    <t>Note: need to fill down MV band formula when updating median values</t>
  </si>
  <si>
    <t>Dropdown box list</t>
  </si>
  <si>
    <t>Tax applicable per applicant - Family Pledge Guarantors</t>
  </si>
  <si>
    <t>No. of securities (Large loans &amp; standard loans)</t>
  </si>
  <si>
    <t>NT Cat 2</t>
  </si>
  <si>
    <t>Default Loan Assess Term (Months)</t>
  </si>
  <si>
    <t>Living expenses</t>
  </si>
  <si>
    <t>Updated March 2015</t>
  </si>
  <si>
    <t>HEM - Per child basis</t>
  </si>
  <si>
    <t>This is for when income tiering is used and children are captured per household (currently hidden &amp;  dormant)</t>
  </si>
  <si>
    <t>HEM - Per child basis (pw)</t>
  </si>
  <si>
    <t>Per week</t>
  </si>
  <si>
    <t>Per annum</t>
  </si>
  <si>
    <t>C0</t>
  </si>
  <si>
    <t>Interest only dropdown list</t>
  </si>
  <si>
    <t>per child</t>
  </si>
  <si>
    <t>C1</t>
  </si>
  <si>
    <t>C2</t>
  </si>
  <si>
    <t>Single</t>
  </si>
  <si>
    <t>C3</t>
  </si>
  <si>
    <t>C4</t>
  </si>
  <si>
    <t>C5</t>
  </si>
  <si>
    <t>Use income tiering</t>
  </si>
  <si>
    <t>C6</t>
  </si>
  <si>
    <t>(note: where income tiering, the following input cells to be unhidden in worksheet: Status, couple matching, and child # per applicant)</t>
  </si>
  <si>
    <t>C7</t>
  </si>
  <si>
    <t>C8</t>
  </si>
  <si>
    <t>Income tiering</t>
  </si>
  <si>
    <t>C9</t>
  </si>
  <si>
    <t>C10</t>
  </si>
  <si>
    <t>C11</t>
  </si>
  <si>
    <t>C12</t>
  </si>
  <si>
    <t>C13</t>
  </si>
  <si>
    <t>NSW</t>
  </si>
  <si>
    <t>NSW Cat 1</t>
  </si>
  <si>
    <t>C14</t>
  </si>
  <si>
    <t>C15</t>
  </si>
  <si>
    <t>C16</t>
  </si>
  <si>
    <t>C17</t>
  </si>
  <si>
    <t>C18</t>
  </si>
  <si>
    <t>C19</t>
  </si>
  <si>
    <t>C20</t>
  </si>
  <si>
    <t>S0</t>
  </si>
  <si>
    <t>S1</t>
  </si>
  <si>
    <t>S2</t>
  </si>
  <si>
    <t>S3</t>
  </si>
  <si>
    <t>S4</t>
  </si>
  <si>
    <t>S5</t>
  </si>
  <si>
    <t>S6</t>
  </si>
  <si>
    <t>S7</t>
  </si>
  <si>
    <t>S8</t>
  </si>
  <si>
    <t>S9</t>
  </si>
  <si>
    <t>S10</t>
  </si>
  <si>
    <t>S11</t>
  </si>
  <si>
    <t>S12</t>
  </si>
  <si>
    <t>S13</t>
  </si>
  <si>
    <t>S14</t>
  </si>
  <si>
    <t>S15</t>
  </si>
  <si>
    <t>S16</t>
  </si>
  <si>
    <t>S17</t>
  </si>
  <si>
    <t>S18</t>
  </si>
  <si>
    <t>S19</t>
  </si>
  <si>
    <t>S20</t>
  </si>
  <si>
    <t>NSW Cat 4</t>
  </si>
  <si>
    <t>NSW Cat 2</t>
  </si>
  <si>
    <t>NSW Cat 3</t>
  </si>
  <si>
    <t>ACT</t>
  </si>
  <si>
    <t>ACT Cat 1</t>
  </si>
  <si>
    <t>VIC</t>
  </si>
  <si>
    <t>VIC Cat 1</t>
  </si>
  <si>
    <t>VIC Cat 3</t>
  </si>
  <si>
    <t>VIC Cat 2</t>
  </si>
  <si>
    <t>VIC Cat 4</t>
  </si>
  <si>
    <t>QLD</t>
  </si>
  <si>
    <t>QLD Cat 1</t>
  </si>
  <si>
    <t>QLD Cat 4</t>
  </si>
  <si>
    <t>QLD Cat 3</t>
  </si>
  <si>
    <t>QLD Cat 2</t>
  </si>
  <si>
    <t>SA</t>
  </si>
  <si>
    <t>SA Cat 1</t>
  </si>
  <si>
    <t>SA Cat 4</t>
  </si>
  <si>
    <t>SA Cat 3</t>
  </si>
  <si>
    <t>SA Cat 2</t>
  </si>
  <si>
    <t>WA</t>
  </si>
  <si>
    <t>WA Cat 1</t>
  </si>
  <si>
    <t>WA Cat 4</t>
  </si>
  <si>
    <t>WA Cat 3</t>
  </si>
  <si>
    <t>WA Cat 2</t>
  </si>
  <si>
    <t>TAS</t>
  </si>
  <si>
    <t>TAS Cat 1</t>
  </si>
  <si>
    <t>TAS Cat 2</t>
  </si>
  <si>
    <t>TAS Cat 4</t>
  </si>
  <si>
    <t>TAS Cat 3</t>
  </si>
  <si>
    <t>ACT Cat 2</t>
  </si>
  <si>
    <t>"HEM Table 1" equivalent: by Income Level and Residency</t>
  </si>
  <si>
    <t>BASED ON PREDICTED VALUES FROM THE QUANTILE REGRESSIONS</t>
  </si>
  <si>
    <t>NEW FROM 2012Q3: Smoothed HEM</t>
  </si>
  <si>
    <t>Total current gross HH income from all sources (measured in 2010 dollars)</t>
  </si>
  <si>
    <t>Australia</t>
  </si>
  <si>
    <t>Income Lookup</t>
  </si>
  <si>
    <t>Couple with 1 child</t>
  </si>
  <si>
    <t>Couple with 2 children</t>
  </si>
  <si>
    <r>
      <t xml:space="preserve">Couple with 3 </t>
    </r>
    <r>
      <rPr>
        <strike/>
        <sz val="10"/>
        <color rgb="FFFF0000"/>
        <rFont val="Arial"/>
        <family val="2"/>
      </rPr>
      <t>or more</t>
    </r>
    <r>
      <rPr>
        <sz val="10"/>
        <rFont val="Arial"/>
        <family val="2"/>
      </rPr>
      <t xml:space="preserve"> children</t>
    </r>
  </si>
  <si>
    <t>Couple with 4 children</t>
  </si>
  <si>
    <t>Couple with 5 children</t>
  </si>
  <si>
    <t>Couple with 6 children</t>
  </si>
  <si>
    <t>Couple with 7 children</t>
  </si>
  <si>
    <t>Couple with 8 children</t>
  </si>
  <si>
    <t>Couple with 9 children</t>
  </si>
  <si>
    <t>Couple with 10 children</t>
  </si>
  <si>
    <t>Single person</t>
  </si>
  <si>
    <t>Single parent with 1 child</t>
  </si>
  <si>
    <t>Single parent with 2 children</t>
  </si>
  <si>
    <r>
      <t>Single parent with 3</t>
    </r>
    <r>
      <rPr>
        <strike/>
        <sz val="10"/>
        <color rgb="FFFF0000"/>
        <rFont val="Arial"/>
        <family val="2"/>
      </rPr>
      <t xml:space="preserve"> or more</t>
    </r>
    <r>
      <rPr>
        <sz val="10"/>
        <rFont val="Arial"/>
        <family val="2"/>
      </rPr>
      <t xml:space="preserve"> children</t>
    </r>
  </si>
  <si>
    <t>Single parent with 4 children</t>
  </si>
  <si>
    <t>Single parent with 5 children</t>
  </si>
  <si>
    <t>Single parent with 6 children</t>
  </si>
  <si>
    <t>Single parent with 7 children</t>
  </si>
  <si>
    <t>Single parent with 8 children</t>
  </si>
  <si>
    <t>Single parent with 9 children</t>
  </si>
  <si>
    <t>Single parent with 10 children</t>
  </si>
  <si>
    <t>Policy Parameters</t>
  </si>
  <si>
    <t>Maximum Loan Amount by Postcode Risk Category &amp; LVR Band</t>
  </si>
  <si>
    <t>Location</t>
  </si>
  <si>
    <t>(as defined by LMI)</t>
  </si>
  <si>
    <t>&lt;= 60%</t>
  </si>
  <si>
    <t>&gt; 60% up to 70%</t>
  </si>
  <si>
    <t>&gt; 70% up to 80%</t>
  </si>
  <si>
    <t>&gt; 80% up to 95%</t>
  </si>
  <si>
    <t>Cat</t>
  </si>
  <si>
    <t>Category 1</t>
  </si>
  <si>
    <t>Category 2</t>
  </si>
  <si>
    <t>Category 3</t>
  </si>
  <si>
    <t>Category 4</t>
  </si>
  <si>
    <t>Other Policy Parameters</t>
  </si>
  <si>
    <t>Policy</t>
  </si>
  <si>
    <t>LVR Limit</t>
  </si>
  <si>
    <t>Restricted Security</t>
  </si>
  <si>
    <t>Interest Only</t>
  </si>
  <si>
    <t>Multiple Security</t>
  </si>
  <si>
    <t>Investor</t>
  </si>
  <si>
    <t>Risk Category 1 &gt;10m allowable Loan Amount</t>
  </si>
  <si>
    <t>Risk Cateogry 1: Partition 1</t>
  </si>
  <si>
    <t>Risk Cateogry 1: Partition 2</t>
  </si>
  <si>
    <t>Risk Cateogry 2-3: Partition 1</t>
  </si>
  <si>
    <t>Risk Cateogry 2-3: Partition 2</t>
  </si>
  <si>
    <t>Risk Cateogry 2-3: Partition 3</t>
  </si>
  <si>
    <t>Implementation of Policy Parameters</t>
  </si>
  <si>
    <t>Implementation of Maximum Loan Amount by Postcode Risk Category &amp; LVR Band</t>
  </si>
  <si>
    <t>SecurityNumber</t>
  </si>
  <si>
    <t>Max</t>
  </si>
  <si>
    <t>Implementation of Other Policy Restrictions</t>
  </si>
  <si>
    <t>Apply Risk Category by LVR Limits</t>
  </si>
  <si>
    <t>Apply LVR Cap of 80% for Restricted Securities</t>
  </si>
  <si>
    <t>Apply LVR Cap of 80% for Facilities with IO Component</t>
  </si>
  <si>
    <t>Apply LVR Cap of 80% for Multiple Securities</t>
  </si>
  <si>
    <t>Apply LVR Cap of 90% for Investor Product</t>
  </si>
  <si>
    <t>Maximum Loan Amount</t>
  </si>
  <si>
    <t>Security Value</t>
  </si>
  <si>
    <t>State</t>
  </si>
  <si>
    <t>Postcode Risk Category</t>
  </si>
  <si>
    <t xml:space="preserve">Maximum Loan Amount </t>
  </si>
  <si>
    <t>Restricted</t>
  </si>
  <si>
    <t>IO</t>
  </si>
  <si>
    <t>Multiple Securities</t>
  </si>
  <si>
    <t>Security Count</t>
  </si>
  <si>
    <t>Messaging</t>
  </si>
  <si>
    <t>Condition</t>
  </si>
  <si>
    <t>Message</t>
  </si>
  <si>
    <t>&gt;$10m Loan</t>
  </si>
  <si>
    <t>Total Loan Exceeds $10m Limit</t>
  </si>
  <si>
    <t>Max Loan Exceeded</t>
  </si>
  <si>
    <t>Loan amount requested exceeds maximum based on security</t>
  </si>
  <si>
    <t>Master Message table</t>
  </si>
  <si>
    <t>Error messages to be based on the below intent (otherwise formulae to be reworked):</t>
  </si>
  <si>
    <t>OK (message not required)</t>
  </si>
  <si>
    <t>Refer BDM</t>
  </si>
  <si>
    <t>Refer</t>
  </si>
  <si>
    <t>Outside policy</t>
  </si>
  <si>
    <t>Reject</t>
  </si>
  <si>
    <t xml:space="preserve">STANDARD
</t>
  </si>
  <si>
    <t>TO $300,000</t>
  </si>
  <si>
    <t>FROM $300,001 TO $500,000</t>
  </si>
  <si>
    <t>FROM $500,001 TO $600,000</t>
  </si>
  <si>
    <t>FROM $600,001 TO $750,000</t>
  </si>
  <si>
    <t>FROM $750,001 TO $1.0M</t>
  </si>
  <si>
    <t>FROM $1.0M TO $1.5M</t>
  </si>
  <si>
    <t>FROM $1.5M TO $2.0M</t>
  </si>
  <si>
    <t>FROM $2.0M</t>
  </si>
  <si>
    <t>Family pledge</t>
  </si>
  <si>
    <t>FROM $2.0M TO $2.5M</t>
  </si>
  <si>
    <t>Column no. for lookups</t>
  </si>
  <si>
    <t>Up to 60%</t>
  </si>
  <si>
    <t>above 60% to 65%</t>
  </si>
  <si>
    <t>above 65% to 70%</t>
  </si>
  <si>
    <t>above 70% to 75%</t>
  </si>
  <si>
    <t>above 75% to 80%</t>
  </si>
  <si>
    <t>above 80% to 81%</t>
  </si>
  <si>
    <t>above 81% to 82%</t>
  </si>
  <si>
    <t>above 82% to 83%</t>
  </si>
  <si>
    <t>above 83% to 84%</t>
  </si>
  <si>
    <t>above 84% to 85%</t>
  </si>
  <si>
    <t>above 85% to 86%</t>
  </si>
  <si>
    <t>above 86% to 87%</t>
  </si>
  <si>
    <t>above 87% to 88%</t>
  </si>
  <si>
    <t>min $750</t>
  </si>
  <si>
    <t>above 88% to 89%</t>
  </si>
  <si>
    <t>above 89% to 90%</t>
  </si>
  <si>
    <t>above 90% to 91%</t>
  </si>
  <si>
    <t>above 91% to 92%</t>
  </si>
  <si>
    <t>above 92% to 93%</t>
  </si>
  <si>
    <t>above 93% to 94%</t>
  </si>
  <si>
    <t>above 94% to 95%</t>
  </si>
  <si>
    <t>above 95%</t>
  </si>
  <si>
    <t>Security state</t>
  </si>
  <si>
    <t>Stampduty</t>
  </si>
  <si>
    <t>If security state not selected max SD rate used</t>
  </si>
  <si>
    <t>Sec #</t>
  </si>
  <si>
    <t>Loaders</t>
  </si>
  <si>
    <t>External Refi/Cash out</t>
  </si>
  <si>
    <t>Self employed</t>
  </si>
  <si>
    <t>Property: Rental/Investment</t>
  </si>
  <si>
    <t>Predominant Security Type</t>
  </si>
  <si>
    <t>Property Value</t>
  </si>
  <si>
    <t>% of total Value</t>
  </si>
  <si>
    <t>Investment</t>
  </si>
  <si>
    <t>Non Investment</t>
  </si>
  <si>
    <t>Predominant Type</t>
  </si>
  <si>
    <t>Loan summary</t>
  </si>
  <si>
    <t>Total Loan Amount</t>
  </si>
  <si>
    <t>Total Security Value</t>
  </si>
  <si>
    <t>Base LVR</t>
  </si>
  <si>
    <t>Base LMI premium</t>
  </si>
  <si>
    <t>Loader 1 - Predominant loan refi/cash out</t>
  </si>
  <si>
    <t>Loader 2 - Predominant Security Type</t>
  </si>
  <si>
    <t>Loader 3 - Self Employed</t>
  </si>
  <si>
    <t>total</t>
  </si>
  <si>
    <t>using sumproduct()</t>
  </si>
  <si>
    <t>Premium</t>
  </si>
  <si>
    <t>(incl GST)</t>
  </si>
  <si>
    <t>Sampduty</t>
  </si>
  <si>
    <t>Total premium</t>
  </si>
  <si>
    <t>Borrower pays (net RITC)</t>
  </si>
  <si>
    <t>25% of GST</t>
  </si>
  <si>
    <t>Premium excl GST</t>
  </si>
  <si>
    <t>GST</t>
  </si>
  <si>
    <t>25% GST</t>
  </si>
  <si>
    <t>SD</t>
  </si>
  <si>
    <t>borrower pay</t>
  </si>
  <si>
    <t>(min $600)</t>
  </si>
  <si>
    <t>Stamp duty calc</t>
  </si>
  <si>
    <t>Security values</t>
  </si>
  <si>
    <t>SD %</t>
  </si>
  <si>
    <t>apportion</t>
  </si>
  <si>
    <t>State not entered</t>
  </si>
  <si>
    <t>Security type not entered</t>
  </si>
  <si>
    <t>Total SD</t>
  </si>
  <si>
    <t>State error message:</t>
  </si>
  <si>
    <t>Capitalise LMI dropdown list</t>
  </si>
  <si>
    <t>Note: lists depend on wether LMI cap is applicable (eg. LVR &gt; 80%)</t>
  </si>
  <si>
    <t>$026,000 or less</t>
  </si>
  <si>
    <t>$026,000 to $039,000</t>
  </si>
  <si>
    <t>$039,000 to $051,000</t>
  </si>
  <si>
    <t>$051,000 to $064,000</t>
  </si>
  <si>
    <t>$064,000 to $077,000</t>
  </si>
  <si>
    <t>$077,000 to $103,000</t>
  </si>
  <si>
    <t>$103,000 to $129,000</t>
  </si>
  <si>
    <t>$129,000 to $154,000</t>
  </si>
  <si>
    <t>$154,000 to $180,000</t>
  </si>
  <si>
    <t>$180,000 to $206,000</t>
  </si>
  <si>
    <t>$206,000 to $257,000</t>
  </si>
  <si>
    <t>$257,000 to $321,000</t>
  </si>
  <si>
    <t>$321,000 to $386,000</t>
  </si>
  <si>
    <t>$386,000 to $643,000</t>
  </si>
  <si>
    <t>$643,000 to $900,000</t>
  </si>
  <si>
    <t>$900,000 to $1,157,000</t>
  </si>
  <si>
    <t>$1,157,000 to $1,414,000</t>
  </si>
  <si>
    <t>$1,414,000 to $000,000</t>
  </si>
  <si>
    <t>Version: (16 Sep 2024)</t>
  </si>
  <si>
    <t>2024</t>
  </si>
  <si>
    <t>2023</t>
  </si>
  <si>
    <t>Yu Zhang &amp; Yehan Hong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</si>
</sst>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4">
    <numFmt numFmtId="164" formatCode="&quot;$&quot;#,##0_);\(&quot;$&quot;#,##0\)"/>
    <numFmt numFmtId="165" formatCode="&quot;$&quot;#,##0_);[Red]\(&quot;$&quot;#,##0\)"/>
    <numFmt numFmtId="166" formatCode="&quot;$&quot;#,##0.00_);[Red]\(&quot;$&quot;#,##0.00\)"/>
    <numFmt numFmtId="167" formatCode="_(&quot;$&quot;* #,##0_);_(&quot;$&quot;* \(#,##0\);_(&quot;$&quot;* &quot;-&quot;_);_(@_)"/>
    <numFmt numFmtId="168" formatCode="_(&quot;$&quot;* #,##0.00_);_(&quot;$&quot;* \(#,##0.00\);_(&quot;$&quot;* &quot;-&quot;??_);_(@_)"/>
    <numFmt numFmtId="169" formatCode="_(* #,##0.00_);_(* \(#,##0.00\);_(* &quot;-&quot;??_);_(@_)"/>
    <numFmt numFmtId="170" formatCode="_(&quot;$&quot;* #,##0_);_(&quot;$&quot;* \(#,##0\);_(&quot;$&quot;* &quot;-&quot;??_);_(@_)"/>
    <numFmt numFmtId="171" formatCode="0.0%"/>
    <numFmt numFmtId="172" formatCode="&quot;$&quot;#,##0.00"/>
    <numFmt numFmtId="173" formatCode="&quot;$&quot;#,##0"/>
    <numFmt numFmtId="174" formatCode="_ &quot;$&quot;* #,##0.00_ ;_ &quot;$&quot;* \-#,##0.00_ ;_ &quot;$&quot;* &quot;-&quot;??_ ;_ @_ "/>
    <numFmt numFmtId="175" formatCode="_ &quot;$&quot;* #,##0_ ;_ &quot;$&quot;* \-#,##0_ ;_ &quot;$&quot;* &quot;-&quot;??_ ;_ @_ "/>
    <numFmt numFmtId="176" formatCode="0\ &quot;years&quot;"/>
    <numFmt numFmtId="177" formatCode="0.00%\ &quot;p.a.&quot;"/>
    <numFmt numFmtId="178" formatCode="_-&quot;$&quot;* #,##0_-;\-&quot;$&quot;* #,##0_-;_-&quot;$&quot;* &quot;-&quot;??_-;_-@_-"/>
    <numFmt numFmtId="179" formatCode="0.000000"/>
    <numFmt numFmtId="180" formatCode="0.0000000000000000000000000"/>
    <numFmt numFmtId="181" formatCode="&quot;Applicant&quot;\ General"/>
    <numFmt numFmtId="182" formatCode="0.00000"/>
    <numFmt numFmtId="183" formatCode="&quot;(term:&quot;\ 0\ &quot;years)&quot;"/>
    <numFmt numFmtId="184" formatCode="_-&quot;$&quot;* #,##0_-"/>
    <numFmt numFmtId="185" formatCode="d/mm/yyyy\ h:mm:ss"/>
    <numFmt numFmtId="186" formatCode="d/mm\ h:mm:ss"/>
    <numFmt numFmtId="187" formatCode="mmmm\ d\,\ yyyy"/>
  </numFmts>
  <fonts count="153" x14ac:knownFonts="1">
    <font>
      <sz val="10"/>
      <name val="Arial"/>
    </font>
    <font>
      <sz val="11"/>
      <color indexed="63"/>
      <name val="Calibri"/>
      <family val="2"/>
    </font>
    <font>
      <sz val="10"/>
      <color indexed="63"/>
      <name val="Arial"/>
      <family val="2"/>
    </font>
    <font>
      <sz val="10"/>
      <name val="Arial"/>
      <family val="2"/>
    </font>
    <font>
      <sz val="10"/>
      <name val="Arial"/>
      <family val="2"/>
    </font>
    <font>
      <b/>
      <sz val="10"/>
      <name val="Arial"/>
      <family val="2"/>
    </font>
    <font>
      <sz val="8"/>
      <name val="Arial"/>
      <family val="2"/>
    </font>
    <font>
      <sz val="11"/>
      <name val="Arial"/>
      <family val="2"/>
    </font>
    <font>
      <sz val="10"/>
      <color indexed="22"/>
      <name val="Arial"/>
      <family val="2"/>
    </font>
    <font>
      <b/>
      <sz val="8"/>
      <name val="Arial"/>
      <family val="2"/>
    </font>
    <font>
      <b/>
      <u/>
      <sz val="8"/>
      <name val="Arial"/>
      <family val="2"/>
    </font>
    <font>
      <b/>
      <sz val="8"/>
      <color indexed="9"/>
      <name val="Arial"/>
      <family val="2"/>
    </font>
    <font>
      <sz val="8"/>
      <color indexed="9"/>
      <name val="Arial"/>
      <family val="2"/>
    </font>
    <font>
      <sz val="9"/>
      <name val="Arial"/>
      <family val="2"/>
    </font>
    <font>
      <b/>
      <i/>
      <sz val="8"/>
      <color indexed="9"/>
      <name val="Arial"/>
      <family val="2"/>
    </font>
    <font>
      <b/>
      <sz val="8"/>
      <color indexed="10"/>
      <name val="Arial"/>
      <family val="2"/>
    </font>
    <font>
      <sz val="10"/>
      <color indexed="9"/>
      <name val="Arial"/>
      <family val="2"/>
    </font>
    <font>
      <b/>
      <sz val="10"/>
      <color indexed="9"/>
      <name val="Arial"/>
      <family val="2"/>
    </font>
    <font>
      <sz val="8"/>
      <color indexed="62"/>
      <name val="Arial"/>
      <family val="2"/>
    </font>
    <font>
      <b/>
      <sz val="8"/>
      <color indexed="62"/>
      <name val="Arial"/>
      <family val="2"/>
    </font>
    <font>
      <sz val="9"/>
      <color indexed="62"/>
      <name val="Arial"/>
      <family val="2"/>
    </font>
    <font>
      <b/>
      <sz val="9"/>
      <color indexed="62"/>
      <name val="Arial"/>
      <family val="2"/>
    </font>
    <font>
      <b/>
      <sz val="9"/>
      <color indexed="9"/>
      <name val="Arial"/>
      <family val="2"/>
    </font>
    <font>
      <i/>
      <sz val="8"/>
      <color indexed="62"/>
      <name val="Arial"/>
      <family val="2"/>
    </font>
    <font>
      <b/>
      <u/>
      <sz val="8"/>
      <color indexed="62"/>
      <name val="Arial"/>
      <family val="2"/>
    </font>
    <font>
      <sz val="10"/>
      <color indexed="62"/>
      <name val="Arial"/>
      <family val="2"/>
    </font>
    <font>
      <b/>
      <u/>
      <sz val="8"/>
      <color indexed="9"/>
      <name val="Arial"/>
      <family val="2"/>
    </font>
    <font>
      <b/>
      <sz val="10"/>
      <color indexed="62"/>
      <name val="Arial"/>
      <family val="2"/>
    </font>
    <font>
      <sz val="8"/>
      <color indexed="63"/>
      <name val="Arial"/>
      <family val="2"/>
    </font>
    <font>
      <sz val="8"/>
      <color indexed="8"/>
      <name val="Arial"/>
      <family val="2"/>
    </font>
    <font>
      <sz val="11"/>
      <color indexed="8"/>
      <name val="Arial"/>
      <family val="2"/>
    </font>
    <font>
      <b/>
      <sz val="11"/>
      <color indexed="9"/>
      <name val="Calibri"/>
      <family val="2"/>
    </font>
    <font>
      <b/>
      <sz val="16"/>
      <color indexed="9"/>
      <name val="Arial"/>
      <family val="2"/>
    </font>
    <font>
      <sz val="1"/>
      <color indexed="9"/>
      <name val="Arial"/>
      <family val="2"/>
    </font>
    <font>
      <sz val="8"/>
      <name val="Arial"/>
      <family val="2"/>
    </font>
    <font>
      <sz val="11"/>
      <color indexed="8"/>
      <name val="Calibri"/>
      <family val="2"/>
    </font>
    <font>
      <sz val="11"/>
      <color indexed="9"/>
      <name val="Calibri"/>
      <family val="2"/>
    </font>
    <font>
      <sz val="11"/>
      <color indexed="20"/>
      <name val="Calibri"/>
      <family val="2"/>
    </font>
    <font>
      <b/>
      <sz val="11"/>
      <color indexed="10"/>
      <name val="Calibri"/>
      <family val="2"/>
    </font>
    <font>
      <i/>
      <sz val="11"/>
      <color indexed="23"/>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10"/>
      <name val="Calibri"/>
      <family val="2"/>
    </font>
    <font>
      <sz val="11"/>
      <color indexed="19"/>
      <name val="Calibri"/>
      <family val="2"/>
    </font>
    <font>
      <b/>
      <sz val="11"/>
      <color indexed="63"/>
      <name val="Calibri"/>
      <family val="2"/>
    </font>
    <font>
      <b/>
      <sz val="18"/>
      <color indexed="62"/>
      <name val="Cambria"/>
      <family val="2"/>
    </font>
    <font>
      <b/>
      <sz val="11"/>
      <color indexed="8"/>
      <name val="Calibri"/>
      <family val="2"/>
    </font>
    <font>
      <i/>
      <sz val="9"/>
      <color indexed="62"/>
      <name val="Arial"/>
      <family val="2"/>
    </font>
    <font>
      <b/>
      <sz val="24"/>
      <color indexed="9"/>
      <name val="Calibri"/>
      <family val="2"/>
    </font>
    <font>
      <b/>
      <sz val="9"/>
      <color indexed="10"/>
      <name val="Arial"/>
      <family val="2"/>
    </font>
    <font>
      <b/>
      <sz val="9"/>
      <name val="Arial"/>
      <family val="2"/>
    </font>
    <font>
      <sz val="9"/>
      <color indexed="9"/>
      <name val="Arial"/>
      <family val="2"/>
    </font>
    <font>
      <b/>
      <sz val="9"/>
      <color indexed="13"/>
      <name val="Arial"/>
      <family val="2"/>
    </font>
    <font>
      <b/>
      <sz val="11"/>
      <color indexed="8"/>
      <name val="Times New Roman"/>
      <family val="1"/>
    </font>
    <font>
      <b/>
      <sz val="26"/>
      <color indexed="9"/>
      <name val="Calibri"/>
      <family val="2"/>
    </font>
    <font>
      <b/>
      <sz val="16"/>
      <color indexed="9"/>
      <name val="Calibri"/>
      <family val="2"/>
    </font>
    <font>
      <b/>
      <sz val="12"/>
      <color indexed="9"/>
      <name val="Calibri"/>
      <family val="2"/>
    </font>
    <font>
      <b/>
      <i/>
      <sz val="11"/>
      <color indexed="9"/>
      <name val="Calibri"/>
      <family val="2"/>
    </font>
    <font>
      <sz val="10"/>
      <name val="Calibri"/>
      <family val="2"/>
    </font>
    <font>
      <sz val="8"/>
      <color indexed="8"/>
      <name val="Calibri"/>
      <family val="2"/>
    </font>
    <font>
      <sz val="8"/>
      <color indexed="9"/>
      <name val="Calibri"/>
      <family val="2"/>
    </font>
    <font>
      <b/>
      <sz val="9"/>
      <color indexed="9"/>
      <name val="Calibri"/>
      <family val="2"/>
    </font>
    <font>
      <sz val="11"/>
      <name val="Calibri"/>
      <family val="2"/>
    </font>
    <font>
      <b/>
      <i/>
      <sz val="11"/>
      <color indexed="62"/>
      <name val="Calibri"/>
      <family val="2"/>
    </font>
    <font>
      <sz val="10"/>
      <color indexed="62"/>
      <name val="Calibri"/>
      <family val="2"/>
    </font>
    <font>
      <b/>
      <sz val="10"/>
      <color indexed="62"/>
      <name val="Calibri"/>
      <family val="2"/>
    </font>
    <font>
      <sz val="10"/>
      <color indexed="10"/>
      <name val="Calibri"/>
      <family val="2"/>
    </font>
    <font>
      <b/>
      <sz val="9"/>
      <color indexed="62"/>
      <name val="Calibri"/>
      <family val="2"/>
    </font>
    <font>
      <b/>
      <sz val="12"/>
      <color indexed="9"/>
      <name val="Arial"/>
      <family val="2"/>
    </font>
    <font>
      <i/>
      <sz val="10"/>
      <color indexed="62"/>
      <name val="Arial"/>
      <family val="2"/>
    </font>
    <font>
      <b/>
      <i/>
      <sz val="9"/>
      <color indexed="10"/>
      <name val="Arial"/>
      <family val="2"/>
    </font>
    <font>
      <b/>
      <i/>
      <sz val="9"/>
      <color indexed="62"/>
      <name val="Arial"/>
      <family val="2"/>
    </font>
    <font>
      <sz val="10"/>
      <color indexed="10"/>
      <name val="Arial"/>
      <family val="2"/>
    </font>
    <font>
      <b/>
      <sz val="12"/>
      <color indexed="62"/>
      <name val="Arial"/>
      <family val="2"/>
    </font>
    <font>
      <b/>
      <sz val="11"/>
      <color indexed="62"/>
      <name val="Arial"/>
      <family val="2"/>
    </font>
    <font>
      <b/>
      <sz val="10"/>
      <color indexed="22"/>
      <name val="Arial"/>
      <family val="2"/>
    </font>
    <font>
      <b/>
      <sz val="9"/>
      <color indexed="22"/>
      <name val="Arial"/>
      <family val="2"/>
    </font>
    <font>
      <sz val="9"/>
      <color indexed="10"/>
      <name val="Arial"/>
      <family val="2"/>
    </font>
    <font>
      <sz val="8"/>
      <color indexed="10"/>
      <name val="Arial"/>
      <family val="2"/>
    </font>
    <font>
      <sz val="9"/>
      <color indexed="16"/>
      <name val="Arial"/>
      <family val="2"/>
    </font>
    <font>
      <sz val="10"/>
      <color indexed="61"/>
      <name val="Arial"/>
      <family val="2"/>
    </font>
    <font>
      <i/>
      <sz val="8"/>
      <color indexed="9"/>
      <name val="Arial"/>
      <family val="2"/>
    </font>
    <font>
      <sz val="9"/>
      <color indexed="81"/>
      <name val="Tahoma"/>
      <family val="2"/>
    </font>
    <font>
      <sz val="9"/>
      <color indexed="63"/>
      <name val="Arial"/>
      <family val="2"/>
    </font>
    <font>
      <sz val="10"/>
      <name val="Arial"/>
      <family val="2"/>
    </font>
    <font>
      <b/>
      <sz val="10"/>
      <color indexed="8"/>
      <name val="Arial"/>
      <family val="2"/>
    </font>
    <font>
      <sz val="10"/>
      <color indexed="8"/>
      <name val="Arial"/>
      <family val="2"/>
    </font>
    <font>
      <b/>
      <sz val="9"/>
      <color indexed="25"/>
      <name val="Arial"/>
      <family val="2"/>
    </font>
    <font>
      <sz val="1"/>
      <color indexed="31"/>
      <name val="Arial"/>
      <family val="2"/>
    </font>
    <font>
      <sz val="10"/>
      <color indexed="8"/>
      <name val="Calibri"/>
      <family val="2"/>
    </font>
    <font>
      <b/>
      <sz val="9"/>
      <color indexed="63"/>
      <name val="Arial"/>
      <family val="2"/>
    </font>
    <font>
      <b/>
      <sz val="8"/>
      <color indexed="63"/>
      <name val="Arial"/>
      <family val="2"/>
    </font>
    <font>
      <i/>
      <sz val="9"/>
      <color indexed="63"/>
      <name val="Arial"/>
      <family val="2"/>
    </font>
    <font>
      <i/>
      <sz val="8"/>
      <color indexed="63"/>
      <name val="Arial"/>
      <family val="2"/>
    </font>
    <font>
      <b/>
      <sz val="10"/>
      <color indexed="63"/>
      <name val="Arial"/>
      <family val="2"/>
    </font>
    <font>
      <b/>
      <sz val="2"/>
      <color indexed="9"/>
      <name val="Arial"/>
      <family val="2"/>
    </font>
    <font>
      <b/>
      <i/>
      <sz val="11"/>
      <color indexed="63"/>
      <name val="Calibri"/>
      <family val="2"/>
    </font>
    <font>
      <sz val="10"/>
      <color indexed="63"/>
      <name val="Calibri"/>
      <family val="2"/>
    </font>
    <font>
      <b/>
      <sz val="10"/>
      <color indexed="63"/>
      <name val="Calibri"/>
      <family val="2"/>
    </font>
    <font>
      <b/>
      <sz val="11"/>
      <color indexed="16"/>
      <name val="Calibri"/>
      <family val="2"/>
    </font>
    <font>
      <i/>
      <sz val="10"/>
      <color indexed="63"/>
      <name val="Arial"/>
      <family val="2"/>
    </font>
    <font>
      <b/>
      <i/>
      <sz val="9"/>
      <color indexed="63"/>
      <name val="Arial"/>
      <family val="2"/>
    </font>
    <font>
      <b/>
      <sz val="14"/>
      <color indexed="9"/>
      <name val="Arial"/>
      <family val="2"/>
    </font>
    <font>
      <sz val="8"/>
      <name val="Arial"/>
      <family val="2"/>
    </font>
    <font>
      <b/>
      <sz val="14"/>
      <name val="Arial"/>
      <family val="2"/>
    </font>
    <font>
      <sz val="10"/>
      <name val="Univers 45 Light"/>
      <family val="2"/>
    </font>
    <font>
      <b/>
      <sz val="10"/>
      <name val="Univers 45 Light"/>
    </font>
    <font>
      <sz val="10"/>
      <name val="Univers 45 Light"/>
    </font>
    <font>
      <i/>
      <sz val="10"/>
      <name val="Arial"/>
      <family val="2"/>
    </font>
    <font>
      <b/>
      <sz val="10"/>
      <color indexed="30"/>
      <name val="Arial"/>
      <family val="2"/>
    </font>
    <font>
      <b/>
      <sz val="9"/>
      <color indexed="8"/>
      <name val="Arial"/>
      <family val="2"/>
    </font>
    <font>
      <sz val="9"/>
      <color indexed="8"/>
      <name val="Arial"/>
      <family val="2"/>
    </font>
    <font>
      <b/>
      <sz val="8"/>
      <color indexed="16"/>
      <name val="Arial"/>
      <family val="2"/>
    </font>
    <font>
      <sz val="9"/>
      <color theme="1"/>
      <name val="Arial"/>
      <family val="2"/>
    </font>
    <font>
      <b/>
      <sz val="9"/>
      <color theme="1"/>
      <name val="Arial"/>
      <family val="2"/>
    </font>
    <font>
      <sz val="10"/>
      <color rgb="FF000000"/>
      <name val="Calibri"/>
      <family val="2"/>
    </font>
    <font>
      <b/>
      <sz val="10"/>
      <color rgb="FFFFFFFF"/>
      <name val="Arial"/>
      <family val="2"/>
    </font>
    <font>
      <sz val="10"/>
      <color rgb="FFFFFF00"/>
      <name val="Arial"/>
      <family val="2"/>
    </font>
    <font>
      <b/>
      <sz val="8"/>
      <color rgb="FFFF0000"/>
      <name val="Arial"/>
      <family val="2"/>
    </font>
    <font>
      <sz val="9"/>
      <color theme="0"/>
      <name val="Arial"/>
      <family val="2"/>
    </font>
    <font>
      <sz val="10"/>
      <color theme="0"/>
      <name val="Arial"/>
      <family val="2"/>
    </font>
    <font>
      <b/>
      <sz val="9"/>
      <color theme="0"/>
      <name val="Arial"/>
      <family val="2"/>
    </font>
    <font>
      <i/>
      <sz val="9"/>
      <name val="Arial"/>
      <family val="2"/>
    </font>
    <font>
      <sz val="7"/>
      <color indexed="9"/>
      <name val="Arial"/>
      <family val="2"/>
    </font>
    <font>
      <sz val="7"/>
      <color indexed="63"/>
      <name val="Arial"/>
      <family val="2"/>
    </font>
    <font>
      <b/>
      <sz val="22"/>
      <color theme="1"/>
      <name val="Calibri"/>
      <family val="2"/>
      <scheme val="minor"/>
    </font>
    <font>
      <strike/>
      <sz val="10"/>
      <color rgb="FFFF0000"/>
      <name val="Arial"/>
      <family val="2"/>
    </font>
    <font>
      <sz val="10"/>
      <color rgb="FFFFFFFF"/>
      <name val="Arial"/>
      <family val="2"/>
    </font>
    <font>
      <b/>
      <vertAlign val="superscript"/>
      <sz val="9"/>
      <color indexed="63"/>
      <name val="Arial"/>
      <family val="2"/>
    </font>
    <font>
      <sz val="7.5"/>
      <color rgb="FF333333"/>
      <name val="Arial"/>
      <family val="2"/>
    </font>
    <font>
      <sz val="9"/>
      <color indexed="10"/>
      <name val="Tahoma"/>
      <family val="2"/>
    </font>
    <font>
      <b/>
      <sz val="10"/>
      <color rgb="FFFF0000"/>
      <name val="Arial"/>
      <family val="2"/>
    </font>
    <font>
      <b/>
      <sz val="9"/>
      <color rgb="FFFF0000"/>
      <name val="Arial"/>
      <family val="2"/>
    </font>
    <font>
      <b/>
      <sz val="2"/>
      <color theme="1" tint="0.499984740745262"/>
      <name val="Arial"/>
      <family val="2"/>
    </font>
    <font>
      <b/>
      <sz val="9"/>
      <color rgb="FFFF0000"/>
      <name val="Calibri"/>
      <family val="2"/>
    </font>
    <font>
      <sz val="9"/>
      <color rgb="FF333333"/>
      <name val="Arial"/>
      <family val="2"/>
    </font>
    <font>
      <i/>
      <sz val="8"/>
      <name val="Arial"/>
      <family val="2"/>
    </font>
    <font>
      <sz val="8.5"/>
      <color indexed="63"/>
      <name val="Arial"/>
      <family val="2"/>
    </font>
    <font>
      <sz val="8.5"/>
      <name val="Arial"/>
      <family val="2"/>
    </font>
    <font>
      <sz val="8"/>
      <color theme="0"/>
      <name val="Arial"/>
      <family val="2"/>
    </font>
    <font>
      <sz val="11"/>
      <color theme="0"/>
      <name val="Arial"/>
      <family val="2"/>
    </font>
    <font>
      <b/>
      <sz val="10"/>
      <color theme="0"/>
      <name val="Arial"/>
      <family val="2"/>
    </font>
    <font>
      <b/>
      <sz val="22"/>
      <color rgb="FF696969"/>
      <name val="Arial"/>
      <family val="2"/>
    </font>
    <font>
      <b/>
      <sz val="16"/>
      <color rgb="FF5E8BC2"/>
      <name val="Arial"/>
      <family val="2"/>
    </font>
    <font>
      <b/>
      <sz val="9"/>
      <color rgb="FF333333"/>
      <name val="Arial"/>
      <family val="2"/>
    </font>
    <font>
      <b/>
      <sz val="10"/>
      <color rgb="FF000000"/>
      <name val="Arial"/>
      <family val="2"/>
    </font>
    <font>
      <b/>
      <sz val="8"/>
      <color rgb="FF000000"/>
      <name val="Arial"/>
      <family val="2"/>
    </font>
    <font>
      <b/>
      <sz val="9"/>
      <color rgb="FF000000"/>
      <name val="Arial"/>
      <family val="2"/>
    </font>
    <font>
      <b/>
      <sz val="9"/>
      <color rgb="FF333333"/>
      <name val="Calibri"/>
      <family val="2"/>
    </font>
    <font>
      <b/>
      <sz val="9"/>
      <color rgb="FF333399"/>
      <name val="Calibri"/>
      <family val="2"/>
    </font>
  </fonts>
  <fills count="54">
    <fill>
      <patternFill patternType="none"/>
    </fill>
    <fill>
      <patternFill patternType="gray125"/>
    </fill>
    <fill>
      <patternFill patternType="solid">
        <fgColor indexed="44"/>
      </patternFill>
    </fill>
    <fill>
      <patternFill patternType="solid">
        <fgColor indexed="29"/>
      </patternFill>
    </fill>
    <fill>
      <patternFill patternType="solid">
        <fgColor indexed="26"/>
      </patternFill>
    </fill>
    <fill>
      <patternFill patternType="solid">
        <fgColor indexed="47"/>
      </patternFill>
    </fill>
    <fill>
      <patternFill patternType="solid">
        <fgColor indexed="27"/>
      </patternFill>
    </fill>
    <fill>
      <patternFill patternType="solid">
        <fgColor indexed="43"/>
      </patternFill>
    </fill>
    <fill>
      <patternFill patternType="solid">
        <fgColor indexed="45"/>
      </patternFill>
    </fill>
    <fill>
      <patternFill patternType="solid">
        <fgColor indexed="53"/>
      </patternFill>
    </fill>
    <fill>
      <patternFill patternType="solid">
        <fgColor indexed="51"/>
      </patternFill>
    </fill>
    <fill>
      <patternFill patternType="solid">
        <fgColor indexed="56"/>
      </patternFill>
    </fill>
    <fill>
      <patternFill patternType="solid">
        <fgColor indexed="54"/>
      </patternFill>
    </fill>
    <fill>
      <patternFill patternType="solid">
        <fgColor indexed="49"/>
      </patternFill>
    </fill>
    <fill>
      <patternFill patternType="solid">
        <fgColor indexed="10"/>
      </patternFill>
    </fill>
    <fill>
      <patternFill patternType="solid">
        <fgColor indexed="46"/>
      </patternFill>
    </fill>
    <fill>
      <patternFill patternType="solid">
        <fgColor indexed="9"/>
      </patternFill>
    </fill>
    <fill>
      <patternFill patternType="solid">
        <fgColor indexed="55"/>
      </patternFill>
    </fill>
    <fill>
      <patternFill patternType="solid">
        <fgColor indexed="62"/>
        <bgColor indexed="64"/>
      </patternFill>
    </fill>
    <fill>
      <patternFill patternType="solid">
        <fgColor indexed="39"/>
        <bgColor indexed="64"/>
      </patternFill>
    </fill>
    <fill>
      <patternFill patternType="solid">
        <fgColor indexed="22"/>
        <bgColor indexed="64"/>
      </patternFill>
    </fill>
    <fill>
      <patternFill patternType="solid">
        <fgColor indexed="26"/>
        <bgColor indexed="64"/>
      </patternFill>
    </fill>
    <fill>
      <patternFill patternType="solid">
        <fgColor indexed="47"/>
        <bgColor indexed="64"/>
      </patternFill>
    </fill>
    <fill>
      <patternFill patternType="solid">
        <fgColor indexed="43"/>
        <bgColor indexed="64"/>
      </patternFill>
    </fill>
    <fill>
      <patternFill patternType="solid">
        <fgColor indexed="44"/>
        <bgColor indexed="64"/>
      </patternFill>
    </fill>
    <fill>
      <patternFill patternType="solid">
        <fgColor indexed="42"/>
        <bgColor indexed="64"/>
      </patternFill>
    </fill>
    <fill>
      <patternFill patternType="solid">
        <fgColor indexed="13"/>
        <bgColor indexed="64"/>
      </patternFill>
    </fill>
    <fill>
      <patternFill patternType="solid">
        <fgColor indexed="8"/>
        <bgColor indexed="64"/>
      </patternFill>
    </fill>
    <fill>
      <patternFill patternType="solid">
        <fgColor indexed="11"/>
        <bgColor indexed="64"/>
      </patternFill>
    </fill>
    <fill>
      <patternFill patternType="solid">
        <fgColor indexed="9"/>
        <bgColor indexed="64"/>
      </patternFill>
    </fill>
    <fill>
      <patternFill patternType="solid">
        <fgColor indexed="31"/>
        <bgColor indexed="64"/>
      </patternFill>
    </fill>
    <fill>
      <patternFill patternType="solid">
        <fgColor indexed="63"/>
        <bgColor indexed="64"/>
      </patternFill>
    </fill>
    <fill>
      <patternFill patternType="solid">
        <fgColor indexed="40"/>
        <bgColor indexed="64"/>
      </patternFill>
    </fill>
    <fill>
      <patternFill patternType="solid">
        <fgColor indexed="51"/>
        <bgColor indexed="64"/>
      </patternFill>
    </fill>
    <fill>
      <patternFill patternType="solid">
        <fgColor indexed="41"/>
        <bgColor indexed="64"/>
      </patternFill>
    </fill>
    <fill>
      <patternFill patternType="solid">
        <fgColor indexed="23"/>
        <bgColor indexed="64"/>
      </patternFill>
    </fill>
    <fill>
      <patternFill patternType="solid">
        <fgColor indexed="38"/>
        <bgColor indexed="64"/>
      </patternFill>
    </fill>
    <fill>
      <patternFill patternType="solid">
        <fgColor indexed="10"/>
        <bgColor indexed="64"/>
      </patternFill>
    </fill>
    <fill>
      <patternFill patternType="solid">
        <fgColor indexed="49"/>
        <bgColor indexed="64"/>
      </patternFill>
    </fill>
    <fill>
      <patternFill patternType="solid">
        <fgColor indexed="30"/>
        <bgColor indexed="64"/>
      </patternFill>
    </fill>
    <fill>
      <patternFill patternType="solid">
        <fgColor theme="0"/>
        <bgColor indexed="64"/>
      </patternFill>
    </fill>
    <fill>
      <patternFill patternType="solid">
        <fgColor rgb="FF95B3D7"/>
        <bgColor indexed="64"/>
      </patternFill>
    </fill>
    <fill>
      <patternFill patternType="solid">
        <fgColor rgb="FFF2F2F2"/>
        <bgColor indexed="64"/>
      </patternFill>
    </fill>
    <fill>
      <patternFill patternType="solid">
        <fgColor rgb="FFFFFF00"/>
        <bgColor indexed="64"/>
      </patternFill>
    </fill>
    <fill>
      <patternFill patternType="solid">
        <fgColor rgb="FFFFC000"/>
        <bgColor indexed="64"/>
      </patternFill>
    </fill>
    <fill>
      <patternFill patternType="solid">
        <fgColor rgb="FFFF0000"/>
        <bgColor indexed="64"/>
      </patternFill>
    </fill>
    <fill>
      <patternFill patternType="solid">
        <fgColor theme="0" tint="-0.249977111117893"/>
        <bgColor indexed="64"/>
      </patternFill>
    </fill>
    <fill>
      <patternFill patternType="solid">
        <fgColor theme="8" tint="0.79998168889431442"/>
        <bgColor indexed="64"/>
      </patternFill>
    </fill>
    <fill>
      <patternFill patternType="solid">
        <fgColor rgb="FF00B0F0"/>
        <bgColor indexed="64"/>
      </patternFill>
    </fill>
    <fill>
      <patternFill patternType="solid">
        <fgColor rgb="FF0066CC"/>
        <bgColor indexed="64"/>
      </patternFill>
    </fill>
    <fill>
      <patternFill patternType="solid">
        <fgColor rgb="FFEAEAEA"/>
        <bgColor indexed="64"/>
      </patternFill>
    </fill>
    <fill>
      <patternFill patternType="solid">
        <fgColor theme="1" tint="0.499984740745262"/>
        <bgColor indexed="64"/>
      </patternFill>
    </fill>
    <fill>
      <patternFill patternType="solid">
        <fgColor theme="0" tint="-0.499984740745262"/>
        <bgColor indexed="64"/>
      </patternFill>
    </fill>
    <fill>
      <patternFill patternType="solid">
        <fgColor rgb="FF5E8BC2"/>
        <bgColor indexed="64"/>
      </patternFill>
    </fill>
  </fills>
  <borders count="167">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6"/>
      </bottom>
      <diagonal/>
    </border>
    <border>
      <left/>
      <right/>
      <top/>
      <bottom style="thick">
        <color indexed="27"/>
      </bottom>
      <diagonal/>
    </border>
    <border>
      <left/>
      <right/>
      <top/>
      <bottom style="medium">
        <color indexed="27"/>
      </bottom>
      <diagonal/>
    </border>
    <border>
      <left/>
      <right/>
      <top/>
      <bottom style="double">
        <color indexed="10"/>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6"/>
      </top>
      <bottom style="double">
        <color indexed="56"/>
      </bottom>
      <diagonal/>
    </border>
    <border>
      <left/>
      <right/>
      <top style="medium">
        <color indexed="62"/>
      </top>
      <bottom/>
      <diagonal/>
    </border>
    <border>
      <left/>
      <right/>
      <top style="medium">
        <color indexed="62"/>
      </top>
      <bottom style="medium">
        <color indexed="62"/>
      </bottom>
      <diagonal/>
    </border>
    <border>
      <left/>
      <right/>
      <top style="thin">
        <color indexed="62"/>
      </top>
      <bottom style="double">
        <color indexed="62"/>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47"/>
      </left>
      <right style="thin">
        <color indexed="47"/>
      </right>
      <top style="thin">
        <color indexed="47"/>
      </top>
      <bottom style="thin">
        <color indexed="47"/>
      </bottom>
      <diagonal/>
    </border>
    <border>
      <left/>
      <right/>
      <top/>
      <bottom style="medium">
        <color indexed="62"/>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55"/>
      </left>
      <right style="thin">
        <color indexed="55"/>
      </right>
      <top style="thin">
        <color indexed="55"/>
      </top>
      <bottom style="thin">
        <color indexed="55"/>
      </bottom>
      <diagonal/>
    </border>
    <border>
      <left style="medium">
        <color indexed="64"/>
      </left>
      <right style="medium">
        <color indexed="64"/>
      </right>
      <top style="medium">
        <color indexed="64"/>
      </top>
      <bottom style="medium">
        <color indexed="64"/>
      </bottom>
      <diagonal/>
    </border>
    <border>
      <left/>
      <right style="thin">
        <color indexed="47"/>
      </right>
      <top/>
      <bottom/>
      <diagonal/>
    </border>
    <border>
      <left style="medium">
        <color indexed="62"/>
      </left>
      <right/>
      <top/>
      <bottom/>
      <diagonal/>
    </border>
    <border>
      <left/>
      <right style="medium">
        <color indexed="62"/>
      </right>
      <top style="medium">
        <color indexed="62"/>
      </top>
      <bottom/>
      <diagonal/>
    </border>
    <border>
      <left/>
      <right style="medium">
        <color indexed="62"/>
      </right>
      <top/>
      <bottom/>
      <diagonal/>
    </border>
    <border>
      <left style="medium">
        <color indexed="62"/>
      </left>
      <right style="thin">
        <color indexed="64"/>
      </right>
      <top style="thin">
        <color indexed="64"/>
      </top>
      <bottom style="thin">
        <color indexed="64"/>
      </bottom>
      <diagonal/>
    </border>
    <border>
      <left style="medium">
        <color indexed="62"/>
      </left>
      <right/>
      <top/>
      <bottom style="medium">
        <color indexed="62"/>
      </bottom>
      <diagonal/>
    </border>
    <border>
      <left/>
      <right style="medium">
        <color indexed="62"/>
      </right>
      <top/>
      <bottom style="medium">
        <color indexed="62"/>
      </bottom>
      <diagonal/>
    </border>
    <border>
      <left/>
      <right style="medium">
        <color indexed="62"/>
      </right>
      <top style="medium">
        <color indexed="62"/>
      </top>
      <bottom style="thin">
        <color indexed="9"/>
      </bottom>
      <diagonal/>
    </border>
    <border>
      <left/>
      <right/>
      <top/>
      <bottom style="thin">
        <color indexed="9"/>
      </bottom>
      <diagonal/>
    </border>
    <border>
      <left/>
      <right/>
      <top style="thin">
        <color indexed="9"/>
      </top>
      <bottom style="medium">
        <color indexed="62"/>
      </bottom>
      <diagonal/>
    </border>
    <border>
      <left/>
      <right style="medium">
        <color indexed="62"/>
      </right>
      <top style="thin">
        <color indexed="9"/>
      </top>
      <bottom style="medium">
        <color indexed="62"/>
      </bottom>
      <diagonal/>
    </border>
    <border>
      <left/>
      <right style="thin">
        <color indexed="22"/>
      </right>
      <top/>
      <bottom/>
      <diagonal/>
    </border>
    <border>
      <left/>
      <right/>
      <top style="thin">
        <color indexed="62"/>
      </top>
      <bottom style="thin">
        <color indexed="62"/>
      </bottom>
      <diagonal/>
    </border>
    <border>
      <left style="medium">
        <color indexed="62"/>
      </left>
      <right style="medium">
        <color indexed="62"/>
      </right>
      <top style="medium">
        <color indexed="62"/>
      </top>
      <bottom style="medium">
        <color indexed="62"/>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thin">
        <color indexed="47"/>
      </left>
      <right/>
      <top/>
      <bottom/>
      <diagonal/>
    </border>
    <border>
      <left/>
      <right/>
      <top style="thin">
        <color indexed="23"/>
      </top>
      <bottom style="thin">
        <color indexed="23"/>
      </bottom>
      <diagonal/>
    </border>
    <border>
      <left/>
      <right/>
      <top style="thin">
        <color indexed="9"/>
      </top>
      <bottom style="thin">
        <color indexed="23"/>
      </bottom>
      <diagonal/>
    </border>
    <border>
      <left style="medium">
        <color indexed="63"/>
      </left>
      <right style="medium">
        <color indexed="63"/>
      </right>
      <top style="medium">
        <color indexed="63"/>
      </top>
      <bottom style="medium">
        <color indexed="63"/>
      </bottom>
      <diagonal/>
    </border>
    <border>
      <left style="medium">
        <color indexed="23"/>
      </left>
      <right/>
      <top style="thin">
        <color indexed="9"/>
      </top>
      <bottom style="thin">
        <color indexed="23"/>
      </bottom>
      <diagonal/>
    </border>
    <border>
      <left style="medium">
        <color indexed="23"/>
      </left>
      <right/>
      <top/>
      <bottom/>
      <diagonal/>
    </border>
    <border>
      <left/>
      <right style="medium">
        <color indexed="23"/>
      </right>
      <top/>
      <bottom/>
      <diagonal/>
    </border>
    <border>
      <left style="medium">
        <color indexed="23"/>
      </left>
      <right/>
      <top style="medium">
        <color indexed="62"/>
      </top>
      <bottom/>
      <diagonal/>
    </border>
    <border>
      <left/>
      <right style="medium">
        <color indexed="23"/>
      </right>
      <top style="medium">
        <color indexed="62"/>
      </top>
      <bottom/>
      <diagonal/>
    </border>
    <border>
      <left style="medium">
        <color indexed="23"/>
      </left>
      <right/>
      <top style="thin">
        <color indexed="23"/>
      </top>
      <bottom style="thin">
        <color indexed="23"/>
      </bottom>
      <diagonal/>
    </border>
    <border>
      <left/>
      <right style="medium">
        <color indexed="23"/>
      </right>
      <top style="thin">
        <color indexed="23"/>
      </top>
      <bottom style="thin">
        <color indexed="23"/>
      </bottom>
      <diagonal/>
    </border>
    <border>
      <left style="medium">
        <color indexed="23"/>
      </left>
      <right/>
      <top style="medium">
        <color indexed="62"/>
      </top>
      <bottom style="medium">
        <color indexed="62"/>
      </bottom>
      <diagonal/>
    </border>
    <border>
      <left/>
      <right style="medium">
        <color indexed="23"/>
      </right>
      <top style="medium">
        <color indexed="62"/>
      </top>
      <bottom style="medium">
        <color indexed="62"/>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style="medium">
        <color indexed="23"/>
      </left>
      <right/>
      <top/>
      <bottom style="medium">
        <color indexed="23"/>
      </bottom>
      <diagonal/>
    </border>
    <border>
      <left/>
      <right/>
      <top/>
      <bottom style="medium">
        <color indexed="23"/>
      </bottom>
      <diagonal/>
    </border>
    <border>
      <left/>
      <right style="medium">
        <color indexed="23"/>
      </right>
      <top/>
      <bottom style="medium">
        <color indexed="23"/>
      </bottom>
      <diagonal/>
    </border>
    <border>
      <left/>
      <right/>
      <top style="thin">
        <color indexed="63"/>
      </top>
      <bottom style="double">
        <color indexed="63"/>
      </bottom>
      <diagonal/>
    </border>
    <border>
      <left/>
      <right style="medium">
        <color indexed="23"/>
      </right>
      <top style="thin">
        <color indexed="9"/>
      </top>
      <bottom style="thin">
        <color indexed="23"/>
      </bottom>
      <diagonal/>
    </border>
    <border>
      <left style="medium">
        <color indexed="23"/>
      </left>
      <right/>
      <top style="medium">
        <color indexed="23"/>
      </top>
      <bottom style="medium">
        <color indexed="23"/>
      </bottom>
      <diagonal/>
    </border>
    <border>
      <left/>
      <right/>
      <top style="medium">
        <color indexed="23"/>
      </top>
      <bottom style="medium">
        <color indexed="23"/>
      </bottom>
      <diagonal/>
    </border>
    <border>
      <left/>
      <right style="medium">
        <color indexed="23"/>
      </right>
      <top style="medium">
        <color indexed="23"/>
      </top>
      <bottom style="medium">
        <color indexed="23"/>
      </bottom>
      <diagonal/>
    </border>
    <border>
      <left style="thin">
        <color indexed="22"/>
      </left>
      <right style="thin">
        <color indexed="22"/>
      </right>
      <top style="thin">
        <color indexed="22"/>
      </top>
      <bottom/>
      <diagonal/>
    </border>
    <border>
      <left/>
      <right/>
      <top style="thin">
        <color indexed="9"/>
      </top>
      <bottom/>
      <diagonal/>
    </border>
    <border>
      <left style="medium">
        <color indexed="62"/>
      </left>
      <right style="thin">
        <color indexed="64"/>
      </right>
      <top/>
      <bottom style="thin">
        <color indexed="64"/>
      </bottom>
      <diagonal/>
    </border>
    <border>
      <left style="thin">
        <color indexed="64"/>
      </left>
      <right style="thin">
        <color indexed="64"/>
      </right>
      <top/>
      <bottom style="thin">
        <color indexed="64"/>
      </bottom>
      <diagonal/>
    </border>
    <border>
      <left style="medium">
        <color indexed="23"/>
      </left>
      <right/>
      <top style="thin">
        <color indexed="9"/>
      </top>
      <bottom/>
      <diagonal/>
    </border>
    <border>
      <left/>
      <right style="medium">
        <color indexed="23"/>
      </right>
      <top style="thin">
        <color indexed="9"/>
      </top>
      <bottom/>
      <diagonal/>
    </border>
    <border>
      <left style="medium">
        <color indexed="23"/>
      </left>
      <right/>
      <top/>
      <bottom style="thin">
        <color indexed="9"/>
      </bottom>
      <diagonal/>
    </border>
    <border>
      <left style="thin">
        <color indexed="22"/>
      </left>
      <right/>
      <top/>
      <bottom/>
      <diagonal/>
    </border>
    <border>
      <left style="medium">
        <color indexed="63"/>
      </left>
      <right/>
      <top style="medium">
        <color indexed="63"/>
      </top>
      <bottom/>
      <diagonal/>
    </border>
    <border>
      <left/>
      <right/>
      <top style="medium">
        <color indexed="63"/>
      </top>
      <bottom/>
      <diagonal/>
    </border>
    <border>
      <left/>
      <right style="medium">
        <color indexed="63"/>
      </right>
      <top style="medium">
        <color indexed="63"/>
      </top>
      <bottom/>
      <diagonal/>
    </border>
    <border>
      <left/>
      <right style="medium">
        <color indexed="63"/>
      </right>
      <top/>
      <bottom/>
      <diagonal/>
    </border>
    <border>
      <left style="medium">
        <color indexed="63"/>
      </left>
      <right/>
      <top/>
      <bottom/>
      <diagonal/>
    </border>
    <border>
      <left style="medium">
        <color indexed="63"/>
      </left>
      <right/>
      <top/>
      <bottom style="medium">
        <color indexed="63"/>
      </bottom>
      <diagonal/>
    </border>
    <border>
      <left/>
      <right/>
      <top/>
      <bottom style="medium">
        <color indexed="63"/>
      </bottom>
      <diagonal/>
    </border>
    <border>
      <left/>
      <right style="medium">
        <color indexed="63"/>
      </right>
      <top/>
      <bottom style="medium">
        <color indexed="63"/>
      </bottom>
      <diagonal/>
    </border>
    <border>
      <left style="medium">
        <color indexed="23"/>
      </left>
      <right/>
      <top style="medium">
        <color indexed="63"/>
      </top>
      <bottom/>
      <diagonal/>
    </border>
    <border>
      <left/>
      <right style="medium">
        <color indexed="23"/>
      </right>
      <top style="medium">
        <color indexed="63"/>
      </top>
      <bottom/>
      <diagonal/>
    </border>
    <border>
      <left style="thin">
        <color indexed="64"/>
      </left>
      <right style="thin">
        <color indexed="64"/>
      </right>
      <top/>
      <bottom/>
      <diagonal/>
    </border>
    <border>
      <left style="thin">
        <color indexed="55"/>
      </left>
      <right/>
      <top/>
      <bottom/>
      <diagonal/>
    </border>
    <border>
      <left style="thin">
        <color indexed="55"/>
      </left>
      <right/>
      <top style="thin">
        <color indexed="55"/>
      </top>
      <bottom style="thin">
        <color indexed="55"/>
      </bottom>
      <diagonal/>
    </border>
    <border>
      <left/>
      <right/>
      <top style="thin">
        <color indexed="55"/>
      </top>
      <bottom style="thin">
        <color indexed="55"/>
      </bottom>
      <diagonal/>
    </border>
    <border>
      <left/>
      <right style="thin">
        <color indexed="55"/>
      </right>
      <top style="thin">
        <color indexed="55"/>
      </top>
      <bottom style="thin">
        <color indexed="55"/>
      </bottom>
      <diagonal/>
    </border>
    <border>
      <left style="thin">
        <color indexed="23"/>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bottom style="thin">
        <color indexed="23"/>
      </bottom>
      <diagonal/>
    </border>
    <border>
      <left/>
      <right/>
      <top/>
      <bottom style="thin">
        <color indexed="23"/>
      </bottom>
      <diagonal/>
    </border>
    <border>
      <left/>
      <right style="thin">
        <color indexed="23"/>
      </right>
      <top/>
      <bottom style="thin">
        <color indexed="23"/>
      </bottom>
      <diagonal/>
    </border>
    <border>
      <left style="thin">
        <color indexed="23"/>
      </left>
      <right/>
      <top style="thin">
        <color indexed="23"/>
      </top>
      <bottom style="thin">
        <color indexed="23"/>
      </bottom>
      <diagonal/>
    </border>
    <border>
      <left/>
      <right style="thin">
        <color indexed="23"/>
      </right>
      <top style="thin">
        <color indexed="23"/>
      </top>
      <bottom style="thin">
        <color indexed="23"/>
      </bottom>
      <diagonal/>
    </border>
    <border>
      <left style="thin">
        <color indexed="22"/>
      </left>
      <right/>
      <top style="thin">
        <color indexed="22"/>
      </top>
      <bottom style="thin">
        <color indexed="22"/>
      </bottom>
      <diagonal/>
    </border>
    <border>
      <left/>
      <right/>
      <top style="thin">
        <color indexed="22"/>
      </top>
      <bottom style="thin">
        <color indexed="22"/>
      </bottom>
      <diagonal/>
    </border>
    <border>
      <left/>
      <right style="thin">
        <color indexed="22"/>
      </right>
      <top style="thin">
        <color indexed="22"/>
      </top>
      <bottom style="thin">
        <color indexed="22"/>
      </bottom>
      <diagonal/>
    </border>
    <border>
      <left/>
      <right style="medium">
        <color indexed="64"/>
      </right>
      <top/>
      <bottom/>
      <diagonal/>
    </border>
    <border>
      <left/>
      <right style="thin">
        <color indexed="55"/>
      </right>
      <top/>
      <bottom/>
      <diagonal/>
    </border>
    <border>
      <left style="thin">
        <color indexed="55"/>
      </left>
      <right/>
      <top/>
      <bottom style="thin">
        <color indexed="55"/>
      </bottom>
      <diagonal/>
    </border>
    <border>
      <left/>
      <right/>
      <top/>
      <bottom style="thin">
        <color indexed="55"/>
      </bottom>
      <diagonal/>
    </border>
    <border>
      <left/>
      <right style="thin">
        <color indexed="55"/>
      </right>
      <top/>
      <bottom style="thin">
        <color indexed="55"/>
      </bottom>
      <diagonal/>
    </border>
    <border>
      <left style="thin">
        <color indexed="55"/>
      </left>
      <right/>
      <top style="thin">
        <color indexed="55"/>
      </top>
      <bottom/>
      <diagonal/>
    </border>
    <border>
      <left/>
      <right/>
      <top style="thin">
        <color indexed="55"/>
      </top>
      <bottom/>
      <diagonal/>
    </border>
    <border>
      <left/>
      <right style="thin">
        <color indexed="55"/>
      </right>
      <top style="thin">
        <color indexed="55"/>
      </top>
      <bottom/>
      <diagonal/>
    </border>
    <border>
      <left style="medium">
        <color indexed="23"/>
      </left>
      <right/>
      <top style="thin">
        <color indexed="62"/>
      </top>
      <bottom/>
      <diagonal/>
    </border>
    <border>
      <left/>
      <right/>
      <top style="thin">
        <color indexed="62"/>
      </top>
      <bottom/>
      <diagonal/>
    </border>
    <border>
      <left/>
      <right style="medium">
        <color indexed="23"/>
      </right>
      <top style="thin">
        <color indexed="62"/>
      </top>
      <bottom/>
      <diagonal/>
    </border>
    <border>
      <left style="medium">
        <color indexed="23"/>
      </left>
      <right/>
      <top style="medium">
        <color indexed="55"/>
      </top>
      <bottom/>
      <diagonal/>
    </border>
    <border>
      <left/>
      <right/>
      <top style="medium">
        <color indexed="55"/>
      </top>
      <bottom/>
      <diagonal/>
    </border>
    <border>
      <left/>
      <right style="medium">
        <color indexed="23"/>
      </right>
      <top style="medium">
        <color indexed="55"/>
      </top>
      <bottom/>
      <diagonal/>
    </border>
    <border>
      <left style="medium">
        <color indexed="23"/>
      </left>
      <right/>
      <top style="thin">
        <color indexed="55"/>
      </top>
      <bottom style="medium">
        <color indexed="55"/>
      </bottom>
      <diagonal/>
    </border>
    <border>
      <left/>
      <right/>
      <top style="thin">
        <color indexed="55"/>
      </top>
      <bottom style="medium">
        <color indexed="55"/>
      </bottom>
      <diagonal/>
    </border>
    <border>
      <left/>
      <right style="medium">
        <color indexed="23"/>
      </right>
      <top style="thin">
        <color indexed="55"/>
      </top>
      <bottom style="medium">
        <color indexed="55"/>
      </bottom>
      <diagonal/>
    </border>
    <border>
      <left style="medium">
        <color indexed="23"/>
      </left>
      <right/>
      <top/>
      <bottom style="medium">
        <color indexed="63"/>
      </bottom>
      <diagonal/>
    </border>
    <border>
      <left/>
      <right style="medium">
        <color indexed="23"/>
      </right>
      <top/>
      <bottom style="medium">
        <color indexed="63"/>
      </bottom>
      <diagonal/>
    </border>
    <border>
      <left style="medium">
        <color indexed="62"/>
      </left>
      <right/>
      <top style="medium">
        <color indexed="62"/>
      </top>
      <bottom/>
      <diagonal/>
    </border>
    <border>
      <left style="medium">
        <color indexed="62"/>
      </left>
      <right/>
      <top style="medium">
        <color indexed="62"/>
      </top>
      <bottom style="thin">
        <color indexed="9"/>
      </bottom>
      <diagonal/>
    </border>
    <border>
      <left/>
      <right/>
      <top style="medium">
        <color indexed="62"/>
      </top>
      <bottom style="thin">
        <color indexed="9"/>
      </bottom>
      <diagonal/>
    </border>
    <border>
      <left style="medium">
        <color indexed="62"/>
      </left>
      <right/>
      <top style="thin">
        <color indexed="9"/>
      </top>
      <bottom style="medium">
        <color indexed="62"/>
      </bottom>
      <diagonal/>
    </border>
    <border>
      <left style="thin">
        <color indexed="55"/>
      </left>
      <right style="thin">
        <color indexed="55"/>
      </right>
      <top style="thin">
        <color indexed="55"/>
      </top>
      <bottom/>
      <diagonal/>
    </border>
    <border>
      <left style="thin">
        <color indexed="55"/>
      </left>
      <right style="thin">
        <color indexed="55"/>
      </right>
      <top/>
      <bottom style="thin">
        <color indexed="55"/>
      </bottom>
      <diagonal/>
    </border>
    <border>
      <left style="medium">
        <color indexed="23"/>
      </left>
      <right/>
      <top style="medium">
        <color indexed="9"/>
      </top>
      <bottom style="thin">
        <color indexed="9"/>
      </bottom>
      <diagonal/>
    </border>
    <border>
      <left/>
      <right/>
      <top style="medium">
        <color indexed="9"/>
      </top>
      <bottom style="thin">
        <color indexed="9"/>
      </bottom>
      <diagonal/>
    </border>
    <border>
      <left/>
      <right style="medium">
        <color indexed="23"/>
      </right>
      <top style="medium">
        <color indexed="9"/>
      </top>
      <bottom style="thin">
        <color indexed="9"/>
      </bottom>
      <diagonal/>
    </border>
    <border>
      <left/>
      <right/>
      <top style="thin">
        <color indexed="47"/>
      </top>
      <bottom/>
      <diagonal/>
    </border>
    <border>
      <left style="medium">
        <color indexed="64"/>
      </left>
      <right/>
      <top style="medium">
        <color indexed="64"/>
      </top>
      <bottom style="medium">
        <color indexed="64"/>
      </bottom>
      <diagonal/>
    </border>
    <border>
      <left style="medium">
        <color indexed="64"/>
      </left>
      <right/>
      <top/>
      <bottom style="medium">
        <color indexed="64"/>
      </bottom>
      <diagonal/>
    </border>
    <border>
      <left/>
      <right/>
      <top style="medium">
        <color indexed="64"/>
      </top>
      <bottom style="medium">
        <color indexed="64"/>
      </bottom>
      <diagonal/>
    </border>
    <border>
      <left style="medium">
        <color rgb="FFFFFFFF"/>
      </left>
      <right style="medium">
        <color rgb="FFFFFFFF"/>
      </right>
      <top style="medium">
        <color rgb="FFFFFFFF"/>
      </top>
      <bottom/>
      <diagonal/>
    </border>
    <border>
      <left style="medium">
        <color rgb="FFFFFFFF"/>
      </left>
      <right style="medium">
        <color rgb="FFFFFFFF"/>
      </right>
      <top/>
      <bottom style="medium">
        <color rgb="FFBFBFBF"/>
      </bottom>
      <diagonal/>
    </border>
    <border>
      <left/>
      <right style="medium">
        <color rgb="FFFFFFFF"/>
      </right>
      <top style="medium">
        <color rgb="FFFFFFFF"/>
      </top>
      <bottom style="medium">
        <color rgb="FFFFFFFF"/>
      </bottom>
      <diagonal/>
    </border>
    <border>
      <left/>
      <right/>
      <top style="medium">
        <color rgb="FFFFFFFF"/>
      </top>
      <bottom style="medium">
        <color rgb="FFFFFFFF"/>
      </bottom>
      <diagonal/>
    </border>
    <border>
      <left/>
      <right style="medium">
        <color rgb="FFFFFFFF"/>
      </right>
      <top/>
      <bottom style="medium">
        <color rgb="FFBFBFBF"/>
      </bottom>
      <diagonal/>
    </border>
    <border>
      <left style="medium">
        <color rgb="FFFFFFFF"/>
      </left>
      <right/>
      <top style="medium">
        <color rgb="FFFFFFFF"/>
      </top>
      <bottom style="medium">
        <color rgb="FFFFFFFF"/>
      </bottom>
      <diagonal/>
    </border>
    <border>
      <left style="thin">
        <color indexed="55"/>
      </left>
      <right style="thin">
        <color indexed="55"/>
      </right>
      <top/>
      <bottom/>
      <diagonal/>
    </border>
    <border>
      <left style="medium">
        <color theme="1" tint="0.499984740745262"/>
      </left>
      <right/>
      <top style="medium">
        <color theme="1" tint="0.499984740745262"/>
      </top>
      <bottom/>
      <diagonal/>
    </border>
    <border>
      <left/>
      <right/>
      <top style="medium">
        <color theme="1" tint="0.499984740745262"/>
      </top>
      <bottom/>
      <diagonal/>
    </border>
    <border>
      <left/>
      <right style="medium">
        <color theme="1" tint="0.499984740745262"/>
      </right>
      <top style="medium">
        <color theme="1" tint="0.499984740745262"/>
      </top>
      <bottom/>
      <diagonal/>
    </border>
    <border>
      <left style="medium">
        <color theme="1" tint="0.499984740745262"/>
      </left>
      <right/>
      <top/>
      <bottom/>
      <diagonal/>
    </border>
    <border>
      <left/>
      <right style="medium">
        <color theme="1" tint="0.499984740745262"/>
      </right>
      <top/>
      <bottom/>
      <diagonal/>
    </border>
    <border>
      <left style="medium">
        <color indexed="64"/>
      </left>
      <right/>
      <top/>
      <bottom/>
      <diagonal/>
    </border>
    <border>
      <left/>
      <right/>
      <top/>
      <bottom style="medium">
        <color indexed="64"/>
      </bottom>
      <diagonal/>
    </border>
    <border>
      <left style="thin">
        <color indexed="64"/>
      </left>
      <right style="hair">
        <color indexed="64"/>
      </right>
      <top style="hair">
        <color indexed="64"/>
      </top>
      <bottom style="hair">
        <color indexed="64"/>
      </bottom>
      <diagonal/>
    </border>
    <border>
      <left style="hair">
        <color indexed="64"/>
      </left>
      <right style="thin">
        <color indexed="64"/>
      </right>
      <top style="thin">
        <color indexed="64"/>
      </top>
      <bottom style="hair">
        <color indexed="64"/>
      </bottom>
      <diagonal/>
    </border>
    <border>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medium">
        <color rgb="FF008080"/>
      </left>
      <right/>
      <top/>
      <bottom/>
      <diagonal/>
    </border>
    <border>
      <left/>
      <right style="medium">
        <color indexed="23"/>
      </right>
      <top/>
      <bottom style="thin">
        <color indexed="9"/>
      </bottom>
      <diagonal/>
    </border>
    <border>
      <left style="medium">
        <color indexed="63"/>
      </left>
      <right style="medium">
        <color indexed="63"/>
      </right>
      <top style="medium">
        <color indexed="63"/>
      </top>
      <bottom/>
      <diagonal/>
    </border>
    <border>
      <left/>
      <right/>
      <top style="thin">
        <color indexed="64"/>
      </top>
      <bottom style="double">
        <color indexed="64"/>
      </bottom>
      <diagonal/>
    </border>
    <border>
      <left style="thin">
        <color rgb="FFC0C0C0"/>
      </left>
      <right style="thin">
        <color rgb="FFC0C0C0"/>
      </right>
      <top style="thin">
        <color rgb="FFC0C0C0"/>
      </top>
      <bottom style="thin">
        <color rgb="FFC0C0C0"/>
      </bottom>
      <diagonal/>
    </border>
    <border>
      <left style="medium">
        <color rgb="FFFFFFFF"/>
      </left>
      <right/>
      <top style="medium">
        <color rgb="FFFFFFFF"/>
      </top>
      <bottom/>
      <diagonal/>
    </border>
    <border>
      <left style="medium">
        <color rgb="FFFFFFFF"/>
      </left>
      <right/>
      <top/>
      <bottom style="medium">
        <color rgb="FFFFFFFF"/>
      </bottom>
      <diagonal/>
    </border>
  </borders>
  <cellStyleXfs count="60">
    <xf numFmtId="0" fontId="0" fillId="0" borderId="0"/>
    <xf numFmtId="0" fontId="35" fillId="2" borderId="0" applyNumberFormat="0" applyBorder="0" applyAlignment="0" applyProtection="0"/>
    <xf numFmtId="0" fontId="35" fillId="3" borderId="0" applyNumberFormat="0" applyBorder="0" applyAlignment="0" applyProtection="0"/>
    <xf numFmtId="0" fontId="35" fillId="4" borderId="0" applyNumberFormat="0" applyBorder="0" applyAlignment="0" applyProtection="0"/>
    <xf numFmtId="0" fontId="35" fillId="5" borderId="0" applyNumberFormat="0" applyBorder="0" applyAlignment="0" applyProtection="0"/>
    <xf numFmtId="0" fontId="35" fillId="6" borderId="0" applyNumberFormat="0" applyBorder="0" applyAlignment="0" applyProtection="0"/>
    <xf numFmtId="0" fontId="35" fillId="4" borderId="0" applyNumberFormat="0" applyBorder="0" applyAlignment="0" applyProtection="0"/>
    <xf numFmtId="0" fontId="35" fillId="6" borderId="0" applyNumberFormat="0" applyBorder="0" applyAlignment="0" applyProtection="0"/>
    <xf numFmtId="0" fontId="35" fillId="3" borderId="0" applyNumberFormat="0" applyBorder="0" applyAlignment="0" applyProtection="0"/>
    <xf numFmtId="0" fontId="35" fillId="7" borderId="0" applyNumberFormat="0" applyBorder="0" applyAlignment="0" applyProtection="0"/>
    <xf numFmtId="0" fontId="35" fillId="8" borderId="0" applyNumberFormat="0" applyBorder="0" applyAlignment="0" applyProtection="0"/>
    <xf numFmtId="0" fontId="35" fillId="6" borderId="0" applyNumberFormat="0" applyBorder="0" applyAlignment="0" applyProtection="0"/>
    <xf numFmtId="0" fontId="35" fillId="4" borderId="0" applyNumberFormat="0" applyBorder="0" applyAlignment="0" applyProtection="0"/>
    <xf numFmtId="0" fontId="36" fillId="6" borderId="0" applyNumberFormat="0" applyBorder="0" applyAlignment="0" applyProtection="0"/>
    <xf numFmtId="0" fontId="36" fillId="9" borderId="0" applyNumberFormat="0" applyBorder="0" applyAlignment="0" applyProtection="0"/>
    <xf numFmtId="0" fontId="36" fillId="10" borderId="0" applyNumberFormat="0" applyBorder="0" applyAlignment="0" applyProtection="0"/>
    <xf numFmtId="0" fontId="36" fillId="8" borderId="0" applyNumberFormat="0" applyBorder="0" applyAlignment="0" applyProtection="0"/>
    <xf numFmtId="0" fontId="36" fillId="6" borderId="0" applyNumberFormat="0" applyBorder="0" applyAlignment="0" applyProtection="0"/>
    <xf numFmtId="0" fontId="36" fillId="3" borderId="0" applyNumberFormat="0" applyBorder="0" applyAlignment="0" applyProtection="0"/>
    <xf numFmtId="0" fontId="36" fillId="11" borderId="0" applyNumberFormat="0" applyBorder="0" applyAlignment="0" applyProtection="0"/>
    <xf numFmtId="0" fontId="36" fillId="9" borderId="0" applyNumberFormat="0" applyBorder="0" applyAlignment="0" applyProtection="0"/>
    <xf numFmtId="0" fontId="36" fillId="10" borderId="0" applyNumberFormat="0" applyBorder="0" applyAlignment="0" applyProtection="0"/>
    <xf numFmtId="0" fontId="36" fillId="12" borderId="0" applyNumberFormat="0" applyBorder="0" applyAlignment="0" applyProtection="0"/>
    <xf numFmtId="0" fontId="36" fillId="13" borderId="0" applyNumberFormat="0" applyBorder="0" applyAlignment="0" applyProtection="0"/>
    <xf numFmtId="0" fontId="36" fillId="14" borderId="0" applyNumberFormat="0" applyBorder="0" applyAlignment="0" applyProtection="0"/>
    <xf numFmtId="0" fontId="37" fillId="15" borderId="0" applyNumberFormat="0" applyBorder="0" applyAlignment="0" applyProtection="0"/>
    <xf numFmtId="0" fontId="38" fillId="16" borderId="1" applyNumberFormat="0" applyAlignment="0" applyProtection="0"/>
    <xf numFmtId="0" fontId="31" fillId="17" borderId="2" applyNumberFormat="0" applyAlignment="0" applyProtection="0"/>
    <xf numFmtId="169" fontId="87" fillId="0" borderId="0" applyFont="0" applyFill="0" applyBorder="0" applyAlignment="0" applyProtection="0"/>
    <xf numFmtId="169" fontId="3" fillId="0" borderId="0" applyFont="0" applyFill="0" applyBorder="0" applyAlignment="0" applyProtection="0"/>
    <xf numFmtId="168" fontId="3" fillId="0" borderId="0" applyFont="0" applyFill="0" applyBorder="0" applyAlignment="0" applyProtection="0"/>
    <xf numFmtId="168" fontId="4" fillId="0" borderId="0" applyFont="0" applyFill="0" applyBorder="0" applyAlignment="0" applyProtection="0"/>
    <xf numFmtId="168" fontId="6" fillId="0" borderId="0" applyFont="0" applyFill="0" applyBorder="0" applyAlignment="0" applyProtection="0"/>
    <xf numFmtId="168" fontId="3" fillId="0" borderId="0" applyFont="0" applyFill="0" applyBorder="0" applyAlignment="0" applyProtection="0"/>
    <xf numFmtId="168" fontId="3" fillId="0" borderId="0" applyFont="0" applyFill="0" applyBorder="0" applyAlignment="0" applyProtection="0"/>
    <xf numFmtId="0" fontId="39" fillId="0" borderId="0" applyNumberFormat="0" applyFill="0" applyBorder="0" applyAlignment="0" applyProtection="0"/>
    <xf numFmtId="0" fontId="40" fillId="6" borderId="0" applyNumberFormat="0" applyBorder="0" applyAlignment="0" applyProtection="0"/>
    <xf numFmtId="0" fontId="41" fillId="0" borderId="3" applyNumberFormat="0" applyFill="0" applyAlignment="0" applyProtection="0"/>
    <xf numFmtId="0" fontId="42" fillId="0" borderId="4" applyNumberFormat="0" applyFill="0" applyAlignment="0" applyProtection="0"/>
    <xf numFmtId="0" fontId="43" fillId="0" borderId="5" applyNumberFormat="0" applyFill="0" applyAlignment="0" applyProtection="0"/>
    <xf numFmtId="0" fontId="43" fillId="0" borderId="0" applyNumberFormat="0" applyFill="0" applyBorder="0" applyAlignment="0" applyProtection="0"/>
    <xf numFmtId="0" fontId="44" fillId="7" borderId="1" applyNumberFormat="0" applyAlignment="0" applyProtection="0"/>
    <xf numFmtId="0" fontId="45" fillId="0" borderId="6" applyNumberFormat="0" applyFill="0" applyAlignment="0" applyProtection="0"/>
    <xf numFmtId="0" fontId="46" fillId="7" borderId="0" applyNumberFormat="0" applyBorder="0" applyAlignment="0" applyProtection="0"/>
    <xf numFmtId="0" fontId="3" fillId="0" borderId="0"/>
    <xf numFmtId="0" fontId="7" fillId="0" borderId="0"/>
    <xf numFmtId="0" fontId="89" fillId="0" borderId="0"/>
    <xf numFmtId="0" fontId="89" fillId="0" borderId="0"/>
    <xf numFmtId="0" fontId="35" fillId="0" borderId="0"/>
    <xf numFmtId="0" fontId="4" fillId="4" borderId="7" applyNumberFormat="0" applyFont="0" applyAlignment="0" applyProtection="0"/>
    <xf numFmtId="0" fontId="47" fillId="16" borderId="8" applyNumberFormat="0" applyAlignment="0" applyProtection="0"/>
    <xf numFmtId="9" fontId="3" fillId="0" borderId="0" applyFont="0" applyFill="0" applyBorder="0" applyAlignment="0" applyProtection="0"/>
    <xf numFmtId="9" fontId="3" fillId="0" borderId="0" applyFont="0" applyFill="0" applyBorder="0" applyAlignment="0" applyProtection="0"/>
    <xf numFmtId="0" fontId="48" fillId="0" borderId="0" applyNumberFormat="0" applyFill="0" applyBorder="0" applyAlignment="0" applyProtection="0"/>
    <xf numFmtId="0" fontId="49" fillId="0" borderId="9" applyNumberFormat="0" applyFill="0" applyAlignment="0" applyProtection="0"/>
    <xf numFmtId="0" fontId="45" fillId="0" borderId="0" applyNumberFormat="0" applyFill="0" applyBorder="0" applyAlignment="0" applyProtection="0"/>
    <xf numFmtId="169" fontId="3" fillId="0" borderId="0" applyFont="0" applyFill="0" applyBorder="0" applyAlignment="0" applyProtection="0"/>
    <xf numFmtId="168" fontId="3" fillId="0" borderId="0" applyFont="0" applyFill="0" applyBorder="0" applyAlignment="0" applyProtection="0"/>
    <xf numFmtId="0" fontId="3" fillId="4" borderId="7" applyNumberFormat="0" applyFont="0" applyAlignment="0" applyProtection="0"/>
    <xf numFmtId="0" fontId="3" fillId="0" borderId="0"/>
  </cellStyleXfs>
  <cellXfs count="1470">
    <xf numFmtId="0" fontId="0" fillId="0" borderId="0" xfId="0"/>
    <xf numFmtId="0" fontId="6" fillId="0" borderId="0" xfId="0" applyFont="1" applyAlignment="1">
      <alignment horizontal="centerContinuous"/>
    </xf>
    <xf numFmtId="0" fontId="12" fillId="18" borderId="10" xfId="0" applyFont="1" applyFill="1" applyBorder="1" applyProtection="1">
      <protection hidden="1"/>
    </xf>
    <xf numFmtId="1" fontId="0" fillId="0" borderId="0" xfId="0" applyNumberFormat="1"/>
    <xf numFmtId="0" fontId="0" fillId="0" borderId="0" xfId="0" applyProtection="1">
      <protection hidden="1"/>
    </xf>
    <xf numFmtId="0" fontId="8" fillId="0" borderId="0" xfId="0" applyFont="1" applyProtection="1">
      <protection hidden="1"/>
    </xf>
    <xf numFmtId="0" fontId="8" fillId="0" borderId="0" xfId="0" applyFont="1"/>
    <xf numFmtId="0" fontId="7" fillId="0" borderId="0" xfId="0" applyFont="1"/>
    <xf numFmtId="0" fontId="6" fillId="0" borderId="0" xfId="0" applyFont="1" applyProtection="1">
      <protection hidden="1"/>
    </xf>
    <xf numFmtId="0" fontId="20" fillId="0" borderId="0" xfId="0" applyFont="1" applyProtection="1">
      <protection hidden="1"/>
    </xf>
    <xf numFmtId="0" fontId="21" fillId="0" borderId="0" xfId="0" applyFont="1" applyProtection="1">
      <protection hidden="1"/>
    </xf>
    <xf numFmtId="0" fontId="22" fillId="18" borderId="11" xfId="0" applyFont="1" applyFill="1" applyBorder="1" applyAlignment="1" applyProtection="1">
      <alignment horizontal="center"/>
      <protection hidden="1"/>
    </xf>
    <xf numFmtId="0" fontId="22" fillId="18" borderId="11" xfId="0" applyFont="1" applyFill="1" applyBorder="1" applyProtection="1">
      <protection hidden="1"/>
    </xf>
    <xf numFmtId="168" fontId="22" fillId="18" borderId="11" xfId="30" applyFont="1" applyFill="1" applyBorder="1" applyAlignment="1" applyProtection="1">
      <alignment horizontal="center"/>
      <protection hidden="1"/>
    </xf>
    <xf numFmtId="0" fontId="18" fillId="0" borderId="0" xfId="0" applyFont="1" applyProtection="1">
      <protection hidden="1"/>
    </xf>
    <xf numFmtId="170" fontId="18" fillId="0" borderId="0" xfId="30" applyNumberFormat="1" applyFont="1" applyFill="1" applyBorder="1" applyAlignment="1" applyProtection="1">
      <alignment horizontal="center"/>
      <protection hidden="1"/>
    </xf>
    <xf numFmtId="170" fontId="18" fillId="0" borderId="0" xfId="0" applyNumberFormat="1" applyFont="1" applyProtection="1">
      <protection hidden="1"/>
    </xf>
    <xf numFmtId="167" fontId="18" fillId="0" borderId="0" xfId="0" applyNumberFormat="1" applyFont="1" applyProtection="1">
      <protection hidden="1"/>
    </xf>
    <xf numFmtId="170" fontId="23" fillId="0" borderId="0" xfId="30" applyNumberFormat="1" applyFont="1" applyFill="1" applyBorder="1" applyAlignment="1" applyProtection="1">
      <protection hidden="1"/>
    </xf>
    <xf numFmtId="172" fontId="18" fillId="0" borderId="0" xfId="0" applyNumberFormat="1" applyFont="1" applyProtection="1">
      <protection hidden="1"/>
    </xf>
    <xf numFmtId="170" fontId="18" fillId="0" borderId="0" xfId="30" applyNumberFormat="1" applyFont="1" applyFill="1" applyBorder="1" applyProtection="1">
      <protection hidden="1"/>
    </xf>
    <xf numFmtId="170" fontId="18" fillId="0" borderId="0" xfId="30" applyNumberFormat="1" applyFont="1" applyFill="1" applyBorder="1" applyAlignment="1" applyProtection="1">
      <protection hidden="1"/>
    </xf>
    <xf numFmtId="0" fontId="22" fillId="18" borderId="10" xfId="0" applyFont="1" applyFill="1" applyBorder="1" applyProtection="1">
      <protection hidden="1"/>
    </xf>
    <xf numFmtId="170" fontId="20" fillId="0" borderId="0" xfId="30" applyNumberFormat="1" applyFont="1" applyFill="1" applyBorder="1" applyAlignment="1" applyProtection="1">
      <alignment horizontal="center"/>
      <protection hidden="1"/>
    </xf>
    <xf numFmtId="170" fontId="20" fillId="0" borderId="0" xfId="30" applyNumberFormat="1" applyFont="1" applyFill="1" applyBorder="1" applyProtection="1">
      <protection hidden="1"/>
    </xf>
    <xf numFmtId="170" fontId="20" fillId="0" borderId="0" xfId="0" applyNumberFormat="1" applyFont="1" applyProtection="1">
      <protection hidden="1"/>
    </xf>
    <xf numFmtId="0" fontId="11" fillId="0" borderId="0" xfId="0" applyFont="1" applyAlignment="1">
      <alignment horizontal="left"/>
    </xf>
    <xf numFmtId="170" fontId="20" fillId="0" borderId="0" xfId="0" applyNumberFormat="1" applyFont="1" applyAlignment="1" applyProtection="1">
      <alignment horizontal="center"/>
      <protection hidden="1"/>
    </xf>
    <xf numFmtId="0" fontId="13" fillId="0" borderId="0" xfId="0" applyFont="1" applyProtection="1">
      <protection hidden="1"/>
    </xf>
    <xf numFmtId="172" fontId="20" fillId="0" borderId="0" xfId="0" applyNumberFormat="1" applyFont="1" applyProtection="1">
      <protection hidden="1"/>
    </xf>
    <xf numFmtId="170" fontId="20" fillId="0" borderId="12" xfId="30" applyNumberFormat="1" applyFont="1" applyFill="1" applyBorder="1" applyProtection="1">
      <protection hidden="1"/>
    </xf>
    <xf numFmtId="0" fontId="18" fillId="0" borderId="0" xfId="0" applyFont="1"/>
    <xf numFmtId="0" fontId="18" fillId="18" borderId="11" xfId="0" applyFont="1" applyFill="1" applyBorder="1"/>
    <xf numFmtId="0" fontId="19" fillId="18" borderId="11" xfId="0" applyFont="1" applyFill="1" applyBorder="1"/>
    <xf numFmtId="0" fontId="19" fillId="0" borderId="0" xfId="0" applyFont="1"/>
    <xf numFmtId="170" fontId="20" fillId="19" borderId="0" xfId="30" applyNumberFormat="1" applyFont="1" applyFill="1" applyBorder="1" applyProtection="1">
      <protection hidden="1"/>
    </xf>
    <xf numFmtId="168" fontId="18" fillId="0" borderId="0" xfId="30" applyFont="1" applyFill="1" applyBorder="1" applyProtection="1">
      <protection hidden="1"/>
    </xf>
    <xf numFmtId="0" fontId="28" fillId="0" borderId="0" xfId="0" applyFont="1" applyProtection="1">
      <protection hidden="1"/>
    </xf>
    <xf numFmtId="0" fontId="29" fillId="0" borderId="0" xfId="0" applyFont="1" applyProtection="1">
      <protection hidden="1"/>
    </xf>
    <xf numFmtId="0" fontId="29" fillId="0" borderId="0" xfId="0" applyFont="1"/>
    <xf numFmtId="0" fontId="30" fillId="0" borderId="0" xfId="0" applyFont="1"/>
    <xf numFmtId="0" fontId="5" fillId="0" borderId="0" xfId="0" applyFont="1"/>
    <xf numFmtId="0" fontId="20" fillId="0" borderId="0" xfId="0" applyFont="1" applyAlignment="1">
      <alignment horizontal="left"/>
    </xf>
    <xf numFmtId="0" fontId="22" fillId="18" borderId="0" xfId="0" applyFont="1" applyFill="1" applyAlignment="1" applyProtection="1">
      <alignment horizontal="left"/>
      <protection hidden="1"/>
    </xf>
    <xf numFmtId="0" fontId="20" fillId="0" borderId="0" xfId="0" applyFont="1"/>
    <xf numFmtId="0" fontId="17" fillId="18" borderId="11" xfId="0" applyFont="1" applyFill="1" applyBorder="1"/>
    <xf numFmtId="0" fontId="27" fillId="0" borderId="0" xfId="0" applyFont="1"/>
    <xf numFmtId="0" fontId="21" fillId="0" borderId="0" xfId="0" applyFont="1"/>
    <xf numFmtId="170" fontId="20" fillId="0" borderId="0" xfId="34" applyNumberFormat="1" applyFont="1" applyFill="1" applyBorder="1" applyAlignment="1" applyProtection="1">
      <alignment horizontal="center"/>
    </xf>
    <xf numFmtId="170" fontId="21" fillId="19" borderId="0" xfId="30" applyNumberFormat="1" applyFont="1" applyFill="1" applyBorder="1" applyProtection="1">
      <protection hidden="1"/>
    </xf>
    <xf numFmtId="0" fontId="0" fillId="0" borderId="0" xfId="0" applyAlignment="1">
      <alignment vertical="top"/>
    </xf>
    <xf numFmtId="170" fontId="18" fillId="0" borderId="0" xfId="30" applyNumberFormat="1" applyFont="1" applyFill="1" applyBorder="1" applyAlignment="1" applyProtection="1">
      <alignment horizontal="center" vertical="top"/>
      <protection hidden="1"/>
    </xf>
    <xf numFmtId="172" fontId="18" fillId="0" borderId="0" xfId="0" applyNumberFormat="1" applyFont="1" applyAlignment="1" applyProtection="1">
      <alignment vertical="top"/>
      <protection hidden="1"/>
    </xf>
    <xf numFmtId="0" fontId="29" fillId="0" borderId="0" xfId="0" applyFont="1" applyAlignment="1">
      <alignment vertical="top"/>
    </xf>
    <xf numFmtId="0" fontId="23" fillId="0" borderId="0" xfId="0" applyFont="1" applyAlignment="1" applyProtection="1">
      <alignment horizontal="left" vertical="top" indent="1"/>
      <protection hidden="1"/>
    </xf>
    <xf numFmtId="170" fontId="20" fillId="0" borderId="0" xfId="30" applyNumberFormat="1" applyFont="1" applyFill="1" applyBorder="1" applyAlignment="1" applyProtection="1">
      <protection hidden="1"/>
    </xf>
    <xf numFmtId="0" fontId="0" fillId="0" borderId="0" xfId="0" applyAlignment="1">
      <alignment horizontal="center"/>
    </xf>
    <xf numFmtId="0" fontId="5" fillId="20" borderId="13" xfId="0" applyFont="1" applyFill="1" applyBorder="1"/>
    <xf numFmtId="0" fontId="21" fillId="0" borderId="0" xfId="0" applyFont="1" applyAlignment="1">
      <alignment horizontal="right"/>
    </xf>
    <xf numFmtId="170" fontId="21" fillId="0" borderId="14" xfId="30" applyNumberFormat="1" applyFont="1" applyFill="1" applyBorder="1" applyAlignment="1" applyProtection="1">
      <alignment horizontal="center"/>
      <protection hidden="1"/>
    </xf>
    <xf numFmtId="0" fontId="13" fillId="0" borderId="0" xfId="0" applyFont="1" applyAlignment="1" applyProtection="1">
      <alignment vertical="center"/>
      <protection hidden="1"/>
    </xf>
    <xf numFmtId="0" fontId="13" fillId="0" borderId="0" xfId="0" applyFont="1" applyAlignment="1" applyProtection="1">
      <alignment horizontal="center"/>
      <protection hidden="1"/>
    </xf>
    <xf numFmtId="0" fontId="13" fillId="22" borderId="0" xfId="0" applyFont="1" applyFill="1" applyAlignment="1" applyProtection="1">
      <alignment horizontal="center"/>
      <protection hidden="1"/>
    </xf>
    <xf numFmtId="0" fontId="13" fillId="22" borderId="0" xfId="0" applyFont="1" applyFill="1" applyProtection="1">
      <protection hidden="1"/>
    </xf>
    <xf numFmtId="0" fontId="22" fillId="0" borderId="0" xfId="0" applyFont="1" applyAlignment="1" applyProtection="1">
      <alignment horizontal="center"/>
      <protection hidden="1"/>
    </xf>
    <xf numFmtId="0" fontId="22" fillId="0" borderId="0" xfId="0" applyFont="1" applyProtection="1">
      <protection hidden="1"/>
    </xf>
    <xf numFmtId="168" fontId="22" fillId="0" borderId="0" xfId="30" applyFont="1" applyFill="1" applyBorder="1" applyAlignment="1" applyProtection="1">
      <alignment horizontal="center"/>
      <protection hidden="1"/>
    </xf>
    <xf numFmtId="0" fontId="0" fillId="23" borderId="14" xfId="0" applyFill="1" applyBorder="1"/>
    <xf numFmtId="0" fontId="0" fillId="20" borderId="14" xfId="0" applyFill="1" applyBorder="1"/>
    <xf numFmtId="0" fontId="0" fillId="0" borderId="0" xfId="0" applyAlignment="1">
      <alignment horizontal="right"/>
    </xf>
    <xf numFmtId="178" fontId="0" fillId="0" borderId="14" xfId="0" applyNumberFormat="1" applyBorder="1"/>
    <xf numFmtId="0" fontId="0" fillId="24" borderId="14" xfId="0" applyFill="1" applyBorder="1" applyAlignment="1">
      <alignment horizontal="right"/>
    </xf>
    <xf numFmtId="0" fontId="0" fillId="25" borderId="14" xfId="0" applyFill="1" applyBorder="1" applyAlignment="1">
      <alignment horizontal="right"/>
    </xf>
    <xf numFmtId="0" fontId="0" fillId="0" borderId="14" xfId="0" applyBorder="1" applyAlignment="1">
      <alignment horizontal="right"/>
    </xf>
    <xf numFmtId="0" fontId="0" fillId="0" borderId="14" xfId="0" applyBorder="1"/>
    <xf numFmtId="170" fontId="0" fillId="0" borderId="14" xfId="30" applyNumberFormat="1" applyFont="1" applyFill="1" applyBorder="1" applyProtection="1"/>
    <xf numFmtId="170" fontId="20" fillId="22" borderId="0" xfId="30" applyNumberFormat="1" applyFont="1" applyFill="1" applyBorder="1" applyProtection="1">
      <protection hidden="1"/>
    </xf>
    <xf numFmtId="0" fontId="20" fillId="22" borderId="16" xfId="30" applyNumberFormat="1" applyFont="1" applyFill="1" applyBorder="1" applyAlignment="1" applyProtection="1">
      <alignment horizontal="center"/>
      <protection hidden="1"/>
    </xf>
    <xf numFmtId="172" fontId="18" fillId="22" borderId="0" xfId="0" applyNumberFormat="1" applyFont="1" applyFill="1" applyProtection="1">
      <protection hidden="1"/>
    </xf>
    <xf numFmtId="0" fontId="52" fillId="0" borderId="0" xfId="0" applyFont="1" applyProtection="1">
      <protection hidden="1"/>
    </xf>
    <xf numFmtId="168" fontId="56" fillId="0" borderId="0" xfId="30" applyFont="1" applyBorder="1" applyAlignment="1">
      <alignment horizontal="center"/>
    </xf>
    <xf numFmtId="0" fontId="20" fillId="21" borderId="15" xfId="30" applyNumberFormat="1" applyFont="1" applyFill="1" applyBorder="1" applyAlignment="1" applyProtection="1">
      <alignment horizontal="center" vertical="center"/>
      <protection locked="0" hidden="1"/>
    </xf>
    <xf numFmtId="0" fontId="5" fillId="26" borderId="14" xfId="0" applyFont="1" applyFill="1" applyBorder="1" applyAlignment="1">
      <alignment horizontal="center"/>
    </xf>
    <xf numFmtId="0" fontId="0" fillId="0" borderId="14" xfId="0" applyBorder="1" applyAlignment="1">
      <alignment horizontal="center"/>
    </xf>
    <xf numFmtId="0" fontId="5" fillId="0" borderId="14" xfId="0" applyFont="1" applyBorder="1" applyAlignment="1">
      <alignment horizontal="center"/>
    </xf>
    <xf numFmtId="0" fontId="0" fillId="27" borderId="14" xfId="0" applyFill="1" applyBorder="1" applyAlignment="1">
      <alignment horizontal="center"/>
    </xf>
    <xf numFmtId="0" fontId="0" fillId="26" borderId="14" xfId="0" applyFill="1" applyBorder="1" applyAlignment="1">
      <alignment horizontal="center"/>
    </xf>
    <xf numFmtId="0" fontId="0" fillId="25" borderId="14" xfId="0" applyFill="1" applyBorder="1" applyAlignment="1">
      <alignment horizontal="center"/>
    </xf>
    <xf numFmtId="168" fontId="56" fillId="0" borderId="14" xfId="30" applyFont="1" applyBorder="1" applyAlignment="1">
      <alignment horizontal="center"/>
    </xf>
    <xf numFmtId="0" fontId="0" fillId="28" borderId="0" xfId="0" applyFill="1"/>
    <xf numFmtId="0" fontId="0" fillId="26" borderId="0" xfId="0" applyFill="1"/>
    <xf numFmtId="0" fontId="0" fillId="28" borderId="17" xfId="0" applyFill="1" applyBorder="1"/>
    <xf numFmtId="0" fontId="0" fillId="28" borderId="18" xfId="0" applyFill="1" applyBorder="1"/>
    <xf numFmtId="0" fontId="0" fillId="26" borderId="17" xfId="0" applyFill="1" applyBorder="1"/>
    <xf numFmtId="0" fontId="0" fillId="26" borderId="18" xfId="0" applyFill="1" applyBorder="1"/>
    <xf numFmtId="0" fontId="0" fillId="28" borderId="20" xfId="0" applyFill="1" applyBorder="1"/>
    <xf numFmtId="0" fontId="0" fillId="28" borderId="21" xfId="0" applyFill="1" applyBorder="1"/>
    <xf numFmtId="0" fontId="0" fillId="26" borderId="20" xfId="0" applyFill="1" applyBorder="1"/>
    <xf numFmtId="0" fontId="0" fillId="26" borderId="21" xfId="0" applyFill="1" applyBorder="1"/>
    <xf numFmtId="0" fontId="0" fillId="28" borderId="23" xfId="0" applyFill="1" applyBorder="1"/>
    <xf numFmtId="0" fontId="0" fillId="26" borderId="23" xfId="0" applyFill="1" applyBorder="1"/>
    <xf numFmtId="170" fontId="0" fillId="28" borderId="24" xfId="0" applyNumberFormat="1" applyFill="1" applyBorder="1"/>
    <xf numFmtId="170" fontId="0" fillId="26" borderId="24" xfId="0" applyNumberFormat="1" applyFill="1" applyBorder="1"/>
    <xf numFmtId="0" fontId="0" fillId="28" borderId="25" xfId="0" applyFill="1" applyBorder="1"/>
    <xf numFmtId="0" fontId="0" fillId="28" borderId="26" xfId="0" applyFill="1" applyBorder="1"/>
    <xf numFmtId="170" fontId="0" fillId="28" borderId="27" xfId="0" applyNumberFormat="1" applyFill="1" applyBorder="1"/>
    <xf numFmtId="0" fontId="0" fillId="26" borderId="25" xfId="0" applyFill="1" applyBorder="1"/>
    <xf numFmtId="0" fontId="0" fillId="26" borderId="26" xfId="0" applyFill="1" applyBorder="1"/>
    <xf numFmtId="170" fontId="0" fillId="26" borderId="27" xfId="0" applyNumberFormat="1" applyFill="1" applyBorder="1"/>
    <xf numFmtId="10" fontId="21" fillId="0" borderId="0" xfId="51" applyNumberFormat="1" applyFont="1" applyFill="1" applyBorder="1" applyAlignment="1" applyProtection="1">
      <alignment horizontal="left"/>
      <protection hidden="1"/>
    </xf>
    <xf numFmtId="170" fontId="20" fillId="0" borderId="28" xfId="30" applyNumberFormat="1" applyFont="1" applyFill="1" applyBorder="1" applyAlignment="1" applyProtection="1">
      <alignment horizontal="right" indent="1"/>
      <protection hidden="1"/>
    </xf>
    <xf numFmtId="170" fontId="0" fillId="28" borderId="0" xfId="0" applyNumberFormat="1" applyFill="1"/>
    <xf numFmtId="170" fontId="0" fillId="26" borderId="0" xfId="0" applyNumberFormat="1" applyFill="1"/>
    <xf numFmtId="182" fontId="0" fillId="28" borderId="0" xfId="0" applyNumberFormat="1" applyFill="1"/>
    <xf numFmtId="182" fontId="0" fillId="26" borderId="0" xfId="0" applyNumberFormat="1" applyFill="1"/>
    <xf numFmtId="0" fontId="53" fillId="28" borderId="0" xfId="0" applyFont="1" applyFill="1"/>
    <xf numFmtId="0" fontId="53" fillId="26" borderId="0" xfId="0" applyFont="1" applyFill="1"/>
    <xf numFmtId="2" fontId="13" fillId="0" borderId="14" xfId="0" applyNumberFormat="1" applyFont="1" applyBorder="1" applyAlignment="1">
      <alignment horizontal="center"/>
    </xf>
    <xf numFmtId="0" fontId="5" fillId="28" borderId="0" xfId="0" applyFont="1" applyFill="1"/>
    <xf numFmtId="165" fontId="0" fillId="28" borderId="14" xfId="0" applyNumberFormat="1" applyFill="1" applyBorder="1"/>
    <xf numFmtId="0" fontId="5" fillId="26" borderId="29" xfId="0" applyFont="1" applyFill="1" applyBorder="1" applyAlignment="1">
      <alignment horizontal="center"/>
    </xf>
    <xf numFmtId="170" fontId="53" fillId="27" borderId="29" xfId="30" applyNumberFormat="1" applyFont="1" applyFill="1" applyBorder="1" applyProtection="1"/>
    <xf numFmtId="0" fontId="21" fillId="19" borderId="0" xfId="0" applyFont="1" applyFill="1" applyProtection="1">
      <protection hidden="1"/>
    </xf>
    <xf numFmtId="0" fontId="20" fillId="19" borderId="0" xfId="0" applyFont="1" applyFill="1" applyProtection="1">
      <protection hidden="1"/>
    </xf>
    <xf numFmtId="0" fontId="20" fillId="0" borderId="30" xfId="0" applyFont="1" applyBorder="1" applyProtection="1">
      <protection hidden="1"/>
    </xf>
    <xf numFmtId="170" fontId="20" fillId="22" borderId="15" xfId="30" applyNumberFormat="1" applyFont="1" applyFill="1" applyBorder="1" applyAlignment="1" applyProtection="1">
      <protection locked="0" hidden="1"/>
    </xf>
    <xf numFmtId="10" fontId="0" fillId="28" borderId="14" xfId="0" applyNumberFormat="1" applyFill="1" applyBorder="1"/>
    <xf numFmtId="0" fontId="21" fillId="0" borderId="0" xfId="0" applyFont="1" applyAlignment="1" applyProtection="1">
      <alignment horizontal="right"/>
      <protection hidden="1"/>
    </xf>
    <xf numFmtId="2" fontId="20" fillId="0" borderId="0" xfId="0" applyNumberFormat="1" applyFont="1" applyAlignment="1" applyProtection="1">
      <alignment horizontal="left"/>
      <protection hidden="1"/>
    </xf>
    <xf numFmtId="0" fontId="21" fillId="22" borderId="0" xfId="0" applyFont="1" applyFill="1" applyAlignment="1" applyProtection="1">
      <alignment horizontal="center"/>
      <protection hidden="1"/>
    </xf>
    <xf numFmtId="0" fontId="21" fillId="22" borderId="0" xfId="0" applyFont="1" applyFill="1" applyProtection="1">
      <protection hidden="1"/>
    </xf>
    <xf numFmtId="170" fontId="13" fillId="22" borderId="0" xfId="30" applyNumberFormat="1" applyFont="1" applyFill="1" applyBorder="1" applyProtection="1">
      <protection hidden="1"/>
    </xf>
    <xf numFmtId="170" fontId="13" fillId="22" borderId="0" xfId="0" applyNumberFormat="1" applyFont="1" applyFill="1" applyProtection="1">
      <protection hidden="1"/>
    </xf>
    <xf numFmtId="170" fontId="20" fillId="22" borderId="0" xfId="0" applyNumberFormat="1" applyFont="1" applyFill="1" applyAlignment="1" applyProtection="1">
      <alignment horizontal="left"/>
      <protection hidden="1"/>
    </xf>
    <xf numFmtId="168" fontId="9" fillId="0" borderId="0" xfId="30" applyFont="1" applyFill="1" applyBorder="1" applyProtection="1">
      <protection hidden="1"/>
    </xf>
    <xf numFmtId="0" fontId="21" fillId="0" borderId="31" xfId="0" applyFont="1" applyBorder="1" applyAlignment="1" applyProtection="1">
      <alignment horizontal="left" vertical="center" indent="1"/>
      <protection hidden="1"/>
    </xf>
    <xf numFmtId="0" fontId="21" fillId="0" borderId="10" xfId="0" applyFont="1" applyBorder="1" applyAlignment="1" applyProtection="1">
      <alignment horizontal="right"/>
      <protection hidden="1"/>
    </xf>
    <xf numFmtId="0" fontId="13" fillId="0" borderId="10" xfId="0" applyFont="1" applyBorder="1" applyProtection="1">
      <protection hidden="1"/>
    </xf>
    <xf numFmtId="2" fontId="20" fillId="0" borderId="10" xfId="0" applyNumberFormat="1" applyFont="1" applyBorder="1" applyAlignment="1" applyProtection="1">
      <alignment horizontal="left"/>
      <protection hidden="1"/>
    </xf>
    <xf numFmtId="0" fontId="53" fillId="22" borderId="0" xfId="0" applyFont="1" applyFill="1" applyAlignment="1" applyProtection="1">
      <alignment horizontal="center"/>
      <protection hidden="1"/>
    </xf>
    <xf numFmtId="0" fontId="12" fillId="18" borderId="32" xfId="0" applyFont="1" applyFill="1" applyBorder="1" applyProtection="1">
      <protection hidden="1"/>
    </xf>
    <xf numFmtId="14" fontId="0" fillId="0" borderId="14" xfId="0" applyNumberFormat="1" applyBorder="1"/>
    <xf numFmtId="0" fontId="12" fillId="18" borderId="33" xfId="0" applyFont="1" applyFill="1" applyBorder="1" applyProtection="1">
      <protection hidden="1"/>
    </xf>
    <xf numFmtId="14" fontId="0" fillId="0" borderId="0" xfId="0" applyNumberFormat="1"/>
    <xf numFmtId="0" fontId="29" fillId="0" borderId="0" xfId="0" applyFont="1" applyAlignment="1" applyProtection="1">
      <alignment horizontal="left" vertical="top" indent="1"/>
      <protection hidden="1"/>
    </xf>
    <xf numFmtId="0" fontId="0" fillId="0" borderId="0" xfId="0" applyAlignment="1">
      <alignment horizontal="left" vertical="top" indent="1"/>
    </xf>
    <xf numFmtId="0" fontId="61" fillId="0" borderId="0" xfId="0" applyFont="1"/>
    <xf numFmtId="0" fontId="62" fillId="0" borderId="0" xfId="0" applyFont="1" applyProtection="1">
      <protection hidden="1"/>
    </xf>
    <xf numFmtId="0" fontId="44" fillId="29" borderId="0" xfId="0" applyFont="1" applyFill="1" applyAlignment="1" applyProtection="1">
      <alignment vertical="center"/>
      <protection hidden="1"/>
    </xf>
    <xf numFmtId="0" fontId="43" fillId="29" borderId="0" xfId="0" applyFont="1" applyFill="1" applyAlignment="1" applyProtection="1">
      <alignment vertical="center"/>
      <protection hidden="1"/>
    </xf>
    <xf numFmtId="0" fontId="65" fillId="0" borderId="0" xfId="0" applyFont="1" applyAlignment="1">
      <alignment vertical="center"/>
    </xf>
    <xf numFmtId="0" fontId="43" fillId="29" borderId="0" xfId="0" applyFont="1" applyFill="1" applyAlignment="1" applyProtection="1">
      <alignment horizontal="center" vertical="center"/>
      <protection hidden="1"/>
    </xf>
    <xf numFmtId="0" fontId="44" fillId="0" borderId="0" xfId="0" applyFont="1" applyAlignment="1" applyProtection="1">
      <alignment vertical="center"/>
      <protection hidden="1"/>
    </xf>
    <xf numFmtId="0" fontId="65" fillId="0" borderId="0" xfId="0" applyFont="1"/>
    <xf numFmtId="0" fontId="35" fillId="0" borderId="0" xfId="0" applyFont="1" applyProtection="1">
      <protection hidden="1"/>
    </xf>
    <xf numFmtId="0" fontId="43" fillId="0" borderId="0" xfId="0" applyFont="1" applyAlignment="1" applyProtection="1">
      <alignment horizontal="center" vertical="center"/>
      <protection hidden="1"/>
    </xf>
    <xf numFmtId="0" fontId="68" fillId="29" borderId="0" xfId="0" applyFont="1" applyFill="1" applyAlignment="1" applyProtection="1">
      <alignment vertical="top" wrapText="1"/>
      <protection hidden="1"/>
    </xf>
    <xf numFmtId="0" fontId="68" fillId="0" borderId="0" xfId="0" applyFont="1" applyAlignment="1" applyProtection="1">
      <alignment horizontal="center" vertical="center"/>
      <protection hidden="1"/>
    </xf>
    <xf numFmtId="0" fontId="67" fillId="0" borderId="0" xfId="0" applyFont="1" applyAlignment="1" applyProtection="1">
      <alignment horizontal="left" vertical="center"/>
      <protection hidden="1"/>
    </xf>
    <xf numFmtId="0" fontId="68" fillId="0" borderId="0" xfId="0" applyFont="1" applyAlignment="1" applyProtection="1">
      <alignment vertical="top" wrapText="1"/>
      <protection hidden="1"/>
    </xf>
    <xf numFmtId="0" fontId="38" fillId="0" borderId="0" xfId="0" applyFont="1" applyAlignment="1" applyProtection="1">
      <alignment vertical="center" wrapText="1"/>
      <protection hidden="1"/>
    </xf>
    <xf numFmtId="0" fontId="44" fillId="0" borderId="34" xfId="0" applyFont="1" applyBorder="1" applyAlignment="1" applyProtection="1">
      <alignment horizontal="left" indent="1"/>
      <protection hidden="1"/>
    </xf>
    <xf numFmtId="0" fontId="44" fillId="0" borderId="14" xfId="0" applyFont="1" applyBorder="1" applyAlignment="1">
      <alignment horizontal="center"/>
    </xf>
    <xf numFmtId="9" fontId="44" fillId="0" borderId="14" xfId="0" applyNumberFormat="1" applyFont="1" applyBorder="1" applyAlignment="1" applyProtection="1">
      <alignment horizontal="center"/>
      <protection hidden="1"/>
    </xf>
    <xf numFmtId="0" fontId="43" fillId="0" borderId="14" xfId="0" applyFont="1" applyBorder="1" applyAlignment="1" applyProtection="1">
      <alignment horizontal="center"/>
      <protection hidden="1"/>
    </xf>
    <xf numFmtId="0" fontId="44" fillId="0" borderId="14" xfId="0" applyFont="1" applyBorder="1"/>
    <xf numFmtId="0" fontId="43" fillId="0" borderId="14" xfId="0" applyFont="1" applyBorder="1" applyAlignment="1" applyProtection="1">
      <alignment horizontal="left"/>
      <protection hidden="1"/>
    </xf>
    <xf numFmtId="0" fontId="44" fillId="0" borderId="33" xfId="0" applyFont="1" applyBorder="1" applyProtection="1">
      <protection hidden="1"/>
    </xf>
    <xf numFmtId="0" fontId="65" fillId="0" borderId="14" xfId="0" applyFont="1" applyBorder="1" applyAlignment="1">
      <alignment horizontal="center"/>
    </xf>
    <xf numFmtId="9" fontId="67" fillId="0" borderId="14" xfId="0" applyNumberFormat="1" applyFont="1" applyBorder="1" applyAlignment="1" applyProtection="1">
      <alignment horizontal="center"/>
      <protection hidden="1"/>
    </xf>
    <xf numFmtId="0" fontId="44" fillId="0" borderId="17" xfId="0" applyFont="1" applyBorder="1" applyAlignment="1" applyProtection="1">
      <alignment horizontal="center"/>
      <protection hidden="1"/>
    </xf>
    <xf numFmtId="0" fontId="44" fillId="0" borderId="18" xfId="0" applyFont="1" applyBorder="1" applyAlignment="1" applyProtection="1">
      <alignment horizontal="center"/>
      <protection hidden="1"/>
    </xf>
    <xf numFmtId="0" fontId="44" fillId="0" borderId="19" xfId="0" applyFont="1" applyBorder="1" applyAlignment="1" applyProtection="1">
      <alignment horizontal="center"/>
      <protection hidden="1"/>
    </xf>
    <xf numFmtId="9" fontId="43" fillId="0" borderId="14" xfId="0" applyNumberFormat="1" applyFont="1" applyBorder="1" applyAlignment="1" applyProtection="1">
      <alignment horizontal="center"/>
      <protection hidden="1"/>
    </xf>
    <xf numFmtId="0" fontId="44" fillId="0" borderId="14" xfId="0" applyFont="1" applyBorder="1" applyProtection="1">
      <protection hidden="1"/>
    </xf>
    <xf numFmtId="0" fontId="44" fillId="0" borderId="31" xfId="0" applyFont="1" applyBorder="1" applyAlignment="1" applyProtection="1">
      <alignment horizontal="left" indent="1"/>
      <protection hidden="1"/>
    </xf>
    <xf numFmtId="9" fontId="43" fillId="0" borderId="0" xfId="0" applyNumberFormat="1" applyFont="1" applyAlignment="1" applyProtection="1">
      <alignment horizontal="center"/>
      <protection hidden="1"/>
    </xf>
    <xf numFmtId="0" fontId="44" fillId="0" borderId="0" xfId="0" applyFont="1" applyProtection="1">
      <protection hidden="1"/>
    </xf>
    <xf numFmtId="0" fontId="44" fillId="0" borderId="0" xfId="0" applyFont="1" applyAlignment="1" applyProtection="1">
      <alignment horizontal="center"/>
      <protection hidden="1"/>
    </xf>
    <xf numFmtId="0" fontId="43" fillId="0" borderId="0" xfId="0" applyFont="1" applyAlignment="1" applyProtection="1">
      <alignment horizontal="center"/>
      <protection hidden="1"/>
    </xf>
    <xf numFmtId="0" fontId="43" fillId="29" borderId="31" xfId="0" applyFont="1" applyFill="1" applyBorder="1" applyAlignment="1" applyProtection="1">
      <alignment horizontal="left" indent="1"/>
      <protection hidden="1"/>
    </xf>
    <xf numFmtId="10" fontId="43" fillId="0" borderId="14" xfId="51" applyNumberFormat="1" applyFont="1" applyFill="1" applyBorder="1" applyAlignment="1" applyProtection="1">
      <alignment horizontal="center" vertical="center"/>
      <protection hidden="1"/>
    </xf>
    <xf numFmtId="0" fontId="67" fillId="0" borderId="0" xfId="0" applyFont="1" applyAlignment="1" applyProtection="1">
      <alignment vertical="center"/>
      <protection hidden="1"/>
    </xf>
    <xf numFmtId="0" fontId="68" fillId="0" borderId="31" xfId="0" applyFont="1" applyBorder="1" applyAlignment="1">
      <alignment horizontal="right" vertical="center"/>
    </xf>
    <xf numFmtId="170" fontId="68" fillId="30" borderId="15" xfId="30" applyNumberFormat="1" applyFont="1" applyFill="1" applyBorder="1" applyAlignment="1" applyProtection="1">
      <alignment vertical="center"/>
      <protection hidden="1"/>
    </xf>
    <xf numFmtId="0" fontId="70" fillId="29" borderId="35" xfId="0" applyFont="1" applyFill="1" applyBorder="1" applyAlignment="1" applyProtection="1">
      <alignment horizontal="left" indent="1"/>
      <protection hidden="1"/>
    </xf>
    <xf numFmtId="0" fontId="67" fillId="0" borderId="16" xfId="0" applyFont="1" applyBorder="1" applyAlignment="1" applyProtection="1">
      <alignment vertical="center"/>
      <protection hidden="1"/>
    </xf>
    <xf numFmtId="0" fontId="43" fillId="0" borderId="16" xfId="0" applyFont="1" applyBorder="1" applyAlignment="1" applyProtection="1">
      <alignment horizontal="center"/>
      <protection hidden="1"/>
    </xf>
    <xf numFmtId="0" fontId="44" fillId="0" borderId="36" xfId="0" applyFont="1" applyBorder="1" applyProtection="1">
      <protection hidden="1"/>
    </xf>
    <xf numFmtId="0" fontId="67" fillId="0" borderId="0" xfId="0" applyFont="1"/>
    <xf numFmtId="0" fontId="68" fillId="0" borderId="0" xfId="0" applyFont="1" applyAlignment="1">
      <alignment horizontal="left" vertical="center"/>
    </xf>
    <xf numFmtId="170" fontId="67" fillId="30" borderId="15" xfId="30" applyNumberFormat="1" applyFont="1" applyFill="1" applyBorder="1" applyAlignment="1" applyProtection="1">
      <alignment horizontal="center" vertical="center"/>
      <protection locked="0" hidden="1"/>
    </xf>
    <xf numFmtId="170" fontId="3" fillId="0" borderId="0" xfId="30" applyNumberFormat="1" applyFill="1" applyProtection="1"/>
    <xf numFmtId="170" fontId="3" fillId="28" borderId="19" xfId="30" applyNumberFormat="1" applyFont="1" applyFill="1" applyBorder="1" applyProtection="1"/>
    <xf numFmtId="170" fontId="3" fillId="26" borderId="19" xfId="30" applyNumberFormat="1" applyFont="1" applyFill="1" applyBorder="1" applyProtection="1"/>
    <xf numFmtId="170" fontId="3" fillId="28" borderId="22" xfId="30" applyNumberFormat="1" applyFont="1" applyFill="1" applyBorder="1" applyProtection="1"/>
    <xf numFmtId="170" fontId="3" fillId="26" borderId="22" xfId="30" applyNumberFormat="1" applyFont="1" applyFill="1" applyBorder="1" applyProtection="1"/>
    <xf numFmtId="170" fontId="3" fillId="28" borderId="24" xfId="30" applyNumberFormat="1" applyFont="1" applyFill="1" applyBorder="1" applyProtection="1"/>
    <xf numFmtId="170" fontId="3" fillId="26" borderId="24" xfId="30" applyNumberFormat="1" applyFont="1" applyFill="1" applyBorder="1" applyProtection="1"/>
    <xf numFmtId="170" fontId="3" fillId="28" borderId="0" xfId="30" applyNumberFormat="1" applyFont="1" applyFill="1" applyProtection="1"/>
    <xf numFmtId="170" fontId="3" fillId="26" borderId="0" xfId="30" applyNumberFormat="1" applyFont="1" applyFill="1" applyProtection="1"/>
    <xf numFmtId="0" fontId="34" fillId="0" borderId="0" xfId="0" applyFont="1"/>
    <xf numFmtId="170" fontId="5" fillId="0" borderId="0" xfId="30" applyNumberFormat="1" applyFont="1" applyFill="1" applyBorder="1" applyProtection="1">
      <protection hidden="1"/>
    </xf>
    <xf numFmtId="0" fontId="20" fillId="0" borderId="0" xfId="0" applyFont="1" applyAlignment="1" applyProtection="1">
      <alignment vertical="top" wrapText="1"/>
      <protection locked="0"/>
    </xf>
    <xf numFmtId="174" fontId="21" fillId="0" borderId="0" xfId="30" applyNumberFormat="1" applyFont="1" applyFill="1" applyBorder="1" applyProtection="1">
      <protection hidden="1"/>
    </xf>
    <xf numFmtId="0" fontId="21" fillId="0" borderId="0" xfId="0" applyFont="1" applyAlignment="1">
      <alignment vertical="top" wrapText="1"/>
    </xf>
    <xf numFmtId="0" fontId="74" fillId="0" borderId="0" xfId="0" applyFont="1"/>
    <xf numFmtId="0" fontId="20" fillId="0" borderId="0" xfId="0" applyFont="1" applyAlignment="1">
      <alignment vertical="top" wrapText="1"/>
    </xf>
    <xf numFmtId="0" fontId="21" fillId="0" borderId="0" xfId="0" applyFont="1" applyAlignment="1">
      <alignment horizontal="center" vertical="top" wrapText="1"/>
    </xf>
    <xf numFmtId="0" fontId="21" fillId="0" borderId="0" xfId="0" applyFont="1" applyAlignment="1">
      <alignment vertical="center" wrapText="1"/>
    </xf>
    <xf numFmtId="0" fontId="21" fillId="0" borderId="0" xfId="0" applyFont="1" applyAlignment="1">
      <alignment horizontal="center" vertical="center" wrapText="1"/>
    </xf>
    <xf numFmtId="10" fontId="21" fillId="0" borderId="0" xfId="0" applyNumberFormat="1" applyFont="1" applyAlignment="1">
      <alignment horizontal="left" vertical="center" wrapText="1" indent="1"/>
    </xf>
    <xf numFmtId="0" fontId="20" fillId="0" borderId="0" xfId="0" applyFont="1" applyAlignment="1">
      <alignment vertical="center" wrapText="1"/>
    </xf>
    <xf numFmtId="4" fontId="25" fillId="0" borderId="0" xfId="0" applyNumberFormat="1" applyFont="1"/>
    <xf numFmtId="4" fontId="25" fillId="29" borderId="0" xfId="0" applyNumberFormat="1" applyFont="1" applyFill="1"/>
    <xf numFmtId="0" fontId="22" fillId="18" borderId="0" xfId="0" applyFont="1" applyFill="1" applyProtection="1">
      <protection hidden="1"/>
    </xf>
    <xf numFmtId="0" fontId="71" fillId="18" borderId="37" xfId="0" applyFont="1" applyFill="1" applyBorder="1" applyAlignment="1">
      <alignment vertical="center"/>
    </xf>
    <xf numFmtId="4" fontId="25" fillId="29" borderId="0" xfId="0" applyNumberFormat="1" applyFont="1" applyFill="1" applyAlignment="1">
      <alignment vertical="center"/>
    </xf>
    <xf numFmtId="0" fontId="22" fillId="18" borderId="38" xfId="0" applyFont="1" applyFill="1" applyBorder="1" applyAlignment="1" applyProtection="1">
      <alignment horizontal="left" vertical="center"/>
      <protection hidden="1"/>
    </xf>
    <xf numFmtId="0" fontId="17" fillId="18" borderId="39" xfId="0" applyFont="1" applyFill="1" applyBorder="1" applyAlignment="1">
      <alignment vertical="center"/>
    </xf>
    <xf numFmtId="0" fontId="17" fillId="18" borderId="40" xfId="0" applyFont="1" applyFill="1" applyBorder="1" applyAlignment="1">
      <alignment vertical="center"/>
    </xf>
    <xf numFmtId="4" fontId="25" fillId="0" borderId="0" xfId="0" applyNumberFormat="1" applyFont="1" applyAlignment="1">
      <alignment vertical="center"/>
    </xf>
    <xf numFmtId="4" fontId="27" fillId="0" borderId="31" xfId="0" applyNumberFormat="1" applyFont="1" applyBorder="1" applyAlignment="1">
      <alignment horizontal="left" vertical="center" indent="1"/>
    </xf>
    <xf numFmtId="4" fontId="27" fillId="0" borderId="0" xfId="0" applyNumberFormat="1" applyFont="1" applyAlignment="1">
      <alignment horizontal="left" vertical="center" indent="1"/>
    </xf>
    <xf numFmtId="0" fontId="76" fillId="0" borderId="0" xfId="29" applyNumberFormat="1" applyFont="1" applyFill="1" applyBorder="1" applyAlignment="1" applyProtection="1">
      <alignment horizontal="center" vertical="center"/>
    </xf>
    <xf numFmtId="4" fontId="25" fillId="0" borderId="33" xfId="0" applyNumberFormat="1" applyFont="1" applyBorder="1"/>
    <xf numFmtId="0" fontId="21" fillId="0" borderId="31" xfId="0" applyFont="1" applyBorder="1" applyAlignment="1">
      <alignment horizontal="left" vertical="center" indent="1"/>
    </xf>
    <xf numFmtId="0" fontId="21" fillId="0" borderId="41" xfId="0" applyFont="1" applyBorder="1" applyAlignment="1">
      <alignment horizontal="left" vertical="center"/>
    </xf>
    <xf numFmtId="0" fontId="77" fillId="29" borderId="0" xfId="29" applyNumberFormat="1" applyFont="1" applyFill="1" applyBorder="1" applyAlignment="1" applyProtection="1">
      <alignment horizontal="center" vertical="center"/>
    </xf>
    <xf numFmtId="4" fontId="25" fillId="29" borderId="0" xfId="0" applyNumberFormat="1" applyFont="1" applyFill="1" applyAlignment="1">
      <alignment horizontal="right" vertical="center"/>
    </xf>
    <xf numFmtId="4" fontId="25" fillId="29" borderId="33" xfId="0" applyNumberFormat="1" applyFont="1" applyFill="1" applyBorder="1" applyAlignment="1">
      <alignment vertical="center"/>
    </xf>
    <xf numFmtId="0" fontId="20" fillId="0" borderId="31" xfId="0" applyFont="1" applyBorder="1" applyAlignment="1">
      <alignment horizontal="right" vertical="center"/>
    </xf>
    <xf numFmtId="4" fontId="25" fillId="0" borderId="0" xfId="0" applyNumberFormat="1" applyFont="1" applyAlignment="1">
      <alignment horizontal="right" vertical="center"/>
    </xf>
    <xf numFmtId="4" fontId="25" fillId="0" borderId="31" xfId="0" applyNumberFormat="1" applyFont="1" applyBorder="1" applyAlignment="1">
      <alignment vertical="center"/>
    </xf>
    <xf numFmtId="4" fontId="21" fillId="29" borderId="31" xfId="29" applyNumberFormat="1" applyFont="1" applyFill="1" applyBorder="1" applyAlignment="1" applyProtection="1">
      <alignment horizontal="left" vertical="center" indent="1"/>
    </xf>
    <xf numFmtId="4" fontId="21" fillId="29" borderId="0" xfId="29" applyNumberFormat="1" applyFont="1" applyFill="1" applyBorder="1" applyAlignment="1" applyProtection="1">
      <alignment horizontal="left" vertical="center" indent="1"/>
    </xf>
    <xf numFmtId="175" fontId="21" fillId="0" borderId="42" xfId="33" applyNumberFormat="1" applyFont="1" applyFill="1" applyBorder="1" applyAlignment="1" applyProtection="1">
      <alignment vertical="center"/>
      <protection hidden="1"/>
    </xf>
    <xf numFmtId="0" fontId="5" fillId="0" borderId="31" xfId="0" applyFont="1" applyBorder="1" applyAlignment="1" applyProtection="1">
      <alignment horizontal="left" vertical="center" indent="1"/>
      <protection hidden="1"/>
    </xf>
    <xf numFmtId="0" fontId="5" fillId="0" borderId="0" xfId="0" applyFont="1" applyAlignment="1" applyProtection="1">
      <alignment horizontal="left" vertical="center" indent="1"/>
      <protection hidden="1"/>
    </xf>
    <xf numFmtId="0" fontId="5" fillId="0" borderId="33" xfId="0" applyFont="1" applyBorder="1" applyAlignment="1" applyProtection="1">
      <alignment horizontal="left" vertical="center" indent="1"/>
      <protection hidden="1"/>
    </xf>
    <xf numFmtId="4" fontId="72" fillId="29" borderId="31" xfId="0" applyNumberFormat="1" applyFont="1" applyFill="1" applyBorder="1" applyAlignment="1">
      <alignment horizontal="right" vertical="center"/>
    </xf>
    <xf numFmtId="4" fontId="72" fillId="29" borderId="0" xfId="0" applyNumberFormat="1" applyFont="1" applyFill="1" applyAlignment="1">
      <alignment horizontal="right" vertical="center"/>
    </xf>
    <xf numFmtId="0" fontId="77" fillId="21" borderId="29" xfId="29" applyNumberFormat="1" applyFont="1" applyFill="1" applyBorder="1" applyAlignment="1" applyProtection="1">
      <alignment horizontal="center" vertical="center"/>
      <protection locked="0"/>
    </xf>
    <xf numFmtId="4" fontId="21" fillId="29" borderId="31" xfId="0" applyNumberFormat="1" applyFont="1" applyFill="1" applyBorder="1" applyAlignment="1">
      <alignment horizontal="left" vertical="center" indent="1"/>
    </xf>
    <xf numFmtId="4" fontId="21" fillId="29" borderId="0" xfId="0" applyNumberFormat="1" applyFont="1" applyFill="1" applyAlignment="1">
      <alignment horizontal="left" vertical="center" indent="1"/>
    </xf>
    <xf numFmtId="4" fontId="20" fillId="29" borderId="31" xfId="0" applyNumberFormat="1" applyFont="1" applyFill="1" applyBorder="1" applyAlignment="1">
      <alignment horizontal="left" vertical="center" indent="1"/>
    </xf>
    <xf numFmtId="4" fontId="20" fillId="29" borderId="0" xfId="0" applyNumberFormat="1" applyFont="1" applyFill="1" applyAlignment="1">
      <alignment horizontal="left" vertical="center" indent="1"/>
    </xf>
    <xf numFmtId="4" fontId="72" fillId="29" borderId="0" xfId="29" applyNumberFormat="1" applyFont="1" applyFill="1" applyBorder="1" applyAlignment="1" applyProtection="1">
      <alignment horizontal="right" vertical="center"/>
    </xf>
    <xf numFmtId="174" fontId="21" fillId="0" borderId="0" xfId="33" applyNumberFormat="1" applyFont="1" applyFill="1" applyBorder="1" applyAlignment="1" applyProtection="1">
      <alignment vertical="center"/>
      <protection hidden="1"/>
    </xf>
    <xf numFmtId="4" fontId="50" fillId="29" borderId="0" xfId="0" applyNumberFormat="1" applyFont="1" applyFill="1" applyAlignment="1">
      <alignment vertical="center"/>
    </xf>
    <xf numFmtId="4" fontId="27" fillId="29" borderId="0" xfId="29" applyNumberFormat="1" applyFont="1" applyFill="1" applyBorder="1" applyAlignment="1" applyProtection="1">
      <alignment horizontal="right" vertical="center"/>
    </xf>
    <xf numFmtId="175" fontId="21" fillId="0" borderId="0" xfId="33" applyNumberFormat="1" applyFont="1" applyFill="1" applyBorder="1" applyAlignment="1" applyProtection="1">
      <alignment vertical="center"/>
      <protection hidden="1"/>
    </xf>
    <xf numFmtId="4" fontId="25" fillId="0" borderId="33" xfId="0" applyNumberFormat="1" applyFont="1" applyBorder="1" applyAlignment="1">
      <alignment vertical="center"/>
    </xf>
    <xf numFmtId="4" fontId="50" fillId="29" borderId="31" xfId="0" applyNumberFormat="1" applyFont="1" applyFill="1" applyBorder="1" applyAlignment="1">
      <alignment horizontal="left" vertical="center" indent="1"/>
    </xf>
    <xf numFmtId="4" fontId="50" fillId="29" borderId="0" xfId="0" applyNumberFormat="1" applyFont="1" applyFill="1" applyAlignment="1">
      <alignment horizontal="left" vertical="center" indent="1"/>
    </xf>
    <xf numFmtId="4" fontId="27" fillId="0" borderId="0" xfId="29" applyNumberFormat="1" applyFont="1" applyFill="1" applyBorder="1" applyAlignment="1" applyProtection="1">
      <alignment vertical="center"/>
    </xf>
    <xf numFmtId="4" fontId="27" fillId="29" borderId="0" xfId="29" applyNumberFormat="1" applyFont="1" applyFill="1" applyBorder="1" applyAlignment="1" applyProtection="1">
      <alignment vertical="center"/>
    </xf>
    <xf numFmtId="0" fontId="21" fillId="0" borderId="0" xfId="0" applyFont="1" applyAlignment="1" applyProtection="1">
      <alignment horizontal="left" vertical="center" indent="1"/>
      <protection hidden="1"/>
    </xf>
    <xf numFmtId="0" fontId="20" fillId="0" borderId="31" xfId="0" applyFont="1" applyBorder="1" applyAlignment="1" applyProtection="1">
      <alignment horizontal="left" vertical="center" indent="1"/>
      <protection hidden="1"/>
    </xf>
    <xf numFmtId="0" fontId="20" fillId="0" borderId="0" xfId="0" applyFont="1" applyAlignment="1" applyProtection="1">
      <alignment horizontal="left" vertical="center" indent="1"/>
      <protection hidden="1"/>
    </xf>
    <xf numFmtId="4" fontId="8" fillId="29" borderId="0" xfId="0" applyNumberFormat="1" applyFont="1" applyFill="1" applyAlignment="1">
      <alignment horizontal="right" vertical="center"/>
    </xf>
    <xf numFmtId="178" fontId="78" fillId="0" borderId="0" xfId="33" applyNumberFormat="1" applyFont="1" applyBorder="1" applyAlignment="1" applyProtection="1">
      <alignment vertical="center"/>
    </xf>
    <xf numFmtId="10" fontId="79" fillId="0" borderId="0" xfId="51" applyNumberFormat="1" applyFont="1" applyFill="1" applyBorder="1" applyAlignment="1" applyProtection="1">
      <alignment vertical="center"/>
      <protection hidden="1"/>
    </xf>
    <xf numFmtId="175" fontId="20" fillId="0" borderId="0" xfId="33" applyNumberFormat="1" applyFont="1" applyFill="1" applyBorder="1" applyAlignment="1" applyProtection="1">
      <alignment vertical="center"/>
      <protection hidden="1"/>
    </xf>
    <xf numFmtId="0" fontId="25" fillId="0" borderId="0" xfId="0" applyFont="1" applyAlignment="1" applyProtection="1">
      <alignment vertical="center"/>
      <protection hidden="1"/>
    </xf>
    <xf numFmtId="4" fontId="50" fillId="0" borderId="0" xfId="0" applyNumberFormat="1" applyFont="1" applyAlignment="1">
      <alignment vertical="top"/>
    </xf>
    <xf numFmtId="4" fontId="27" fillId="29" borderId="0" xfId="29" applyNumberFormat="1" applyFont="1" applyFill="1" applyBorder="1" applyAlignment="1" applyProtection="1">
      <alignment horizontal="center" vertical="top"/>
    </xf>
    <xf numFmtId="4" fontId="27" fillId="29" borderId="0" xfId="29" applyNumberFormat="1" applyFont="1" applyFill="1" applyBorder="1" applyAlignment="1" applyProtection="1">
      <alignment horizontal="center" vertical="center"/>
    </xf>
    <xf numFmtId="0" fontId="13" fillId="0" borderId="31" xfId="0" applyFont="1" applyBorder="1" applyAlignment="1">
      <alignment horizontal="left" vertical="center" indent="1"/>
    </xf>
    <xf numFmtId="0" fontId="13" fillId="0" borderId="0" xfId="0" applyFont="1" applyAlignment="1">
      <alignment horizontal="left" vertical="center" indent="1"/>
    </xf>
    <xf numFmtId="175" fontId="13" fillId="0" borderId="0" xfId="0" applyNumberFormat="1" applyFont="1" applyAlignment="1" applyProtection="1">
      <alignment vertical="center"/>
      <protection hidden="1"/>
    </xf>
    <xf numFmtId="0" fontId="21" fillId="0" borderId="33" xfId="0" applyFont="1" applyBorder="1" applyAlignment="1" applyProtection="1">
      <alignment horizontal="left" vertical="center" indent="1"/>
      <protection hidden="1"/>
    </xf>
    <xf numFmtId="175" fontId="21" fillId="0" borderId="43" xfId="33" applyNumberFormat="1" applyFont="1" applyFill="1" applyBorder="1" applyAlignment="1" applyProtection="1">
      <alignment vertical="center"/>
      <protection hidden="1"/>
    </xf>
    <xf numFmtId="4" fontId="25" fillId="29" borderId="0" xfId="0" applyNumberFormat="1" applyFont="1" applyFill="1" applyAlignment="1">
      <alignment horizontal="left" vertical="center"/>
    </xf>
    <xf numFmtId="0" fontId="25" fillId="0" borderId="31" xfId="0" applyFont="1" applyBorder="1" applyAlignment="1" applyProtection="1">
      <alignment horizontal="left" vertical="center" indent="1"/>
      <protection hidden="1"/>
    </xf>
    <xf numFmtId="0" fontId="25" fillId="0" borderId="0" xfId="0" applyFont="1" applyAlignment="1" applyProtection="1">
      <alignment horizontal="left" vertical="center" indent="1"/>
      <protection hidden="1"/>
    </xf>
    <xf numFmtId="0" fontId="53" fillId="0" borderId="31" xfId="0" applyFont="1" applyBorder="1" applyAlignment="1" applyProtection="1">
      <alignment horizontal="left" vertical="center" indent="1"/>
      <protection hidden="1"/>
    </xf>
    <xf numFmtId="0" fontId="53" fillId="0" borderId="0" xfId="0" applyFont="1" applyAlignment="1" applyProtection="1">
      <alignment horizontal="left" vertical="center" indent="1"/>
      <protection hidden="1"/>
    </xf>
    <xf numFmtId="0" fontId="53" fillId="0" borderId="33" xfId="0" applyFont="1" applyBorder="1" applyAlignment="1" applyProtection="1">
      <alignment horizontal="left" vertical="center" indent="1"/>
      <protection hidden="1"/>
    </xf>
    <xf numFmtId="10" fontId="20" fillId="29" borderId="7" xfId="51" applyNumberFormat="1" applyFont="1" applyFill="1" applyBorder="1" applyAlignment="1" applyProtection="1">
      <alignment horizontal="right" vertical="center"/>
    </xf>
    <xf numFmtId="4" fontId="20" fillId="0" borderId="31" xfId="0" applyNumberFormat="1" applyFont="1" applyBorder="1" applyAlignment="1">
      <alignment horizontal="left" vertical="center" indent="1"/>
    </xf>
    <xf numFmtId="4" fontId="20" fillId="0" borderId="0" xfId="0" applyNumberFormat="1" applyFont="1" applyAlignment="1">
      <alignment horizontal="left" vertical="center" indent="1"/>
    </xf>
    <xf numFmtId="175" fontId="20" fillId="0" borderId="7" xfId="33" applyNumberFormat="1" applyFont="1" applyFill="1" applyBorder="1" applyAlignment="1" applyProtection="1">
      <alignment vertical="center"/>
      <protection hidden="1"/>
    </xf>
    <xf numFmtId="4" fontId="50" fillId="0" borderId="0" xfId="0" applyNumberFormat="1" applyFont="1" applyAlignment="1">
      <alignment vertical="center"/>
    </xf>
    <xf numFmtId="4" fontId="20" fillId="29" borderId="31" xfId="29" applyNumberFormat="1" applyFont="1" applyFill="1" applyBorder="1" applyAlignment="1" applyProtection="1">
      <alignment horizontal="left" vertical="center" indent="1"/>
    </xf>
    <xf numFmtId="4" fontId="20" fillId="29" borderId="0" xfId="29" applyNumberFormat="1" applyFont="1" applyFill="1" applyBorder="1" applyAlignment="1" applyProtection="1">
      <alignment horizontal="left" vertical="center" indent="1"/>
    </xf>
    <xf numFmtId="175" fontId="22" fillId="18" borderId="0" xfId="33" applyNumberFormat="1" applyFont="1" applyFill="1" applyBorder="1" applyAlignment="1" applyProtection="1">
      <alignment horizontal="center" vertical="center"/>
      <protection hidden="1"/>
    </xf>
    <xf numFmtId="4" fontId="25" fillId="29" borderId="33" xfId="0" applyNumberFormat="1" applyFont="1" applyFill="1" applyBorder="1"/>
    <xf numFmtId="4" fontId="20" fillId="29" borderId="35" xfId="29" applyNumberFormat="1" applyFont="1" applyFill="1" applyBorder="1" applyAlignment="1" applyProtection="1">
      <alignment horizontal="left" vertical="top" indent="1"/>
    </xf>
    <xf numFmtId="4" fontId="20" fillId="29" borderId="16" xfId="29" applyNumberFormat="1" applyFont="1" applyFill="1" applyBorder="1" applyAlignment="1" applyProtection="1">
      <alignment horizontal="left" vertical="top" indent="1"/>
    </xf>
    <xf numFmtId="4" fontId="20" fillId="29" borderId="16" xfId="29" applyNumberFormat="1" applyFont="1" applyFill="1" applyBorder="1" applyAlignment="1" applyProtection="1">
      <alignment horizontal="right" vertical="top"/>
    </xf>
    <xf numFmtId="4" fontId="20" fillId="29" borderId="16" xfId="29" applyNumberFormat="1" applyFont="1" applyFill="1" applyBorder="1" applyAlignment="1" applyProtection="1">
      <alignment vertical="top"/>
    </xf>
    <xf numFmtId="4" fontId="20" fillId="29" borderId="16" xfId="0" applyNumberFormat="1" applyFont="1" applyFill="1" applyBorder="1" applyAlignment="1">
      <alignment vertical="top"/>
    </xf>
    <xf numFmtId="4" fontId="20" fillId="29" borderId="36" xfId="0" applyNumberFormat="1" applyFont="1" applyFill="1" applyBorder="1" applyAlignment="1">
      <alignment vertical="top"/>
    </xf>
    <xf numFmtId="4" fontId="20" fillId="29" borderId="0" xfId="0" applyNumberFormat="1" applyFont="1" applyFill="1" applyAlignment="1">
      <alignment vertical="top"/>
    </xf>
    <xf numFmtId="0" fontId="80" fillId="29" borderId="0" xfId="0" applyFont="1" applyFill="1"/>
    <xf numFmtId="4" fontId="20" fillId="29" borderId="0" xfId="0" applyNumberFormat="1" applyFont="1" applyFill="1"/>
    <xf numFmtId="4" fontId="20" fillId="29" borderId="0" xfId="0" applyNumberFormat="1" applyFont="1" applyFill="1" applyAlignment="1">
      <alignment vertical="center"/>
    </xf>
    <xf numFmtId="4" fontId="20" fillId="0" borderId="0" xfId="0" applyNumberFormat="1" applyFont="1"/>
    <xf numFmtId="4" fontId="80" fillId="29" borderId="0" xfId="0" applyNumberFormat="1" applyFont="1" applyFill="1"/>
    <xf numFmtId="4" fontId="80" fillId="29" borderId="0" xfId="0" applyNumberFormat="1" applyFont="1" applyFill="1" applyAlignment="1">
      <alignment horizontal="right"/>
    </xf>
    <xf numFmtId="175" fontId="80" fillId="29" borderId="0" xfId="0" applyNumberFormat="1" applyFont="1" applyFill="1"/>
    <xf numFmtId="4" fontId="80" fillId="29" borderId="0" xfId="0" applyNumberFormat="1" applyFont="1" applyFill="1" applyAlignment="1">
      <alignment vertical="center"/>
    </xf>
    <xf numFmtId="0" fontId="80" fillId="29" borderId="0" xfId="0" applyFont="1" applyFill="1" applyAlignment="1">
      <alignment vertical="center"/>
    </xf>
    <xf numFmtId="3" fontId="80" fillId="29" borderId="0" xfId="0" applyNumberFormat="1" applyFont="1" applyFill="1"/>
    <xf numFmtId="4" fontId="75" fillId="29" borderId="0" xfId="0" applyNumberFormat="1" applyFont="1" applyFill="1"/>
    <xf numFmtId="9" fontId="75" fillId="29" borderId="0" xfId="51" applyFont="1" applyFill="1" applyBorder="1" applyProtection="1"/>
    <xf numFmtId="9" fontId="75" fillId="29" borderId="0" xfId="51" applyFont="1" applyFill="1" applyBorder="1" applyAlignment="1" applyProtection="1">
      <alignment vertical="center"/>
    </xf>
    <xf numFmtId="4" fontId="75" fillId="29" borderId="0" xfId="0" applyNumberFormat="1" applyFont="1" applyFill="1" applyAlignment="1">
      <alignment horizontal="right"/>
    </xf>
    <xf numFmtId="178" fontId="75" fillId="29" borderId="0" xfId="33" applyNumberFormat="1" applyFont="1" applyFill="1" applyBorder="1" applyProtection="1"/>
    <xf numFmtId="4" fontId="75" fillId="29" borderId="0" xfId="0" applyNumberFormat="1" applyFont="1" applyFill="1" applyAlignment="1">
      <alignment vertical="center"/>
    </xf>
    <xf numFmtId="0" fontId="75" fillId="29" borderId="0" xfId="0" applyFont="1" applyFill="1" applyAlignment="1">
      <alignment vertical="center"/>
    </xf>
    <xf numFmtId="3" fontId="25" fillId="29" borderId="0" xfId="0" applyNumberFormat="1" applyFont="1" applyFill="1"/>
    <xf numFmtId="0" fontId="6" fillId="0" borderId="14" xfId="0" applyFont="1" applyBorder="1" applyProtection="1">
      <protection hidden="1"/>
    </xf>
    <xf numFmtId="0" fontId="53" fillId="0" borderId="0" xfId="0" applyFont="1"/>
    <xf numFmtId="0" fontId="12" fillId="18" borderId="10" xfId="0" applyFont="1" applyFill="1" applyBorder="1" applyAlignment="1" applyProtection="1">
      <alignment horizontal="center"/>
      <protection locked="0" hidden="1"/>
    </xf>
    <xf numFmtId="0" fontId="73" fillId="0" borderId="0" xfId="0" applyFont="1" applyAlignment="1">
      <alignment vertical="top" wrapText="1"/>
    </xf>
    <xf numFmtId="0" fontId="20" fillId="0" borderId="0" xfId="0" applyFont="1" applyAlignment="1">
      <alignment horizontal="left" vertical="top" wrapText="1"/>
    </xf>
    <xf numFmtId="0" fontId="0" fillId="0" borderId="0" xfId="0" applyAlignment="1">
      <alignment horizontal="left"/>
    </xf>
    <xf numFmtId="10" fontId="0" fillId="0" borderId="14" xfId="0" applyNumberFormat="1" applyBorder="1" applyAlignment="1">
      <alignment horizontal="center"/>
    </xf>
    <xf numFmtId="0" fontId="54" fillId="0" borderId="0" xfId="0" applyFont="1" applyAlignment="1" applyProtection="1">
      <alignment vertical="center"/>
      <protection hidden="1"/>
    </xf>
    <xf numFmtId="0" fontId="83" fillId="0" borderId="0" xfId="0" applyFont="1" applyAlignment="1" applyProtection="1">
      <alignment wrapText="1"/>
      <protection hidden="1"/>
    </xf>
    <xf numFmtId="0" fontId="54" fillId="0" borderId="0" xfId="0" applyFont="1" applyProtection="1">
      <protection hidden="1"/>
    </xf>
    <xf numFmtId="10" fontId="21" fillId="0" borderId="0" xfId="51" applyNumberFormat="1" applyFont="1" applyFill="1" applyBorder="1" applyAlignment="1" applyProtection="1">
      <alignment horizontal="center"/>
      <protection hidden="1"/>
    </xf>
    <xf numFmtId="0" fontId="0" fillId="26" borderId="29" xfId="0" applyFill="1" applyBorder="1" applyAlignment="1">
      <alignment horizontal="center"/>
    </xf>
    <xf numFmtId="0" fontId="22" fillId="0" borderId="0" xfId="44" applyFont="1" applyAlignment="1" applyProtection="1">
      <alignment horizontal="center"/>
      <protection hidden="1"/>
    </xf>
    <xf numFmtId="0" fontId="84" fillId="0" borderId="0" xfId="44" applyFont="1" applyProtection="1">
      <protection hidden="1"/>
    </xf>
    <xf numFmtId="0" fontId="54" fillId="0" borderId="0" xfId="44" applyFont="1" applyProtection="1">
      <protection hidden="1"/>
    </xf>
    <xf numFmtId="168" fontId="22" fillId="0" borderId="0" xfId="31" applyFont="1" applyFill="1" applyBorder="1" applyAlignment="1" applyProtection="1">
      <alignment horizontal="center"/>
      <protection hidden="1"/>
    </xf>
    <xf numFmtId="0" fontId="21" fillId="0" borderId="0" xfId="0" applyFont="1" applyAlignment="1" applyProtection="1">
      <alignment horizontal="right" vertical="center"/>
      <protection hidden="1"/>
    </xf>
    <xf numFmtId="170" fontId="86" fillId="22" borderId="0" xfId="30" applyNumberFormat="1" applyFont="1" applyFill="1" applyBorder="1" applyProtection="1">
      <protection hidden="1"/>
    </xf>
    <xf numFmtId="170" fontId="86" fillId="22" borderId="0" xfId="0" applyNumberFormat="1" applyFont="1" applyFill="1" applyProtection="1">
      <protection hidden="1"/>
    </xf>
    <xf numFmtId="170" fontId="86" fillId="22" borderId="0" xfId="0" applyNumberFormat="1" applyFont="1" applyFill="1" applyAlignment="1" applyProtection="1">
      <alignment horizontal="left"/>
      <protection hidden="1"/>
    </xf>
    <xf numFmtId="0" fontId="86" fillId="22" borderId="0" xfId="0" applyFont="1" applyFill="1" applyProtection="1">
      <protection hidden="1"/>
    </xf>
    <xf numFmtId="170" fontId="20" fillId="30" borderId="0" xfId="30" applyNumberFormat="1" applyFont="1" applyFill="1" applyBorder="1" applyProtection="1">
      <protection hidden="1"/>
    </xf>
    <xf numFmtId="170" fontId="21" fillId="30" borderId="0" xfId="30" applyNumberFormat="1" applyFont="1" applyFill="1" applyBorder="1" applyProtection="1">
      <protection hidden="1"/>
    </xf>
    <xf numFmtId="0" fontId="20" fillId="30" borderId="0" xfId="30" applyNumberFormat="1" applyFont="1" applyFill="1" applyBorder="1" applyProtection="1">
      <protection hidden="1"/>
    </xf>
    <xf numFmtId="168" fontId="21" fillId="30" borderId="0" xfId="30" applyFont="1" applyFill="1" applyBorder="1" applyProtection="1">
      <protection hidden="1"/>
    </xf>
    <xf numFmtId="168" fontId="20" fillId="30" borderId="0" xfId="30" applyFont="1" applyFill="1" applyBorder="1" applyAlignment="1" applyProtection="1">
      <alignment horizontal="left" indent="1"/>
      <protection hidden="1"/>
    </xf>
    <xf numFmtId="0" fontId="27" fillId="30" borderId="0" xfId="0" applyFont="1" applyFill="1"/>
    <xf numFmtId="0" fontId="18" fillId="30" borderId="0" xfId="0" applyFont="1" applyFill="1"/>
    <xf numFmtId="0" fontId="19" fillId="30" borderId="0" xfId="0" applyFont="1" applyFill="1"/>
    <xf numFmtId="170" fontId="20" fillId="21" borderId="7" xfId="33" applyNumberFormat="1" applyFont="1" applyFill="1" applyBorder="1" applyAlignment="1" applyProtection="1">
      <alignment vertical="center"/>
      <protection locked="0"/>
    </xf>
    <xf numFmtId="168" fontId="0" fillId="0" borderId="0" xfId="0" applyNumberFormat="1"/>
    <xf numFmtId="0" fontId="89" fillId="0" borderId="14" xfId="47" applyBorder="1" applyAlignment="1">
      <alignment horizontal="center"/>
    </xf>
    <xf numFmtId="10" fontId="21" fillId="0" borderId="0" xfId="51" applyNumberFormat="1" applyFont="1" applyFill="1" applyBorder="1" applyAlignment="1" applyProtection="1">
      <alignment horizontal="center" vertical="center"/>
      <protection hidden="1"/>
    </xf>
    <xf numFmtId="165" fontId="21" fillId="0" borderId="0" xfId="51" applyNumberFormat="1" applyFont="1" applyFill="1" applyBorder="1" applyAlignment="1" applyProtection="1">
      <alignment horizontal="center" vertical="center"/>
      <protection hidden="1"/>
    </xf>
    <xf numFmtId="0" fontId="22" fillId="0" borderId="0" xfId="0" applyFont="1" applyAlignment="1" applyProtection="1">
      <alignment horizontal="left"/>
      <protection hidden="1"/>
    </xf>
    <xf numFmtId="0" fontId="55" fillId="0" borderId="0" xfId="0" applyFont="1" applyAlignment="1" applyProtection="1">
      <alignment horizontal="center" wrapText="1"/>
      <protection hidden="1"/>
    </xf>
    <xf numFmtId="0" fontId="90" fillId="0" borderId="0" xfId="51" applyNumberFormat="1" applyFont="1" applyFill="1" applyBorder="1" applyAlignment="1" applyProtection="1">
      <alignment horizontal="center"/>
      <protection hidden="1"/>
    </xf>
    <xf numFmtId="0" fontId="22" fillId="22" borderId="0" xfId="0" applyFont="1" applyFill="1" applyAlignment="1" applyProtection="1">
      <alignment horizontal="center"/>
      <protection hidden="1"/>
    </xf>
    <xf numFmtId="168" fontId="22" fillId="22" borderId="0" xfId="30" applyFont="1" applyFill="1" applyBorder="1" applyAlignment="1" applyProtection="1">
      <alignment horizontal="center"/>
      <protection hidden="1"/>
    </xf>
    <xf numFmtId="0" fontId="13" fillId="22" borderId="0" xfId="0" applyFont="1" applyFill="1" applyAlignment="1" applyProtection="1">
      <alignment vertical="center"/>
      <protection hidden="1"/>
    </xf>
    <xf numFmtId="0" fontId="15" fillId="22" borderId="0" xfId="0" applyFont="1" applyFill="1" applyProtection="1">
      <protection hidden="1"/>
    </xf>
    <xf numFmtId="0" fontId="80" fillId="22" borderId="0" xfId="0" applyFont="1" applyFill="1" applyAlignment="1" applyProtection="1">
      <alignment vertical="center" wrapText="1"/>
      <protection hidden="1"/>
    </xf>
    <xf numFmtId="0" fontId="54" fillId="22" borderId="0" xfId="0" applyFont="1" applyFill="1" applyAlignment="1" applyProtection="1">
      <alignment vertical="center"/>
      <protection hidden="1"/>
    </xf>
    <xf numFmtId="0" fontId="16" fillId="22" borderId="47" xfId="0" applyFont="1" applyFill="1" applyBorder="1" applyAlignment="1" applyProtection="1">
      <alignment wrapText="1"/>
      <protection hidden="1"/>
    </xf>
    <xf numFmtId="0" fontId="83" fillId="22" borderId="0" xfId="0" applyFont="1" applyFill="1" applyAlignment="1" applyProtection="1">
      <alignment wrapText="1"/>
      <protection hidden="1"/>
    </xf>
    <xf numFmtId="0" fontId="81" fillId="22" borderId="47" xfId="0" applyFont="1" applyFill="1" applyBorder="1" applyAlignment="1" applyProtection="1">
      <alignment vertical="center" wrapText="1"/>
      <protection hidden="1"/>
    </xf>
    <xf numFmtId="0" fontId="81" fillId="22" borderId="0" xfId="0" applyFont="1" applyFill="1" applyAlignment="1" applyProtection="1">
      <alignment vertical="center" wrapText="1"/>
      <protection hidden="1"/>
    </xf>
    <xf numFmtId="0" fontId="21" fillId="22" borderId="10" xfId="0" applyFont="1" applyFill="1" applyBorder="1" applyAlignment="1" applyProtection="1">
      <alignment horizontal="right"/>
      <protection hidden="1"/>
    </xf>
    <xf numFmtId="0" fontId="13" fillId="22" borderId="10" xfId="0" applyFont="1" applyFill="1" applyBorder="1" applyProtection="1">
      <protection hidden="1"/>
    </xf>
    <xf numFmtId="2" fontId="20" fillId="22" borderId="10" xfId="0" applyNumberFormat="1" applyFont="1" applyFill="1" applyBorder="1" applyAlignment="1" applyProtection="1">
      <alignment horizontal="left"/>
      <protection hidden="1"/>
    </xf>
    <xf numFmtId="0" fontId="21" fillId="22" borderId="0" xfId="0" applyFont="1" applyFill="1" applyAlignment="1" applyProtection="1">
      <alignment horizontal="right"/>
      <protection hidden="1"/>
    </xf>
    <xf numFmtId="2" fontId="20" fillId="22" borderId="0" xfId="0" applyNumberFormat="1" applyFont="1" applyFill="1" applyAlignment="1" applyProtection="1">
      <alignment horizontal="left"/>
      <protection hidden="1"/>
    </xf>
    <xf numFmtId="0" fontId="20" fillId="23" borderId="15" xfId="30" applyNumberFormat="1" applyFont="1" applyFill="1" applyBorder="1" applyAlignment="1" applyProtection="1">
      <alignment horizontal="center" vertical="center"/>
      <protection locked="0" hidden="1"/>
    </xf>
    <xf numFmtId="0" fontId="20" fillId="23" borderId="15" xfId="0" applyFont="1" applyFill="1" applyBorder="1" applyAlignment="1" applyProtection="1">
      <alignment horizontal="center" vertical="center"/>
      <protection locked="0" hidden="1"/>
    </xf>
    <xf numFmtId="181" fontId="20" fillId="23" borderId="15" xfId="0" applyNumberFormat="1" applyFont="1" applyFill="1" applyBorder="1" applyAlignment="1" applyProtection="1">
      <alignment horizontal="center" vertical="center"/>
      <protection locked="0" hidden="1"/>
    </xf>
    <xf numFmtId="10" fontId="21" fillId="32" borderId="0" xfId="51" applyNumberFormat="1" applyFont="1" applyFill="1" applyBorder="1" applyAlignment="1" applyProtection="1">
      <alignment horizontal="center"/>
      <protection hidden="1"/>
    </xf>
    <xf numFmtId="0" fontId="88" fillId="20" borderId="14" xfId="47" applyFont="1" applyFill="1" applyBorder="1" applyAlignment="1">
      <alignment horizontal="center" wrapText="1"/>
    </xf>
    <xf numFmtId="0" fontId="88" fillId="33" borderId="14" xfId="47" applyFont="1" applyFill="1" applyBorder="1" applyAlignment="1">
      <alignment horizontal="center" wrapText="1"/>
    </xf>
    <xf numFmtId="185" fontId="0" fillId="0" borderId="0" xfId="0" applyNumberFormat="1" applyProtection="1">
      <protection hidden="1"/>
    </xf>
    <xf numFmtId="186" fontId="0" fillId="0" borderId="0" xfId="0" applyNumberFormat="1" applyProtection="1">
      <protection hidden="1"/>
    </xf>
    <xf numFmtId="0" fontId="20" fillId="23" borderId="15" xfId="0" applyFont="1" applyFill="1" applyBorder="1" applyAlignment="1" applyProtection="1">
      <alignment vertical="center"/>
      <protection locked="0" hidden="1"/>
    </xf>
    <xf numFmtId="2" fontId="0" fillId="0" borderId="0" xfId="0" applyNumberFormat="1"/>
    <xf numFmtId="2" fontId="89" fillId="0" borderId="14" xfId="46" applyNumberFormat="1" applyBorder="1"/>
    <xf numFmtId="0" fontId="92" fillId="0" borderId="14" xfId="46" applyFont="1" applyBorder="1"/>
    <xf numFmtId="2" fontId="89" fillId="0" borderId="14" xfId="28" applyNumberFormat="1" applyFont="1" applyBorder="1"/>
    <xf numFmtId="0" fontId="92" fillId="0" borderId="14" xfId="48" applyFont="1" applyBorder="1"/>
    <xf numFmtId="0" fontId="89" fillId="26" borderId="14" xfId="47" applyFill="1" applyBorder="1" applyAlignment="1">
      <alignment horizontal="center"/>
    </xf>
    <xf numFmtId="2" fontId="0" fillId="0" borderId="14" xfId="0" applyNumberFormat="1" applyBorder="1"/>
    <xf numFmtId="2" fontId="5" fillId="0" borderId="0" xfId="0" applyNumberFormat="1" applyFont="1"/>
    <xf numFmtId="2" fontId="0" fillId="26" borderId="0" xfId="0" applyNumberFormat="1" applyFill="1"/>
    <xf numFmtId="0" fontId="22" fillId="35" borderId="48" xfId="0" applyFont="1" applyFill="1" applyBorder="1" applyAlignment="1" applyProtection="1">
      <alignment horizontal="center"/>
      <protection hidden="1"/>
    </xf>
    <xf numFmtId="0" fontId="84" fillId="35" borderId="48" xfId="0" applyFont="1" applyFill="1" applyBorder="1" applyProtection="1">
      <protection hidden="1"/>
    </xf>
    <xf numFmtId="0" fontId="54" fillId="35" borderId="48" xfId="0" applyFont="1" applyFill="1" applyBorder="1" applyProtection="1">
      <protection hidden="1"/>
    </xf>
    <xf numFmtId="168" fontId="22" fillId="35" borderId="48" xfId="30" applyFont="1" applyFill="1" applyBorder="1" applyAlignment="1" applyProtection="1">
      <alignment horizontal="center"/>
      <protection hidden="1"/>
    </xf>
    <xf numFmtId="0" fontId="19" fillId="0" borderId="0" xfId="0" applyFont="1" applyProtection="1">
      <protection hidden="1"/>
    </xf>
    <xf numFmtId="0" fontId="23" fillId="0" borderId="0" xfId="0" applyFont="1" applyProtection="1">
      <protection hidden="1"/>
    </xf>
    <xf numFmtId="0" fontId="24" fillId="0" borderId="0" xfId="0" applyFont="1" applyAlignment="1" applyProtection="1">
      <alignment horizontal="center"/>
      <protection hidden="1"/>
    </xf>
    <xf numFmtId="0" fontId="22" fillId="35" borderId="48" xfId="0" applyFont="1" applyFill="1" applyBorder="1" applyProtection="1">
      <protection hidden="1"/>
    </xf>
    <xf numFmtId="0" fontId="15" fillId="36" borderId="0" xfId="30" applyNumberFormat="1" applyFont="1" applyFill="1" applyBorder="1" applyAlignment="1" applyProtection="1">
      <alignment wrapText="1"/>
      <protection hidden="1"/>
    </xf>
    <xf numFmtId="168" fontId="5" fillId="36" borderId="0" xfId="30" applyFont="1" applyFill="1" applyBorder="1" applyProtection="1">
      <protection hidden="1"/>
    </xf>
    <xf numFmtId="168" fontId="18" fillId="36" borderId="0" xfId="30" applyFont="1" applyFill="1" applyBorder="1" applyProtection="1">
      <protection hidden="1"/>
    </xf>
    <xf numFmtId="0" fontId="22" fillId="35" borderId="0" xfId="0" applyFont="1" applyFill="1" applyAlignment="1" applyProtection="1">
      <alignment horizontal="right"/>
      <protection hidden="1"/>
    </xf>
    <xf numFmtId="0" fontId="11" fillId="35" borderId="0" xfId="0" applyFont="1" applyFill="1" applyAlignment="1" applyProtection="1">
      <alignment horizontal="left"/>
      <protection hidden="1"/>
    </xf>
    <xf numFmtId="0" fontId="22" fillId="35" borderId="49" xfId="0" applyFont="1" applyFill="1" applyBorder="1" applyAlignment="1" applyProtection="1">
      <alignment horizontal="center"/>
      <protection hidden="1"/>
    </xf>
    <xf numFmtId="0" fontId="22" fillId="35" borderId="49" xfId="0" applyFont="1" applyFill="1" applyBorder="1" applyProtection="1">
      <protection hidden="1"/>
    </xf>
    <xf numFmtId="0" fontId="22" fillId="35" borderId="49" xfId="0" applyFont="1" applyFill="1" applyBorder="1" applyAlignment="1" applyProtection="1">
      <alignment horizontal="left"/>
      <protection hidden="1"/>
    </xf>
    <xf numFmtId="0" fontId="93" fillId="0" borderId="0" xfId="0" applyFont="1" applyProtection="1">
      <protection hidden="1"/>
    </xf>
    <xf numFmtId="10" fontId="93" fillId="0" borderId="0" xfId="51" applyNumberFormat="1" applyFont="1" applyFill="1" applyBorder="1" applyAlignment="1" applyProtection="1">
      <alignment horizontal="center"/>
      <protection hidden="1"/>
    </xf>
    <xf numFmtId="0" fontId="86" fillId="36" borderId="28" xfId="0" applyFont="1" applyFill="1" applyBorder="1" applyAlignment="1" applyProtection="1">
      <alignment horizontal="center" vertical="center"/>
      <protection locked="0"/>
    </xf>
    <xf numFmtId="0" fontId="93" fillId="0" borderId="0" xfId="0" applyFont="1" applyAlignment="1" applyProtection="1">
      <alignment horizontal="center"/>
      <protection hidden="1"/>
    </xf>
    <xf numFmtId="10" fontId="93" fillId="0" borderId="50" xfId="51" applyNumberFormat="1" applyFont="1" applyFill="1" applyBorder="1" applyAlignment="1" applyProtection="1">
      <alignment horizontal="center" vertical="center"/>
      <protection hidden="1"/>
    </xf>
    <xf numFmtId="170" fontId="86" fillId="0" borderId="0" xfId="0" applyNumberFormat="1" applyFont="1" applyAlignment="1" applyProtection="1">
      <alignment horizontal="center"/>
      <protection hidden="1"/>
    </xf>
    <xf numFmtId="172" fontId="86" fillId="0" borderId="0" xfId="0" applyNumberFormat="1" applyFont="1" applyAlignment="1" applyProtection="1">
      <alignment horizontal="center"/>
      <protection hidden="1"/>
    </xf>
    <xf numFmtId="170" fontId="86" fillId="0" borderId="0" xfId="30" applyNumberFormat="1" applyFont="1" applyFill="1" applyBorder="1" applyAlignment="1" applyProtection="1">
      <alignment horizontal="center" vertical="center"/>
      <protection hidden="1"/>
    </xf>
    <xf numFmtId="170" fontId="86" fillId="0" borderId="0" xfId="30" applyNumberFormat="1" applyFont="1" applyFill="1" applyBorder="1" applyAlignment="1" applyProtection="1">
      <alignment horizontal="center"/>
      <protection hidden="1"/>
    </xf>
    <xf numFmtId="170" fontId="93" fillId="0" borderId="0" xfId="0" applyNumberFormat="1" applyFont="1" applyProtection="1">
      <protection hidden="1"/>
    </xf>
    <xf numFmtId="172" fontId="93" fillId="0" borderId="0" xfId="0" applyNumberFormat="1" applyFont="1" applyProtection="1">
      <protection hidden="1"/>
    </xf>
    <xf numFmtId="170" fontId="28" fillId="0" borderId="0" xfId="0" applyNumberFormat="1" applyFont="1" applyProtection="1">
      <protection hidden="1"/>
    </xf>
    <xf numFmtId="172" fontId="28" fillId="0" borderId="0" xfId="0" applyNumberFormat="1" applyFont="1" applyProtection="1">
      <protection hidden="1"/>
    </xf>
    <xf numFmtId="170" fontId="28" fillId="0" borderId="0" xfId="30" applyNumberFormat="1" applyFont="1" applyFill="1" applyBorder="1" applyAlignment="1" applyProtection="1">
      <alignment horizontal="center" vertical="center"/>
      <protection hidden="1"/>
    </xf>
    <xf numFmtId="170" fontId="86" fillId="0" borderId="0" xfId="0" applyNumberFormat="1" applyFont="1" applyAlignment="1" applyProtection="1">
      <alignment horizontal="center" vertical="center"/>
      <protection hidden="1"/>
    </xf>
    <xf numFmtId="172" fontId="28" fillId="0" borderId="0" xfId="0" applyNumberFormat="1" applyFont="1" applyAlignment="1" applyProtection="1">
      <alignment vertical="center"/>
      <protection hidden="1"/>
    </xf>
    <xf numFmtId="170" fontId="28" fillId="0" borderId="0" xfId="30" applyNumberFormat="1" applyFont="1" applyFill="1" applyBorder="1" applyAlignment="1" applyProtection="1">
      <alignment horizontal="center" vertical="top"/>
      <protection hidden="1"/>
    </xf>
    <xf numFmtId="172" fontId="28" fillId="0" borderId="0" xfId="0" applyNumberFormat="1" applyFont="1" applyAlignment="1" applyProtection="1">
      <alignment vertical="top"/>
      <protection hidden="1"/>
    </xf>
    <xf numFmtId="183" fontId="86" fillId="0" borderId="0" xfId="0" applyNumberFormat="1" applyFont="1" applyAlignment="1" applyProtection="1">
      <alignment horizontal="left"/>
      <protection hidden="1"/>
    </xf>
    <xf numFmtId="168" fontId="28" fillId="0" borderId="0" xfId="30" applyFont="1" applyFill="1" applyBorder="1" applyAlignment="1" applyProtection="1">
      <alignment horizontal="center"/>
      <protection hidden="1"/>
    </xf>
    <xf numFmtId="170" fontId="28" fillId="0" borderId="0" xfId="30" applyNumberFormat="1" applyFont="1" applyFill="1" applyBorder="1" applyAlignment="1" applyProtection="1">
      <protection hidden="1"/>
    </xf>
    <xf numFmtId="0" fontId="86" fillId="0" borderId="0" xfId="0" applyFont="1"/>
    <xf numFmtId="0" fontId="2" fillId="0" borderId="0" xfId="0" applyFont="1"/>
    <xf numFmtId="170" fontId="96" fillId="0" borderId="0" xfId="30" applyNumberFormat="1" applyFont="1" applyFill="1" applyBorder="1" applyAlignment="1" applyProtection="1">
      <protection hidden="1"/>
    </xf>
    <xf numFmtId="170" fontId="86" fillId="0" borderId="0" xfId="0" applyNumberFormat="1" applyFont="1" applyAlignment="1" applyProtection="1">
      <alignment vertical="center"/>
      <protection hidden="1"/>
    </xf>
    <xf numFmtId="0" fontId="2" fillId="0" borderId="0" xfId="0" applyFont="1" applyAlignment="1">
      <alignment vertical="center"/>
    </xf>
    <xf numFmtId="170" fontId="86" fillId="0" borderId="0" xfId="30" applyNumberFormat="1" applyFont="1" applyFill="1" applyBorder="1" applyAlignment="1" applyProtection="1">
      <alignment vertical="center"/>
      <protection hidden="1"/>
    </xf>
    <xf numFmtId="170" fontId="28" fillId="0" borderId="0" xfId="30" applyNumberFormat="1" applyFont="1" applyFill="1" applyBorder="1" applyAlignment="1" applyProtection="1">
      <alignment vertical="center"/>
      <protection hidden="1"/>
    </xf>
    <xf numFmtId="170" fontId="28" fillId="0" borderId="0" xfId="30" applyNumberFormat="1" applyFont="1" applyFill="1" applyBorder="1" applyAlignment="1" applyProtection="1">
      <alignment horizontal="center"/>
      <protection hidden="1"/>
    </xf>
    <xf numFmtId="170" fontId="86" fillId="0" borderId="0" xfId="30" applyNumberFormat="1" applyFont="1" applyFill="1" applyBorder="1" applyProtection="1">
      <protection hidden="1"/>
    </xf>
    <xf numFmtId="0" fontId="28" fillId="0" borderId="0" xfId="30" applyNumberFormat="1" applyFont="1" applyFill="1" applyBorder="1" applyAlignment="1" applyProtection="1">
      <alignment horizontal="left" vertical="center" wrapText="1"/>
      <protection hidden="1"/>
    </xf>
    <xf numFmtId="170" fontId="93" fillId="0" borderId="50" xfId="30" applyNumberFormat="1" applyFont="1" applyFill="1" applyBorder="1" applyAlignment="1" applyProtection="1">
      <alignment vertical="center"/>
      <protection hidden="1"/>
    </xf>
    <xf numFmtId="2" fontId="93" fillId="0" borderId="50" xfId="30" applyNumberFormat="1" applyFont="1" applyFill="1" applyBorder="1" applyAlignment="1" applyProtection="1">
      <alignment horizontal="right" vertical="center" indent="1"/>
      <protection hidden="1"/>
    </xf>
    <xf numFmtId="0" fontId="22" fillId="35" borderId="51" xfId="0" applyFont="1" applyFill="1" applyBorder="1" applyAlignment="1" applyProtection="1">
      <alignment horizontal="left" indent="1"/>
      <protection hidden="1"/>
    </xf>
    <xf numFmtId="0" fontId="22" fillId="0" borderId="52" xfId="0" applyFont="1" applyBorder="1" applyAlignment="1" applyProtection="1">
      <alignment horizontal="left" indent="1"/>
      <protection hidden="1"/>
    </xf>
    <xf numFmtId="168" fontId="11" fillId="0" borderId="53" xfId="30" applyFont="1" applyFill="1" applyBorder="1" applyAlignment="1" applyProtection="1">
      <alignment horizontal="center"/>
      <protection hidden="1"/>
    </xf>
    <xf numFmtId="0" fontId="93" fillId="0" borderId="52" xfId="0" applyFont="1" applyBorder="1" applyAlignment="1" applyProtection="1">
      <alignment horizontal="left" indent="1"/>
      <protection hidden="1"/>
    </xf>
    <xf numFmtId="0" fontId="86" fillId="0" borderId="52" xfId="0" applyFont="1" applyBorder="1" applyAlignment="1" applyProtection="1">
      <alignment horizontal="left" indent="1"/>
      <protection hidden="1"/>
    </xf>
    <xf numFmtId="0" fontId="86" fillId="0" borderId="0" xfId="0" applyFont="1" applyAlignment="1">
      <alignment vertical="center"/>
    </xf>
    <xf numFmtId="0" fontId="20" fillId="0" borderId="52" xfId="0" applyFont="1" applyBorder="1" applyAlignment="1" applyProtection="1">
      <alignment horizontal="left" indent="1"/>
      <protection hidden="1"/>
    </xf>
    <xf numFmtId="0" fontId="21" fillId="0" borderId="52" xfId="0" applyFont="1" applyBorder="1" applyAlignment="1" applyProtection="1">
      <alignment horizontal="left" indent="1"/>
      <protection hidden="1"/>
    </xf>
    <xf numFmtId="0" fontId="21" fillId="0" borderId="52" xfId="0" applyFont="1" applyBorder="1" applyAlignment="1" applyProtection="1">
      <alignment horizontal="left" vertical="center" indent="1"/>
      <protection hidden="1"/>
    </xf>
    <xf numFmtId="168" fontId="11" fillId="0" borderId="53" xfId="30" applyFont="1" applyFill="1" applyBorder="1" applyAlignment="1" applyProtection="1">
      <alignment horizontal="center" vertical="center"/>
      <protection hidden="1"/>
    </xf>
    <xf numFmtId="0" fontId="21" fillId="32" borderId="52" xfId="0" applyFont="1" applyFill="1" applyBorder="1" applyAlignment="1" applyProtection="1">
      <alignment horizontal="left" indent="1"/>
      <protection hidden="1"/>
    </xf>
    <xf numFmtId="168" fontId="11" fillId="32" borderId="53" xfId="30" applyFont="1" applyFill="1" applyBorder="1" applyAlignment="1" applyProtection="1">
      <alignment horizontal="center"/>
      <protection hidden="1"/>
    </xf>
    <xf numFmtId="0" fontId="20" fillId="22" borderId="52" xfId="0" applyFont="1" applyFill="1" applyBorder="1" applyAlignment="1" applyProtection="1">
      <alignment horizontal="left" indent="1"/>
      <protection hidden="1"/>
    </xf>
    <xf numFmtId="0" fontId="0" fillId="22" borderId="0" xfId="0" applyFill="1"/>
    <xf numFmtId="168" fontId="11" fillId="22" borderId="53" xfId="30" applyFont="1" applyFill="1" applyBorder="1" applyAlignment="1" applyProtection="1">
      <alignment horizontal="center"/>
      <protection hidden="1"/>
    </xf>
    <xf numFmtId="0" fontId="22" fillId="22" borderId="52" xfId="0" applyFont="1" applyFill="1" applyBorder="1" applyAlignment="1" applyProtection="1">
      <alignment horizontal="left" indent="1"/>
      <protection hidden="1"/>
    </xf>
    <xf numFmtId="0" fontId="21" fillId="22" borderId="52" xfId="0" applyFont="1" applyFill="1" applyBorder="1" applyAlignment="1" applyProtection="1">
      <alignment horizontal="left" indent="1"/>
      <protection hidden="1"/>
    </xf>
    <xf numFmtId="0" fontId="8" fillId="22" borderId="53" xfId="0" applyFont="1" applyFill="1" applyBorder="1" applyProtection="1">
      <protection hidden="1"/>
    </xf>
    <xf numFmtId="0" fontId="81" fillId="22" borderId="53" xfId="0" applyFont="1" applyFill="1" applyBorder="1" applyAlignment="1" applyProtection="1">
      <alignment vertical="center" wrapText="1"/>
      <protection hidden="1"/>
    </xf>
    <xf numFmtId="0" fontId="21" fillId="22" borderId="54" xfId="0" applyFont="1" applyFill="1" applyBorder="1" applyAlignment="1" applyProtection="1">
      <alignment horizontal="left" indent="1"/>
      <protection hidden="1"/>
    </xf>
    <xf numFmtId="0" fontId="8" fillId="22" borderId="55" xfId="0" applyFont="1" applyFill="1" applyBorder="1" applyProtection="1">
      <protection hidden="1"/>
    </xf>
    <xf numFmtId="0" fontId="22" fillId="35" borderId="56" xfId="0" applyFont="1" applyFill="1" applyBorder="1" applyAlignment="1" applyProtection="1">
      <alignment horizontal="left" indent="1"/>
      <protection hidden="1"/>
    </xf>
    <xf numFmtId="0" fontId="16" fillId="35" borderId="57" xfId="0" applyFont="1" applyFill="1" applyBorder="1" applyProtection="1">
      <protection hidden="1"/>
    </xf>
    <xf numFmtId="0" fontId="8" fillId="29" borderId="53" xfId="0" applyFont="1" applyFill="1" applyBorder="1" applyProtection="1">
      <protection hidden="1"/>
    </xf>
    <xf numFmtId="0" fontId="50" fillId="0" borderId="52" xfId="0" applyFont="1" applyBorder="1" applyAlignment="1" applyProtection="1">
      <alignment horizontal="left" vertical="center" wrapText="1" indent="1"/>
      <protection hidden="1"/>
    </xf>
    <xf numFmtId="1" fontId="8" fillId="29" borderId="53" xfId="0" applyNumberFormat="1" applyFont="1" applyFill="1" applyBorder="1" applyProtection="1">
      <protection hidden="1"/>
    </xf>
    <xf numFmtId="0" fontId="23" fillId="0" borderId="52" xfId="0" applyFont="1" applyBorder="1" applyAlignment="1" applyProtection="1">
      <alignment horizontal="left" vertical="top" indent="1"/>
      <protection hidden="1"/>
    </xf>
    <xf numFmtId="0" fontId="8" fillId="29" borderId="53" xfId="0" applyFont="1" applyFill="1" applyBorder="1" applyAlignment="1" applyProtection="1">
      <alignment vertical="top"/>
      <protection hidden="1"/>
    </xf>
    <xf numFmtId="0" fontId="18" fillId="0" borderId="52" xfId="0" applyFont="1" applyBorder="1" applyAlignment="1" applyProtection="1">
      <alignment horizontal="left" indent="1"/>
      <protection hidden="1"/>
    </xf>
    <xf numFmtId="168" fontId="22" fillId="35" borderId="57" xfId="30" applyFont="1" applyFill="1" applyBorder="1" applyAlignment="1" applyProtection="1">
      <alignment horizontal="center"/>
      <protection hidden="1"/>
    </xf>
    <xf numFmtId="0" fontId="86" fillId="0" borderId="52" xfId="0" applyFont="1" applyBorder="1" applyAlignment="1" applyProtection="1">
      <alignment horizontal="left" vertical="top" indent="1"/>
      <protection hidden="1"/>
    </xf>
    <xf numFmtId="0" fontId="86" fillId="0" borderId="52" xfId="0" applyFont="1" applyBorder="1" applyAlignment="1" applyProtection="1">
      <alignment horizontal="left" vertical="center" indent="1"/>
      <protection hidden="1"/>
    </xf>
    <xf numFmtId="0" fontId="22" fillId="18" borderId="58" xfId="0" applyFont="1" applyFill="1" applyBorder="1" applyAlignment="1" applyProtection="1">
      <alignment horizontal="left" indent="1"/>
      <protection hidden="1"/>
    </xf>
    <xf numFmtId="0" fontId="6" fillId="18" borderId="59" xfId="0" applyFont="1" applyFill="1" applyBorder="1" applyProtection="1">
      <protection hidden="1"/>
    </xf>
    <xf numFmtId="168" fontId="20" fillId="30" borderId="52" xfId="30" applyFont="1" applyFill="1" applyBorder="1" applyAlignment="1" applyProtection="1">
      <alignment horizontal="left" indent="1"/>
      <protection hidden="1"/>
    </xf>
    <xf numFmtId="0" fontId="25" fillId="30" borderId="53" xfId="0" applyFont="1" applyFill="1" applyBorder="1" applyProtection="1">
      <protection hidden="1"/>
    </xf>
    <xf numFmtId="168" fontId="21" fillId="30" borderId="52" xfId="30" applyFont="1" applyFill="1" applyBorder="1" applyAlignment="1" applyProtection="1">
      <alignment horizontal="left" indent="1"/>
      <protection hidden="1"/>
    </xf>
    <xf numFmtId="0" fontId="25" fillId="36" borderId="53" xfId="0" applyFont="1" applyFill="1" applyBorder="1" applyProtection="1">
      <protection hidden="1"/>
    </xf>
    <xf numFmtId="168" fontId="2" fillId="36" borderId="52" xfId="30" applyFont="1" applyFill="1" applyBorder="1" applyAlignment="1" applyProtection="1">
      <alignment horizontal="left" indent="1"/>
      <protection hidden="1"/>
    </xf>
    <xf numFmtId="0" fontId="91" fillId="36" borderId="53" xfId="0" applyFont="1" applyFill="1" applyBorder="1" applyProtection="1">
      <protection hidden="1"/>
    </xf>
    <xf numFmtId="0" fontId="8" fillId="0" borderId="53" xfId="0" applyFont="1" applyBorder="1" applyProtection="1">
      <protection hidden="1"/>
    </xf>
    <xf numFmtId="170" fontId="97" fillId="0" borderId="52" xfId="30" applyNumberFormat="1" applyFont="1" applyFill="1" applyBorder="1" applyAlignment="1" applyProtection="1">
      <alignment horizontal="left" indent="1"/>
      <protection hidden="1"/>
    </xf>
    <xf numFmtId="168" fontId="20" fillId="30" borderId="21" xfId="30" applyFont="1" applyFill="1" applyBorder="1" applyAlignment="1" applyProtection="1">
      <alignment horizontal="left" indent="1"/>
      <protection hidden="1"/>
    </xf>
    <xf numFmtId="168" fontId="27" fillId="36" borderId="60" xfId="30" applyFont="1" applyFill="1" applyBorder="1" applyAlignment="1" applyProtection="1">
      <alignment horizontal="left" indent="1"/>
      <protection hidden="1"/>
    </xf>
    <xf numFmtId="168" fontId="5" fillId="36" borderId="61" xfId="30" applyFont="1" applyFill="1" applyBorder="1" applyProtection="1">
      <protection hidden="1"/>
    </xf>
    <xf numFmtId="0" fontId="25" fillId="36" borderId="62" xfId="0" applyFont="1" applyFill="1" applyBorder="1" applyProtection="1">
      <protection hidden="1"/>
    </xf>
    <xf numFmtId="170" fontId="27" fillId="36" borderId="63" xfId="30" applyNumberFormat="1" applyFont="1" applyFill="1" applyBorder="1" applyAlignment="1" applyProtection="1">
      <alignment horizontal="left" indent="1"/>
      <protection hidden="1"/>
    </xf>
    <xf numFmtId="168" fontId="9" fillId="36" borderId="64" xfId="30" applyFont="1" applyFill="1" applyBorder="1" applyProtection="1">
      <protection hidden="1"/>
    </xf>
    <xf numFmtId="0" fontId="8" fillId="36" borderId="65" xfId="0" applyFont="1" applyFill="1" applyBorder="1" applyProtection="1">
      <protection hidden="1"/>
    </xf>
    <xf numFmtId="168" fontId="27" fillId="36" borderId="52" xfId="30" applyFont="1" applyFill="1" applyBorder="1" applyAlignment="1" applyProtection="1">
      <alignment horizontal="left" indent="1"/>
      <protection hidden="1"/>
    </xf>
    <xf numFmtId="170" fontId="97" fillId="36" borderId="52" xfId="30" applyNumberFormat="1" applyFont="1" applyFill="1" applyBorder="1" applyAlignment="1" applyProtection="1">
      <alignment horizontal="left" indent="1"/>
      <protection hidden="1"/>
    </xf>
    <xf numFmtId="168" fontId="9" fillId="0" borderId="61" xfId="30" applyFont="1" applyFill="1" applyBorder="1" applyProtection="1">
      <protection hidden="1"/>
    </xf>
    <xf numFmtId="0" fontId="8" fillId="0" borderId="62" xfId="0" applyFont="1" applyBorder="1" applyProtection="1">
      <protection hidden="1"/>
    </xf>
    <xf numFmtId="170" fontId="27" fillId="0" borderId="63" xfId="30" applyNumberFormat="1" applyFont="1" applyFill="1" applyBorder="1" applyAlignment="1" applyProtection="1">
      <alignment horizontal="left" indent="1"/>
      <protection hidden="1"/>
    </xf>
    <xf numFmtId="168" fontId="9" fillId="0" borderId="64" xfId="30" applyFont="1" applyFill="1" applyBorder="1" applyProtection="1">
      <protection hidden="1"/>
    </xf>
    <xf numFmtId="0" fontId="8" fillId="0" borderId="65" xfId="0" applyFont="1" applyBorder="1" applyProtection="1">
      <protection hidden="1"/>
    </xf>
    <xf numFmtId="170" fontId="21" fillId="0" borderId="0" xfId="0" applyNumberFormat="1" applyFont="1" applyProtection="1">
      <protection hidden="1"/>
    </xf>
    <xf numFmtId="170" fontId="86" fillId="0" borderId="66" xfId="30" applyNumberFormat="1" applyFont="1" applyFill="1" applyBorder="1" applyAlignment="1" applyProtection="1">
      <alignment vertical="center"/>
      <protection hidden="1"/>
    </xf>
    <xf numFmtId="170" fontId="93" fillId="0" borderId="66" xfId="0" applyNumberFormat="1" applyFont="1" applyBorder="1" applyAlignment="1" applyProtection="1">
      <alignment vertical="center"/>
      <protection hidden="1"/>
    </xf>
    <xf numFmtId="176" fontId="22" fillId="0" borderId="0" xfId="0" applyNumberFormat="1" applyFont="1" applyProtection="1">
      <protection hidden="1"/>
    </xf>
    <xf numFmtId="0" fontId="93" fillId="0" borderId="0" xfId="0" applyFont="1" applyAlignment="1" applyProtection="1">
      <alignment horizontal="right"/>
      <protection hidden="1"/>
    </xf>
    <xf numFmtId="0" fontId="11" fillId="35" borderId="53" xfId="0" applyFont="1" applyFill="1" applyBorder="1" applyAlignment="1" applyProtection="1">
      <alignment horizontal="left"/>
      <protection hidden="1"/>
    </xf>
    <xf numFmtId="0" fontId="11" fillId="35" borderId="38" xfId="0" applyFont="1" applyFill="1" applyBorder="1" applyAlignment="1" applyProtection="1">
      <alignment wrapText="1"/>
      <protection hidden="1"/>
    </xf>
    <xf numFmtId="0" fontId="22" fillId="35" borderId="0" xfId="0" applyFont="1" applyFill="1" applyAlignment="1" applyProtection="1">
      <alignment horizontal="left"/>
      <protection hidden="1"/>
    </xf>
    <xf numFmtId="168" fontId="98" fillId="0" borderId="53" xfId="30" applyFont="1" applyFill="1" applyBorder="1" applyAlignment="1" applyProtection="1">
      <alignment horizontal="center"/>
      <protection hidden="1"/>
    </xf>
    <xf numFmtId="0" fontId="55" fillId="0" borderId="53" xfId="0" applyFont="1" applyBorder="1" applyAlignment="1" applyProtection="1">
      <alignment horizontal="center" wrapText="1"/>
      <protection hidden="1"/>
    </xf>
    <xf numFmtId="0" fontId="55" fillId="35" borderId="49" xfId="0" applyFont="1" applyFill="1" applyBorder="1" applyAlignment="1" applyProtection="1">
      <alignment wrapText="1"/>
      <protection hidden="1"/>
    </xf>
    <xf numFmtId="0" fontId="55" fillId="35" borderId="67" xfId="0" applyFont="1" applyFill="1" applyBorder="1" applyAlignment="1" applyProtection="1">
      <alignment wrapText="1"/>
      <protection hidden="1"/>
    </xf>
    <xf numFmtId="10" fontId="93" fillId="0" borderId="0" xfId="51" applyNumberFormat="1" applyFont="1" applyFill="1" applyBorder="1" applyAlignment="1" applyProtection="1">
      <alignment horizontal="left"/>
      <protection hidden="1"/>
    </xf>
    <xf numFmtId="10" fontId="93" fillId="0" borderId="0" xfId="51" applyNumberFormat="1" applyFont="1" applyFill="1" applyBorder="1" applyAlignment="1" applyProtection="1">
      <alignment horizontal="center" vertical="center"/>
      <protection hidden="1"/>
    </xf>
    <xf numFmtId="0" fontId="93" fillId="0" borderId="52" xfId="0" applyFont="1" applyBorder="1" applyAlignment="1" applyProtection="1">
      <alignment horizontal="left" vertical="center" indent="1"/>
      <protection hidden="1"/>
    </xf>
    <xf numFmtId="0" fontId="17" fillId="35" borderId="0" xfId="0" applyFont="1" applyFill="1"/>
    <xf numFmtId="0" fontId="18" fillId="35" borderId="0" xfId="0" applyFont="1" applyFill="1"/>
    <xf numFmtId="0" fontId="19" fillId="35" borderId="0" xfId="0" applyFont="1" applyFill="1"/>
    <xf numFmtId="0" fontId="17" fillId="35" borderId="0" xfId="0" applyFont="1" applyFill="1" applyAlignment="1">
      <alignment horizontal="left"/>
    </xf>
    <xf numFmtId="0" fontId="11" fillId="35" borderId="52" xfId="0" applyFont="1" applyFill="1" applyBorder="1" applyAlignment="1">
      <alignment horizontal="left"/>
    </xf>
    <xf numFmtId="0" fontId="11" fillId="0" borderId="52" xfId="0" applyFont="1" applyBorder="1" applyAlignment="1">
      <alignment horizontal="left"/>
    </xf>
    <xf numFmtId="0" fontId="9" fillId="0" borderId="53" xfId="0" applyFont="1" applyBorder="1" applyAlignment="1">
      <alignment horizontal="centerContinuous"/>
    </xf>
    <xf numFmtId="0" fontId="6" fillId="0" borderId="52" xfId="0" applyFont="1" applyBorder="1" applyAlignment="1">
      <alignment horizontal="left"/>
    </xf>
    <xf numFmtId="0" fontId="20" fillId="0" borderId="53" xfId="0" applyFont="1" applyBorder="1"/>
    <xf numFmtId="0" fontId="6" fillId="0" borderId="52" xfId="0" applyFont="1" applyBorder="1"/>
    <xf numFmtId="0" fontId="6" fillId="0" borderId="52" xfId="0" quotePrefix="1" applyFont="1" applyBorder="1" applyAlignment="1">
      <alignment horizontal="left"/>
    </xf>
    <xf numFmtId="0" fontId="18" fillId="0" borderId="53" xfId="0" applyFont="1" applyBorder="1"/>
    <xf numFmtId="0" fontId="11" fillId="35" borderId="52" xfId="0" applyFont="1" applyFill="1" applyBorder="1"/>
    <xf numFmtId="0" fontId="18" fillId="35" borderId="53" xfId="0" applyFont="1" applyFill="1" applyBorder="1"/>
    <xf numFmtId="0" fontId="19" fillId="0" borderId="52" xfId="0" applyFont="1" applyBorder="1"/>
    <xf numFmtId="0" fontId="18" fillId="0" borderId="52" xfId="0" applyFont="1" applyBorder="1" applyAlignment="1">
      <alignment horizontal="left"/>
    </xf>
    <xf numFmtId="0" fontId="25" fillId="0" borderId="52" xfId="0" applyFont="1" applyBorder="1"/>
    <xf numFmtId="0" fontId="19" fillId="35" borderId="52" xfId="0" applyFont="1" applyFill="1" applyBorder="1"/>
    <xf numFmtId="171" fontId="19" fillId="0" borderId="53" xfId="51" applyNumberFormat="1" applyFont="1" applyFill="1" applyBorder="1" applyAlignment="1" applyProtection="1"/>
    <xf numFmtId="0" fontId="19" fillId="18" borderId="58" xfId="0" applyFont="1" applyFill="1" applyBorder="1"/>
    <xf numFmtId="0" fontId="18" fillId="18" borderId="59" xfId="0" applyFont="1" applyFill="1" applyBorder="1"/>
    <xf numFmtId="0" fontId="11" fillId="30" borderId="52" xfId="0" applyFont="1" applyFill="1" applyBorder="1"/>
    <xf numFmtId="0" fontId="18" fillId="30" borderId="53" xfId="0" applyFont="1" applyFill="1" applyBorder="1"/>
    <xf numFmtId="0" fontId="25" fillId="0" borderId="63" xfId="0" applyFont="1" applyBorder="1"/>
    <xf numFmtId="0" fontId="11" fillId="36" borderId="52" xfId="0" applyFont="1" applyFill="1" applyBorder="1"/>
    <xf numFmtId="0" fontId="27" fillId="36" borderId="0" xfId="0" applyFont="1" applyFill="1"/>
    <xf numFmtId="0" fontId="18" fillId="36" borderId="0" xfId="0" applyFont="1" applyFill="1"/>
    <xf numFmtId="0" fontId="19" fillId="36" borderId="0" xfId="0" applyFont="1" applyFill="1"/>
    <xf numFmtId="0" fontId="18" fillId="36" borderId="53" xfId="0" applyFont="1" applyFill="1" applyBorder="1"/>
    <xf numFmtId="0" fontId="86" fillId="0" borderId="0" xfId="0" applyFont="1" applyAlignment="1">
      <alignment horizontal="left"/>
    </xf>
    <xf numFmtId="0" fontId="86" fillId="0" borderId="53" xfId="0" applyFont="1" applyBorder="1"/>
    <xf numFmtId="0" fontId="94" fillId="0" borderId="52" xfId="0" applyFont="1" applyBorder="1"/>
    <xf numFmtId="0" fontId="93" fillId="0" borderId="0" xfId="0" applyFont="1" applyAlignment="1">
      <alignment horizontal="left"/>
    </xf>
    <xf numFmtId="0" fontId="93" fillId="0" borderId="0" xfId="0" applyFont="1"/>
    <xf numFmtId="0" fontId="28" fillId="0" borderId="0" xfId="0" applyFont="1"/>
    <xf numFmtId="0" fontId="28" fillId="0" borderId="52" xfId="0" applyFont="1" applyBorder="1" applyAlignment="1">
      <alignment horizontal="left"/>
    </xf>
    <xf numFmtId="9" fontId="86" fillId="0" borderId="0" xfId="0" applyNumberFormat="1" applyFont="1" applyAlignment="1">
      <alignment horizontal="center"/>
    </xf>
    <xf numFmtId="9" fontId="93" fillId="0" borderId="0" xfId="0" applyNumberFormat="1" applyFont="1" applyAlignment="1">
      <alignment horizontal="left"/>
    </xf>
    <xf numFmtId="171" fontId="93" fillId="0" borderId="53" xfId="51" applyNumberFormat="1" applyFont="1" applyFill="1" applyBorder="1" applyAlignment="1" applyProtection="1"/>
    <xf numFmtId="171" fontId="94" fillId="0" borderId="53" xfId="51" applyNumberFormat="1" applyFont="1" applyFill="1" applyBorder="1" applyAlignment="1" applyProtection="1"/>
    <xf numFmtId="170" fontId="86" fillId="0" borderId="0" xfId="34" applyNumberFormat="1" applyFont="1" applyFill="1" applyBorder="1" applyAlignment="1" applyProtection="1">
      <alignment horizontal="center"/>
    </xf>
    <xf numFmtId="0" fontId="86" fillId="0" borderId="0" xfId="0" applyFont="1" applyAlignment="1">
      <alignment horizontal="center"/>
    </xf>
    <xf numFmtId="0" fontId="94" fillId="0" borderId="0" xfId="0" applyFont="1"/>
    <xf numFmtId="0" fontId="97" fillId="0" borderId="0" xfId="0" applyFont="1"/>
    <xf numFmtId="0" fontId="2" fillId="0" borderId="53" xfId="0" applyFont="1" applyBorder="1"/>
    <xf numFmtId="0" fontId="97" fillId="0" borderId="64" xfId="0" applyFont="1" applyBorder="1"/>
    <xf numFmtId="9" fontId="86" fillId="0" borderId="64" xfId="0" applyNumberFormat="1" applyFont="1" applyBorder="1" applyAlignment="1">
      <alignment horizontal="center"/>
    </xf>
    <xf numFmtId="0" fontId="2" fillId="0" borderId="64" xfId="0" applyFont="1" applyBorder="1"/>
    <xf numFmtId="0" fontId="2" fillId="0" borderId="65" xfId="0" applyFont="1" applyBorder="1"/>
    <xf numFmtId="0" fontId="20" fillId="22" borderId="0" xfId="30" applyNumberFormat="1" applyFont="1" applyFill="1" applyBorder="1" applyAlignment="1" applyProtection="1">
      <alignment horizontal="center"/>
      <protection hidden="1"/>
    </xf>
    <xf numFmtId="0" fontId="22" fillId="35" borderId="68" xfId="0" applyFont="1" applyFill="1" applyBorder="1" applyAlignment="1" applyProtection="1">
      <alignment horizontal="left" indent="1"/>
      <protection hidden="1"/>
    </xf>
    <xf numFmtId="0" fontId="22" fillId="35" borderId="69" xfId="0" applyFont="1" applyFill="1" applyBorder="1" applyAlignment="1" applyProtection="1">
      <alignment horizontal="center"/>
      <protection hidden="1"/>
    </xf>
    <xf numFmtId="0" fontId="22" fillId="35" borderId="69" xfId="0" applyFont="1" applyFill="1" applyBorder="1" applyProtection="1">
      <protection hidden="1"/>
    </xf>
    <xf numFmtId="168" fontId="22" fillId="35" borderId="69" xfId="30" applyFont="1" applyFill="1" applyBorder="1" applyAlignment="1" applyProtection="1">
      <alignment horizontal="center"/>
      <protection hidden="1"/>
    </xf>
    <xf numFmtId="0" fontId="54" fillId="35" borderId="69" xfId="0" applyFont="1" applyFill="1" applyBorder="1" applyProtection="1">
      <protection hidden="1"/>
    </xf>
    <xf numFmtId="0" fontId="16" fillId="35" borderId="70" xfId="0" applyFont="1" applyFill="1" applyBorder="1" applyProtection="1">
      <protection hidden="1"/>
    </xf>
    <xf numFmtId="0" fontId="22" fillId="35" borderId="68" xfId="44" applyFont="1" applyFill="1" applyBorder="1" applyAlignment="1" applyProtection="1">
      <alignment horizontal="left" indent="1"/>
      <protection hidden="1"/>
    </xf>
    <xf numFmtId="0" fontId="22" fillId="35" borderId="69" xfId="44" applyFont="1" applyFill="1" applyBorder="1" applyAlignment="1" applyProtection="1">
      <alignment horizontal="center"/>
      <protection hidden="1"/>
    </xf>
    <xf numFmtId="0" fontId="84" fillId="35" borderId="69" xfId="44" applyFont="1" applyFill="1" applyBorder="1" applyProtection="1">
      <protection hidden="1"/>
    </xf>
    <xf numFmtId="0" fontId="54" fillId="35" borderId="69" xfId="44" applyFont="1" applyFill="1" applyBorder="1" applyProtection="1">
      <protection hidden="1"/>
    </xf>
    <xf numFmtId="0" fontId="16" fillId="35" borderId="70" xfId="44" applyFont="1" applyFill="1" applyBorder="1" applyProtection="1">
      <protection hidden="1"/>
    </xf>
    <xf numFmtId="0" fontId="84" fillId="35" borderId="69" xfId="0" applyFont="1" applyFill="1" applyBorder="1" applyProtection="1">
      <protection hidden="1"/>
    </xf>
    <xf numFmtId="0" fontId="6" fillId="35" borderId="70" xfId="0" applyFont="1" applyFill="1" applyBorder="1" applyProtection="1">
      <protection hidden="1"/>
    </xf>
    <xf numFmtId="0" fontId="21" fillId="0" borderId="0" xfId="0" applyFont="1" applyAlignment="1">
      <alignment vertical="center"/>
    </xf>
    <xf numFmtId="0" fontId="20" fillId="0" borderId="0" xfId="0" applyFont="1" applyAlignment="1">
      <alignment vertical="center"/>
    </xf>
    <xf numFmtId="0" fontId="21" fillId="0" borderId="54" xfId="0" applyFont="1" applyBorder="1" applyAlignment="1" applyProtection="1">
      <alignment horizontal="left" indent="1"/>
      <protection hidden="1"/>
    </xf>
    <xf numFmtId="0" fontId="8" fillId="0" borderId="55" xfId="0" applyFont="1" applyBorder="1" applyProtection="1">
      <protection hidden="1"/>
    </xf>
    <xf numFmtId="0" fontId="22" fillId="0" borderId="52" xfId="44" applyFont="1" applyBorder="1" applyAlignment="1" applyProtection="1">
      <alignment horizontal="left" indent="1"/>
      <protection hidden="1"/>
    </xf>
    <xf numFmtId="0" fontId="16" fillId="0" borderId="53" xfId="44" applyFont="1" applyBorder="1" applyProtection="1">
      <protection hidden="1"/>
    </xf>
    <xf numFmtId="0" fontId="25" fillId="0" borderId="53" xfId="0" applyFont="1" applyBorder="1" applyProtection="1">
      <protection hidden="1"/>
    </xf>
    <xf numFmtId="170" fontId="27" fillId="0" borderId="52" xfId="30" applyNumberFormat="1" applyFont="1" applyFill="1" applyBorder="1" applyAlignment="1" applyProtection="1">
      <alignment horizontal="left" indent="1"/>
      <protection hidden="1"/>
    </xf>
    <xf numFmtId="168" fontId="97" fillId="0" borderId="52" xfId="30" applyFont="1" applyFill="1" applyBorder="1" applyAlignment="1" applyProtection="1">
      <alignment horizontal="left" indent="1"/>
      <protection hidden="1"/>
    </xf>
    <xf numFmtId="168" fontId="2" fillId="0" borderId="52" xfId="30" applyFont="1" applyFill="1" applyBorder="1" applyAlignment="1" applyProtection="1">
      <alignment horizontal="left" indent="1"/>
      <protection hidden="1"/>
    </xf>
    <xf numFmtId="168" fontId="86" fillId="36" borderId="52" xfId="30" applyFont="1" applyFill="1" applyBorder="1" applyAlignment="1" applyProtection="1">
      <alignment horizontal="left" indent="1"/>
      <protection hidden="1"/>
    </xf>
    <xf numFmtId="170" fontId="86" fillId="36" borderId="0" xfId="30" applyNumberFormat="1" applyFont="1" applyFill="1" applyBorder="1" applyProtection="1">
      <protection hidden="1"/>
    </xf>
    <xf numFmtId="0" fontId="2" fillId="36" borderId="53" xfId="0" applyFont="1" applyFill="1" applyBorder="1" applyProtection="1">
      <protection hidden="1"/>
    </xf>
    <xf numFmtId="168" fontId="86" fillId="36" borderId="52" xfId="30" applyFont="1" applyFill="1" applyBorder="1" applyAlignment="1" applyProtection="1">
      <alignment horizontal="left" indent="1"/>
    </xf>
    <xf numFmtId="170" fontId="86" fillId="36" borderId="0" xfId="30" applyNumberFormat="1" applyFont="1" applyFill="1" applyBorder="1" applyProtection="1">
      <protection locked="0"/>
    </xf>
    <xf numFmtId="170" fontId="86" fillId="36" borderId="0" xfId="30" applyNumberFormat="1" applyFont="1" applyFill="1" applyBorder="1" applyProtection="1"/>
    <xf numFmtId="0" fontId="2" fillId="36" borderId="53" xfId="0" applyFont="1" applyFill="1" applyBorder="1"/>
    <xf numFmtId="168" fontId="93" fillId="36" borderId="52" xfId="30" applyFont="1" applyFill="1" applyBorder="1" applyAlignment="1" applyProtection="1">
      <alignment horizontal="left" indent="1"/>
      <protection hidden="1"/>
    </xf>
    <xf numFmtId="170" fontId="93" fillId="36" borderId="0" xfId="30" applyNumberFormat="1" applyFont="1" applyFill="1" applyBorder="1" applyProtection="1">
      <protection hidden="1"/>
    </xf>
    <xf numFmtId="168" fontId="86" fillId="36" borderId="0" xfId="30" applyFont="1" applyFill="1" applyBorder="1" applyProtection="1">
      <protection hidden="1"/>
    </xf>
    <xf numFmtId="0" fontId="86" fillId="36" borderId="0" xfId="30" applyNumberFormat="1" applyFont="1" applyFill="1" applyBorder="1" applyProtection="1">
      <protection hidden="1"/>
    </xf>
    <xf numFmtId="168" fontId="93" fillId="36" borderId="0" xfId="30" applyFont="1" applyFill="1" applyBorder="1" applyProtection="1">
      <protection hidden="1"/>
    </xf>
    <xf numFmtId="168" fontId="86" fillId="36" borderId="0" xfId="30" applyFont="1" applyFill="1" applyBorder="1" applyAlignment="1" applyProtection="1">
      <alignment horizontal="left" indent="1"/>
      <protection hidden="1"/>
    </xf>
    <xf numFmtId="170" fontId="86" fillId="36" borderId="7" xfId="30" applyNumberFormat="1" applyFont="1" applyFill="1" applyBorder="1" applyAlignment="1" applyProtection="1">
      <alignment vertical="center"/>
      <protection locked="0"/>
    </xf>
    <xf numFmtId="0" fontId="86" fillId="0" borderId="0" xfId="0" applyFont="1" applyAlignment="1" applyProtection="1">
      <alignment horizontal="left" vertical="center"/>
      <protection hidden="1"/>
    </xf>
    <xf numFmtId="170" fontId="86" fillId="0" borderId="0" xfId="30" applyNumberFormat="1" applyFont="1" applyFill="1" applyBorder="1" applyAlignment="1" applyProtection="1">
      <alignment vertical="top"/>
      <protection hidden="1"/>
    </xf>
    <xf numFmtId="0" fontId="28" fillId="0" borderId="52" xfId="0" applyFont="1" applyBorder="1" applyAlignment="1" applyProtection="1">
      <alignment horizontal="left" indent="1"/>
      <protection hidden="1"/>
    </xf>
    <xf numFmtId="170" fontId="86" fillId="0" borderId="0" xfId="30" applyNumberFormat="1" applyFont="1" applyFill="1" applyBorder="1" applyAlignment="1" applyProtection="1">
      <protection hidden="1"/>
    </xf>
    <xf numFmtId="172" fontId="86" fillId="0" borderId="0" xfId="0" applyNumberFormat="1" applyFont="1" applyAlignment="1" applyProtection="1">
      <alignment horizontal="center" vertical="center"/>
      <protection hidden="1"/>
    </xf>
    <xf numFmtId="170" fontId="86" fillId="36" borderId="71" xfId="30" applyNumberFormat="1" applyFont="1" applyFill="1" applyBorder="1" applyAlignment="1" applyProtection="1">
      <alignment vertical="center"/>
      <protection locked="0"/>
    </xf>
    <xf numFmtId="0" fontId="95" fillId="0" borderId="52" xfId="0" applyFont="1" applyBorder="1" applyAlignment="1" applyProtection="1">
      <alignment horizontal="left" vertical="center" wrapText="1" indent="1"/>
      <protection hidden="1"/>
    </xf>
    <xf numFmtId="172" fontId="86" fillId="0" borderId="0" xfId="0" applyNumberFormat="1" applyFont="1" applyAlignment="1" applyProtection="1">
      <alignment vertical="center"/>
      <protection hidden="1"/>
    </xf>
    <xf numFmtId="170" fontId="93" fillId="0" borderId="0" xfId="0" applyNumberFormat="1" applyFont="1" applyAlignment="1" applyProtection="1">
      <alignment vertical="center"/>
      <protection hidden="1"/>
    </xf>
    <xf numFmtId="172" fontId="93" fillId="0" borderId="0" xfId="0" applyNumberFormat="1" applyFont="1" applyAlignment="1" applyProtection="1">
      <alignment vertical="center"/>
      <protection hidden="1"/>
    </xf>
    <xf numFmtId="167" fontId="28" fillId="0" borderId="0" xfId="0" applyNumberFormat="1" applyFont="1" applyProtection="1">
      <protection hidden="1"/>
    </xf>
    <xf numFmtId="170" fontId="28" fillId="0" borderId="0" xfId="30" applyNumberFormat="1" applyFont="1" applyFill="1" applyBorder="1" applyProtection="1">
      <protection hidden="1"/>
    </xf>
    <xf numFmtId="170" fontId="28" fillId="0" borderId="0" xfId="0" applyNumberFormat="1" applyFont="1" applyAlignment="1" applyProtection="1">
      <alignment vertical="center"/>
      <protection hidden="1"/>
    </xf>
    <xf numFmtId="0" fontId="86" fillId="36" borderId="7" xfId="0" applyFont="1" applyFill="1" applyBorder="1" applyAlignment="1" applyProtection="1">
      <alignment horizontal="center" vertical="center"/>
      <protection locked="0"/>
    </xf>
    <xf numFmtId="168" fontId="93" fillId="0" borderId="0" xfId="30" applyFont="1" applyFill="1" applyBorder="1" applyAlignment="1" applyProtection="1">
      <alignment horizontal="center"/>
      <protection hidden="1"/>
    </xf>
    <xf numFmtId="177" fontId="86" fillId="36" borderId="7" xfId="30" applyNumberFormat="1" applyFont="1" applyFill="1" applyBorder="1" applyAlignment="1" applyProtection="1">
      <alignment horizontal="center" vertical="center"/>
      <protection locked="0"/>
    </xf>
    <xf numFmtId="0" fontId="93" fillId="0" borderId="0" xfId="0" applyFont="1" applyAlignment="1">
      <alignment vertical="center"/>
    </xf>
    <xf numFmtId="170" fontId="86" fillId="0" borderId="7" xfId="30" applyNumberFormat="1" applyFont="1" applyFill="1" applyBorder="1" applyAlignment="1" applyProtection="1">
      <alignment horizontal="right" vertical="center"/>
      <protection hidden="1"/>
    </xf>
    <xf numFmtId="170" fontId="86" fillId="0" borderId="7" xfId="30" applyNumberFormat="1" applyFont="1" applyFill="1" applyBorder="1" applyAlignment="1" applyProtection="1">
      <alignment horizontal="center" vertical="center"/>
      <protection hidden="1"/>
    </xf>
    <xf numFmtId="168" fontId="86" fillId="36" borderId="21" xfId="30" applyFont="1" applyFill="1" applyBorder="1" applyAlignment="1" applyProtection="1">
      <alignment horizontal="left" indent="1"/>
      <protection hidden="1"/>
    </xf>
    <xf numFmtId="168" fontId="27" fillId="0" borderId="60" xfId="30" applyFont="1" applyFill="1" applyBorder="1" applyAlignment="1" applyProtection="1">
      <alignment horizontal="left" indent="1"/>
      <protection hidden="1"/>
    </xf>
    <xf numFmtId="168" fontId="5" fillId="0" borderId="61" xfId="30" applyFont="1" applyFill="1" applyBorder="1" applyProtection="1">
      <protection hidden="1"/>
    </xf>
    <xf numFmtId="0" fontId="25" fillId="0" borderId="62" xfId="0" applyFont="1" applyBorder="1" applyProtection="1">
      <protection hidden="1"/>
    </xf>
    <xf numFmtId="0" fontId="33" fillId="0" borderId="53" xfId="0" applyFont="1" applyBorder="1" applyProtection="1">
      <protection hidden="1"/>
    </xf>
    <xf numFmtId="0" fontId="43" fillId="35" borderId="0" xfId="0" applyFont="1" applyFill="1" applyAlignment="1" applyProtection="1">
      <alignment horizontal="center"/>
      <protection hidden="1"/>
    </xf>
    <xf numFmtId="0" fontId="63" fillId="35" borderId="72" xfId="0" applyFont="1" applyFill="1" applyBorder="1" applyProtection="1">
      <protection hidden="1"/>
    </xf>
    <xf numFmtId="0" fontId="64" fillId="35" borderId="72" xfId="0" applyFont="1" applyFill="1" applyBorder="1" applyAlignment="1" applyProtection="1">
      <alignment horizontal="left"/>
      <protection hidden="1"/>
    </xf>
    <xf numFmtId="0" fontId="36" fillId="35" borderId="72" xfId="0" applyFont="1" applyFill="1" applyBorder="1" applyProtection="1">
      <protection hidden="1"/>
    </xf>
    <xf numFmtId="0" fontId="31" fillId="35" borderId="72" xfId="0" applyFont="1" applyFill="1" applyBorder="1" applyAlignment="1" applyProtection="1">
      <alignment horizontal="left"/>
      <protection hidden="1"/>
    </xf>
    <xf numFmtId="0" fontId="31" fillId="20" borderId="73" xfId="0" applyFont="1" applyFill="1" applyBorder="1" applyAlignment="1" applyProtection="1">
      <alignment horizontal="left" indent="1"/>
      <protection hidden="1"/>
    </xf>
    <xf numFmtId="0" fontId="31" fillId="20" borderId="74" xfId="0" applyFont="1" applyFill="1" applyBorder="1" applyAlignment="1" applyProtection="1">
      <alignment horizontal="center"/>
      <protection hidden="1"/>
    </xf>
    <xf numFmtId="0" fontId="31" fillId="20" borderId="74" xfId="0" applyFont="1" applyFill="1" applyBorder="1"/>
    <xf numFmtId="0" fontId="31" fillId="20" borderId="74" xfId="0" applyFont="1" applyFill="1" applyBorder="1" applyAlignment="1" applyProtection="1">
      <alignment horizontal="left"/>
      <protection hidden="1"/>
    </xf>
    <xf numFmtId="0" fontId="36" fillId="20" borderId="33" xfId="0" applyFont="1" applyFill="1" applyBorder="1" applyProtection="1">
      <protection hidden="1"/>
    </xf>
    <xf numFmtId="0" fontId="31" fillId="35" borderId="75" xfId="0" applyFont="1" applyFill="1" applyBorder="1" applyAlignment="1" applyProtection="1">
      <alignment horizontal="left" indent="1"/>
      <protection hidden="1"/>
    </xf>
    <xf numFmtId="0" fontId="63" fillId="35" borderId="76" xfId="0" applyFont="1" applyFill="1" applyBorder="1" applyProtection="1">
      <protection hidden="1"/>
    </xf>
    <xf numFmtId="0" fontId="43" fillId="29" borderId="52" xfId="0" applyFont="1" applyFill="1" applyBorder="1" applyAlignment="1" applyProtection="1">
      <alignment horizontal="left" vertical="center"/>
      <protection hidden="1"/>
    </xf>
    <xf numFmtId="0" fontId="44" fillId="29" borderId="53" xfId="0" applyFont="1" applyFill="1" applyBorder="1" applyAlignment="1" applyProtection="1">
      <alignment vertical="center"/>
      <protection hidden="1"/>
    </xf>
    <xf numFmtId="0" fontId="66" fillId="0" borderId="52" xfId="0" applyFont="1" applyBorder="1" applyAlignment="1" applyProtection="1">
      <alignment horizontal="left" vertical="center"/>
      <protection hidden="1"/>
    </xf>
    <xf numFmtId="0" fontId="44" fillId="0" borderId="53" xfId="0" applyFont="1" applyBorder="1" applyAlignment="1" applyProtection="1">
      <alignment vertical="center"/>
      <protection hidden="1"/>
    </xf>
    <xf numFmtId="0" fontId="36" fillId="35" borderId="76" xfId="0" applyFont="1" applyFill="1" applyBorder="1" applyProtection="1">
      <protection hidden="1"/>
    </xf>
    <xf numFmtId="0" fontId="31" fillId="0" borderId="52" xfId="0" applyFont="1" applyBorder="1" applyAlignment="1" applyProtection="1">
      <alignment horizontal="left" vertical="center"/>
      <protection hidden="1"/>
    </xf>
    <xf numFmtId="0" fontId="31" fillId="35" borderId="52" xfId="0" applyFont="1" applyFill="1" applyBorder="1" applyAlignment="1" applyProtection="1">
      <alignment horizontal="left" indent="1"/>
      <protection hidden="1"/>
    </xf>
    <xf numFmtId="0" fontId="44" fillId="35" borderId="53" xfId="0" applyFont="1" applyFill="1" applyBorder="1" applyProtection="1">
      <protection hidden="1"/>
    </xf>
    <xf numFmtId="0" fontId="65" fillId="0" borderId="53" xfId="0" applyFont="1" applyBorder="1" applyAlignment="1">
      <alignment vertical="center"/>
    </xf>
    <xf numFmtId="0" fontId="43" fillId="0" borderId="63" xfId="0" applyFont="1" applyBorder="1" applyAlignment="1" applyProtection="1">
      <alignment horizontal="left" vertical="center"/>
      <protection hidden="1"/>
    </xf>
    <xf numFmtId="167" fontId="44" fillId="0" borderId="64" xfId="30" applyNumberFormat="1" applyFont="1" applyFill="1" applyBorder="1" applyAlignment="1" applyProtection="1">
      <alignment vertical="center"/>
      <protection hidden="1"/>
    </xf>
    <xf numFmtId="0" fontId="65" fillId="0" borderId="65" xfId="0" applyFont="1" applyBorder="1" applyAlignment="1">
      <alignment vertical="center"/>
    </xf>
    <xf numFmtId="0" fontId="65" fillId="0" borderId="64" xfId="0" applyFont="1" applyBorder="1" applyAlignment="1">
      <alignment vertical="center"/>
    </xf>
    <xf numFmtId="0" fontId="47" fillId="29" borderId="52" xfId="0" applyFont="1" applyFill="1" applyBorder="1" applyAlignment="1" applyProtection="1">
      <alignment horizontal="left" vertical="center" indent="1"/>
      <protection hidden="1"/>
    </xf>
    <xf numFmtId="0" fontId="1" fillId="36" borderId="28" xfId="0" applyFont="1" applyFill="1" applyBorder="1" applyAlignment="1" applyProtection="1">
      <alignment horizontal="center" vertical="center"/>
      <protection locked="0"/>
    </xf>
    <xf numFmtId="0" fontId="47" fillId="29" borderId="0" xfId="0" applyFont="1" applyFill="1" applyAlignment="1" applyProtection="1">
      <alignment vertical="center"/>
      <protection hidden="1"/>
    </xf>
    <xf numFmtId="0" fontId="47" fillId="29" borderId="0" xfId="0" applyFont="1" applyFill="1" applyAlignment="1" applyProtection="1">
      <alignment horizontal="left" vertical="center"/>
      <protection hidden="1"/>
    </xf>
    <xf numFmtId="0" fontId="1" fillId="0" borderId="0" xfId="0" applyFont="1" applyAlignment="1">
      <alignment vertical="center"/>
    </xf>
    <xf numFmtId="173" fontId="1" fillId="36" borderId="28" xfId="30" applyNumberFormat="1" applyFont="1" applyFill="1" applyBorder="1" applyAlignment="1" applyProtection="1">
      <alignment horizontal="center" vertical="center"/>
      <protection locked="0"/>
    </xf>
    <xf numFmtId="0" fontId="47" fillId="29" borderId="77" xfId="0" applyFont="1" applyFill="1" applyBorder="1" applyAlignment="1" applyProtection="1">
      <alignment horizontal="left" vertical="center" indent="1"/>
      <protection hidden="1"/>
    </xf>
    <xf numFmtId="0" fontId="99" fillId="29" borderId="0" xfId="30" applyNumberFormat="1" applyFont="1" applyFill="1" applyBorder="1" applyAlignment="1" applyProtection="1">
      <alignment horizontal="center" vertical="center"/>
      <protection hidden="1"/>
    </xf>
    <xf numFmtId="0" fontId="100" fillId="29" borderId="0" xfId="0" applyFont="1" applyFill="1" applyAlignment="1" applyProtection="1">
      <alignment vertical="center"/>
      <protection hidden="1"/>
    </xf>
    <xf numFmtId="0" fontId="47" fillId="29" borderId="52" xfId="0" applyFont="1" applyFill="1" applyBorder="1" applyAlignment="1" applyProtection="1">
      <alignment horizontal="left" vertical="center"/>
      <protection hidden="1"/>
    </xf>
    <xf numFmtId="0" fontId="1" fillId="0" borderId="0" xfId="30" applyNumberFormat="1" applyFont="1" applyFill="1" applyBorder="1" applyAlignment="1" applyProtection="1">
      <alignment horizontal="center" vertical="center"/>
      <protection hidden="1"/>
    </xf>
    <xf numFmtId="0" fontId="1" fillId="29" borderId="0" xfId="0" applyFont="1" applyFill="1" applyAlignment="1" applyProtection="1">
      <alignment vertical="center"/>
      <protection hidden="1"/>
    </xf>
    <xf numFmtId="0" fontId="47" fillId="0" borderId="52" xfId="0" applyFont="1" applyBorder="1" applyAlignment="1" applyProtection="1">
      <alignment horizontal="left" vertical="center"/>
      <protection hidden="1"/>
    </xf>
    <xf numFmtId="0" fontId="47" fillId="0" borderId="52" xfId="0" applyFont="1" applyBorder="1" applyAlignment="1">
      <alignment horizontal="left" vertical="center" wrapText="1" indent="1"/>
    </xf>
    <xf numFmtId="0" fontId="47" fillId="0" borderId="52" xfId="0" applyFont="1" applyBorder="1" applyAlignment="1">
      <alignment horizontal="left" vertical="center" indent="1"/>
    </xf>
    <xf numFmtId="0" fontId="47" fillId="28" borderId="28" xfId="0" applyFont="1" applyFill="1" applyBorder="1" applyAlignment="1" applyProtection="1">
      <alignment horizontal="center" vertical="center" wrapText="1"/>
      <protection hidden="1"/>
    </xf>
    <xf numFmtId="0" fontId="47" fillId="0" borderId="0" xfId="0" applyFont="1" applyAlignment="1" applyProtection="1">
      <alignment horizontal="center" vertical="center"/>
      <protection hidden="1"/>
    </xf>
    <xf numFmtId="0" fontId="100" fillId="0" borderId="0" xfId="0" applyFont="1" applyAlignment="1" applyProtection="1">
      <alignment horizontal="left" vertical="center"/>
      <protection hidden="1"/>
    </xf>
    <xf numFmtId="0" fontId="100" fillId="0" borderId="0" xfId="0" applyFont="1" applyAlignment="1">
      <alignment vertical="center"/>
    </xf>
    <xf numFmtId="0" fontId="100" fillId="0" borderId="0" xfId="0" applyFont="1" applyAlignment="1">
      <alignment horizontal="left" vertical="center"/>
    </xf>
    <xf numFmtId="0" fontId="47" fillId="0" borderId="0" xfId="0" applyFont="1"/>
    <xf numFmtId="0" fontId="97" fillId="0" borderId="0" xfId="0" applyFont="1" applyProtection="1">
      <protection hidden="1"/>
    </xf>
    <xf numFmtId="0" fontId="103" fillId="0" borderId="0" xfId="0" applyFont="1" applyProtection="1">
      <protection hidden="1"/>
    </xf>
    <xf numFmtId="0" fontId="103" fillId="0" borderId="0" xfId="0" applyFont="1" applyAlignment="1" applyProtection="1">
      <alignment horizontal="right"/>
      <protection hidden="1"/>
    </xf>
    <xf numFmtId="0" fontId="2" fillId="0" borderId="0" xfId="0" applyFont="1" applyProtection="1">
      <protection hidden="1"/>
    </xf>
    <xf numFmtId="175" fontId="93" fillId="22" borderId="1" xfId="30" applyNumberFormat="1" applyFont="1" applyFill="1" applyBorder="1" applyAlignment="1" applyProtection="1">
      <alignment vertical="center"/>
      <protection hidden="1"/>
    </xf>
    <xf numFmtId="174" fontId="93" fillId="0" borderId="0" xfId="30" applyNumberFormat="1" applyFont="1" applyFill="1" applyBorder="1" applyProtection="1">
      <protection hidden="1"/>
    </xf>
    <xf numFmtId="0" fontId="93" fillId="0" borderId="0" xfId="0" applyFont="1" applyAlignment="1">
      <alignment vertical="top" wrapText="1"/>
    </xf>
    <xf numFmtId="0" fontId="93" fillId="0" borderId="0" xfId="0" applyFont="1" applyAlignment="1">
      <alignment horizontal="center" vertical="top" wrapText="1"/>
    </xf>
    <xf numFmtId="0" fontId="93" fillId="0" borderId="0" xfId="0" applyFont="1" applyAlignment="1">
      <alignment vertical="center" wrapText="1"/>
    </xf>
    <xf numFmtId="0" fontId="86" fillId="0" borderId="0" xfId="0" applyFont="1" applyAlignment="1">
      <alignment vertical="center" wrapText="1"/>
    </xf>
    <xf numFmtId="0" fontId="104" fillId="0" borderId="0" xfId="0" applyFont="1" applyAlignment="1">
      <alignment horizontal="center"/>
    </xf>
    <xf numFmtId="0" fontId="104" fillId="0" borderId="0" xfId="0" applyFont="1" applyAlignment="1">
      <alignment horizontal="center" vertical="center"/>
    </xf>
    <xf numFmtId="10" fontId="93" fillId="0" borderId="0" xfId="0" applyNumberFormat="1" applyFont="1" applyAlignment="1">
      <alignment horizontal="center" vertical="center" wrapText="1"/>
    </xf>
    <xf numFmtId="175" fontId="93" fillId="0" borderId="1" xfId="30" applyNumberFormat="1" applyFont="1" applyFill="1" applyBorder="1" applyAlignment="1" applyProtection="1">
      <alignment vertical="center"/>
      <protection hidden="1"/>
    </xf>
    <xf numFmtId="0" fontId="97" fillId="0" borderId="0" xfId="0" applyFont="1" applyAlignment="1" applyProtection="1">
      <alignment horizontal="center"/>
      <protection hidden="1"/>
    </xf>
    <xf numFmtId="175" fontId="104" fillId="0" borderId="0" xfId="0" applyNumberFormat="1" applyFont="1" applyProtection="1">
      <protection hidden="1"/>
    </xf>
    <xf numFmtId="0" fontId="97" fillId="0" borderId="0" xfId="0" applyFont="1" applyAlignment="1" applyProtection="1">
      <alignment horizontal="left"/>
      <protection hidden="1"/>
    </xf>
    <xf numFmtId="0" fontId="86" fillId="0" borderId="0" xfId="0" applyFont="1" applyProtection="1">
      <protection hidden="1"/>
    </xf>
    <xf numFmtId="175" fontId="93" fillId="0" borderId="0" xfId="30" applyNumberFormat="1" applyFont="1" applyFill="1" applyBorder="1" applyAlignment="1" applyProtection="1">
      <alignment vertical="center"/>
      <protection hidden="1"/>
    </xf>
    <xf numFmtId="0" fontId="93" fillId="0" borderId="0" xfId="0" applyFont="1" applyAlignment="1">
      <alignment horizontal="center" vertical="center" wrapText="1"/>
    </xf>
    <xf numFmtId="0" fontId="86" fillId="0" borderId="0" xfId="0" applyFont="1" applyAlignment="1">
      <alignment vertical="top" wrapText="1"/>
    </xf>
    <xf numFmtId="0" fontId="103" fillId="0" borderId="0" xfId="0" applyFont="1" applyAlignment="1">
      <alignment horizontal="right"/>
    </xf>
    <xf numFmtId="0" fontId="2" fillId="0" borderId="0" xfId="0" applyFont="1" applyAlignment="1">
      <alignment horizontal="right"/>
    </xf>
    <xf numFmtId="0" fontId="73" fillId="0" borderId="0" xfId="0" applyFont="1" applyAlignment="1">
      <alignment wrapText="1"/>
    </xf>
    <xf numFmtId="0" fontId="73" fillId="0" borderId="0" xfId="0" applyFont="1" applyAlignment="1">
      <alignment horizontal="left" wrapText="1"/>
    </xf>
    <xf numFmtId="175" fontId="93" fillId="0" borderId="28" xfId="30" applyNumberFormat="1" applyFont="1" applyFill="1" applyBorder="1" applyAlignment="1" applyProtection="1">
      <alignment vertical="center"/>
      <protection hidden="1"/>
    </xf>
    <xf numFmtId="175" fontId="93" fillId="0" borderId="66" xfId="30" applyNumberFormat="1" applyFont="1" applyFill="1" applyBorder="1" applyProtection="1">
      <protection hidden="1"/>
    </xf>
    <xf numFmtId="170" fontId="86" fillId="36" borderId="28" xfId="30" applyNumberFormat="1" applyFont="1" applyFill="1" applyBorder="1" applyAlignment="1" applyProtection="1">
      <protection locked="0"/>
    </xf>
    <xf numFmtId="10" fontId="86" fillId="36" borderId="28" xfId="30" applyNumberFormat="1" applyFont="1" applyFill="1" applyBorder="1" applyAlignment="1" applyProtection="1">
      <alignment horizontal="center" vertical="center"/>
      <protection locked="0"/>
    </xf>
    <xf numFmtId="49" fontId="97" fillId="36" borderId="28" xfId="30" applyNumberFormat="1" applyFont="1" applyFill="1" applyBorder="1" applyAlignment="1" applyProtection="1">
      <alignment horizontal="center"/>
      <protection locked="0"/>
    </xf>
    <xf numFmtId="0" fontId="17" fillId="31" borderId="0" xfId="0" applyFont="1" applyFill="1"/>
    <xf numFmtId="0" fontId="9" fillId="31" borderId="79" xfId="0" applyFont="1" applyFill="1" applyBorder="1" applyAlignment="1">
      <alignment horizontal="left"/>
    </xf>
    <xf numFmtId="0" fontId="32" fillId="31" borderId="80" xfId="0" applyFont="1" applyFill="1" applyBorder="1" applyAlignment="1">
      <alignment horizontal="left"/>
    </xf>
    <xf numFmtId="0" fontId="11" fillId="31" borderId="80" xfId="0" applyFont="1" applyFill="1" applyBorder="1"/>
    <xf numFmtId="0" fontId="12" fillId="31" borderId="80" xfId="0" applyFont="1" applyFill="1" applyBorder="1"/>
    <xf numFmtId="0" fontId="6" fillId="31" borderId="81" xfId="0" applyFont="1" applyFill="1" applyBorder="1"/>
    <xf numFmtId="0" fontId="6" fillId="31" borderId="82" xfId="0" applyFont="1" applyFill="1" applyBorder="1"/>
    <xf numFmtId="0" fontId="11" fillId="31" borderId="79" xfId="0" applyFont="1" applyFill="1" applyBorder="1" applyAlignment="1">
      <alignment horizontal="left"/>
    </xf>
    <xf numFmtId="0" fontId="12" fillId="31" borderId="81" xfId="0" applyFont="1" applyFill="1" applyBorder="1"/>
    <xf numFmtId="0" fontId="11" fillId="31" borderId="83" xfId="0" applyFont="1" applyFill="1" applyBorder="1" applyAlignment="1">
      <alignment horizontal="left"/>
    </xf>
    <xf numFmtId="0" fontId="12" fillId="31" borderId="82" xfId="0" applyFont="1" applyFill="1" applyBorder="1"/>
    <xf numFmtId="0" fontId="12" fillId="31" borderId="85" xfId="0" applyFont="1" applyFill="1" applyBorder="1" applyAlignment="1">
      <alignment horizontal="centerContinuous"/>
    </xf>
    <xf numFmtId="0" fontId="10" fillId="31" borderId="84" xfId="0" applyFont="1" applyFill="1" applyBorder="1" applyAlignment="1">
      <alignment horizontal="centerContinuous"/>
    </xf>
    <xf numFmtId="0" fontId="105" fillId="31" borderId="85" xfId="0" applyFont="1" applyFill="1" applyBorder="1" applyAlignment="1">
      <alignment horizontal="left" vertical="top"/>
    </xf>
    <xf numFmtId="0" fontId="17" fillId="31" borderId="85" xfId="0" applyFont="1" applyFill="1" applyBorder="1" applyAlignment="1">
      <alignment vertical="top"/>
    </xf>
    <xf numFmtId="0" fontId="9" fillId="31" borderId="86" xfId="0" applyFont="1" applyFill="1" applyBorder="1" applyAlignment="1">
      <alignment horizontal="centerContinuous"/>
    </xf>
    <xf numFmtId="0" fontId="11" fillId="35" borderId="87" xfId="0" applyFont="1" applyFill="1" applyBorder="1" applyAlignment="1">
      <alignment horizontal="left"/>
    </xf>
    <xf numFmtId="0" fontId="17" fillId="35" borderId="80" xfId="0" applyFont="1" applyFill="1" applyBorder="1" applyAlignment="1">
      <alignment horizontal="left"/>
    </xf>
    <xf numFmtId="0" fontId="6" fillId="35" borderId="80" xfId="0" applyFont="1" applyFill="1" applyBorder="1" applyAlignment="1">
      <alignment horizontal="centerContinuous"/>
    </xf>
    <xf numFmtId="0" fontId="9" fillId="35" borderId="88" xfId="0" applyFont="1" applyFill="1" applyBorder="1" applyAlignment="1">
      <alignment horizontal="centerContinuous"/>
    </xf>
    <xf numFmtId="0" fontId="33" fillId="0" borderId="53" xfId="0" applyFont="1" applyBorder="1" applyAlignment="1">
      <alignment wrapText="1"/>
    </xf>
    <xf numFmtId="0" fontId="12" fillId="31" borderId="0" xfId="0" applyFont="1" applyFill="1" applyProtection="1">
      <protection hidden="1"/>
    </xf>
    <xf numFmtId="0" fontId="22" fillId="35" borderId="63" xfId="0" applyFont="1" applyFill="1" applyBorder="1" applyAlignment="1" applyProtection="1">
      <alignment horizontal="left" indent="1"/>
      <protection hidden="1"/>
    </xf>
    <xf numFmtId="0" fontId="22" fillId="35" borderId="64" xfId="0" applyFont="1" applyFill="1" applyBorder="1" applyAlignment="1" applyProtection="1">
      <alignment horizontal="center"/>
      <protection hidden="1"/>
    </xf>
    <xf numFmtId="0" fontId="22" fillId="35" borderId="64" xfId="0" applyFont="1" applyFill="1" applyBorder="1" applyProtection="1">
      <protection hidden="1"/>
    </xf>
    <xf numFmtId="168" fontId="22" fillId="35" borderId="64" xfId="30" applyFont="1" applyFill="1" applyBorder="1" applyAlignment="1" applyProtection="1">
      <alignment horizontal="center"/>
      <protection hidden="1"/>
    </xf>
    <xf numFmtId="168" fontId="11" fillId="35" borderId="65" xfId="30" applyFont="1" applyFill="1" applyBorder="1" applyAlignment="1" applyProtection="1">
      <alignment horizontal="center"/>
      <protection hidden="1"/>
    </xf>
    <xf numFmtId="0" fontId="51" fillId="31" borderId="79" xfId="0" applyFont="1" applyFill="1" applyBorder="1" applyAlignment="1" applyProtection="1">
      <alignment horizontal="left"/>
      <protection hidden="1"/>
    </xf>
    <xf numFmtId="0" fontId="11" fillId="31" borderId="80" xfId="0" applyFont="1" applyFill="1" applyBorder="1" applyProtection="1">
      <protection hidden="1"/>
    </xf>
    <xf numFmtId="0" fontId="12" fillId="31" borderId="80" xfId="0" applyFont="1" applyFill="1" applyBorder="1" applyProtection="1">
      <protection hidden="1"/>
    </xf>
    <xf numFmtId="0" fontId="28" fillId="31" borderId="80" xfId="0" applyFont="1" applyFill="1" applyBorder="1" applyProtection="1">
      <protection hidden="1"/>
    </xf>
    <xf numFmtId="0" fontId="16" fillId="31" borderId="80" xfId="0" applyFont="1" applyFill="1" applyBorder="1" applyProtection="1">
      <protection hidden="1"/>
    </xf>
    <xf numFmtId="0" fontId="22" fillId="31" borderId="80" xfId="0" applyFont="1" applyFill="1" applyBorder="1" applyProtection="1">
      <protection hidden="1"/>
    </xf>
    <xf numFmtId="0" fontId="12" fillId="31" borderId="81" xfId="0" applyFont="1" applyFill="1" applyBorder="1" applyProtection="1">
      <protection hidden="1"/>
    </xf>
    <xf numFmtId="0" fontId="12" fillId="31" borderId="82" xfId="0" applyFont="1" applyFill="1" applyBorder="1" applyProtection="1">
      <protection hidden="1"/>
    </xf>
    <xf numFmtId="0" fontId="11" fillId="31" borderId="85" xfId="0" applyFont="1" applyFill="1" applyBorder="1" applyAlignment="1" applyProtection="1">
      <alignment horizontal="left"/>
      <protection hidden="1"/>
    </xf>
    <xf numFmtId="0" fontId="11" fillId="31" borderId="86" xfId="0" applyFont="1" applyFill="1" applyBorder="1" applyAlignment="1" applyProtection="1">
      <alignment horizontal="left"/>
      <protection hidden="1"/>
    </xf>
    <xf numFmtId="0" fontId="11" fillId="31" borderId="0" xfId="0" applyFont="1" applyFill="1" applyProtection="1">
      <protection hidden="1"/>
    </xf>
    <xf numFmtId="0" fontId="22" fillId="31" borderId="0" xfId="0" applyFont="1" applyFill="1" applyAlignment="1" applyProtection="1">
      <alignment horizontal="left" vertical="top" indent="1"/>
      <protection hidden="1"/>
    </xf>
    <xf numFmtId="0" fontId="31" fillId="31" borderId="0" xfId="0" applyFont="1" applyFill="1" applyAlignment="1" applyProtection="1">
      <alignment horizontal="left" vertical="top" indent="1"/>
      <protection hidden="1"/>
    </xf>
    <xf numFmtId="0" fontId="31" fillId="31" borderId="0" xfId="0" applyFont="1" applyFill="1" applyAlignment="1" applyProtection="1">
      <alignment vertical="top"/>
      <protection hidden="1"/>
    </xf>
    <xf numFmtId="0" fontId="57" fillId="31" borderId="79" xfId="0" applyFont="1" applyFill="1" applyBorder="1" applyAlignment="1" applyProtection="1">
      <alignment horizontal="left"/>
      <protection hidden="1"/>
    </xf>
    <xf numFmtId="0" fontId="58" fillId="31" borderId="83" xfId="0" applyFont="1" applyFill="1" applyBorder="1" applyAlignment="1" applyProtection="1">
      <alignment horizontal="left" vertical="top" indent="1"/>
      <protection hidden="1"/>
    </xf>
    <xf numFmtId="0" fontId="59" fillId="31" borderId="83" xfId="0" applyFont="1" applyFill="1" applyBorder="1" applyAlignment="1" applyProtection="1">
      <alignment horizontal="left" vertical="top" indent="1"/>
      <protection hidden="1"/>
    </xf>
    <xf numFmtId="0" fontId="12" fillId="31" borderId="82" xfId="0" applyFont="1" applyFill="1" applyBorder="1" applyAlignment="1" applyProtection="1">
      <alignment horizontal="left" vertical="top" indent="1"/>
      <protection hidden="1"/>
    </xf>
    <xf numFmtId="0" fontId="0" fillId="0" borderId="0" xfId="0" applyAlignment="1">
      <alignment wrapText="1"/>
    </xf>
    <xf numFmtId="0" fontId="0" fillId="28" borderId="14" xfId="0" applyFill="1" applyBorder="1" applyAlignment="1">
      <alignment horizontal="center"/>
    </xf>
    <xf numFmtId="0" fontId="0" fillId="33" borderId="14" xfId="0" applyFill="1" applyBorder="1" applyAlignment="1">
      <alignment horizontal="center"/>
    </xf>
    <xf numFmtId="0" fontId="0" fillId="37" borderId="14" xfId="0" applyFill="1" applyBorder="1" applyAlignment="1">
      <alignment horizontal="center"/>
    </xf>
    <xf numFmtId="0" fontId="5" fillId="33" borderId="0" xfId="0" applyFont="1" applyFill="1"/>
    <xf numFmtId="0" fontId="0" fillId="33" borderId="0" xfId="0" applyFill="1"/>
    <xf numFmtId="0" fontId="107" fillId="0" borderId="0" xfId="0" applyFont="1"/>
    <xf numFmtId="0" fontId="22" fillId="19" borderId="14" xfId="0" applyFont="1" applyFill="1" applyBorder="1" applyAlignment="1" applyProtection="1">
      <alignment horizontal="center"/>
      <protection hidden="1"/>
    </xf>
    <xf numFmtId="10" fontId="93" fillId="0" borderId="0" xfId="51" applyNumberFormat="1" applyFont="1" applyFill="1" applyBorder="1" applyAlignment="1" applyProtection="1">
      <alignment horizontal="right" vertical="center"/>
      <protection hidden="1"/>
    </xf>
    <xf numFmtId="0" fontId="5" fillId="0" borderId="14" xfId="45" applyFont="1" applyBorder="1" applyAlignment="1">
      <alignment vertical="top" wrapText="1"/>
    </xf>
    <xf numFmtId="0" fontId="5" fillId="0" borderId="14" xfId="45" applyFont="1" applyBorder="1" applyAlignment="1">
      <alignment horizontal="center" vertical="center" wrapText="1"/>
    </xf>
    <xf numFmtId="0" fontId="3" fillId="0" borderId="0" xfId="0" applyFont="1"/>
    <xf numFmtId="0" fontId="3" fillId="0" borderId="23" xfId="0" applyFont="1" applyBorder="1"/>
    <xf numFmtId="0" fontId="3" fillId="0" borderId="17" xfId="0" applyFont="1" applyBorder="1" applyAlignment="1">
      <alignment horizontal="left"/>
    </xf>
    <xf numFmtId="187" fontId="3" fillId="0" borderId="14" xfId="0" applyNumberFormat="1" applyFont="1" applyBorder="1"/>
    <xf numFmtId="0" fontId="55" fillId="0" borderId="0" xfId="0" applyFont="1" applyAlignment="1" applyProtection="1">
      <alignment wrapText="1"/>
      <protection hidden="1"/>
    </xf>
    <xf numFmtId="0" fontId="55" fillId="0" borderId="53" xfId="0" applyFont="1" applyBorder="1" applyAlignment="1" applyProtection="1">
      <alignment wrapText="1"/>
      <protection hidden="1"/>
    </xf>
    <xf numFmtId="0" fontId="113" fillId="0" borderId="52" xfId="0" applyFont="1" applyBorder="1" applyAlignment="1" applyProtection="1">
      <alignment horizontal="left" indent="1"/>
      <protection hidden="1"/>
    </xf>
    <xf numFmtId="0" fontId="113" fillId="0" borderId="0" xfId="0" applyFont="1" applyAlignment="1" applyProtection="1">
      <alignment horizontal="center"/>
      <protection hidden="1"/>
    </xf>
    <xf numFmtId="0" fontId="113" fillId="0" borderId="0" xfId="0" applyFont="1" applyProtection="1">
      <protection hidden="1"/>
    </xf>
    <xf numFmtId="0" fontId="113" fillId="0" borderId="0" xfId="0" applyFont="1" applyAlignment="1" applyProtection="1">
      <alignment wrapText="1"/>
      <protection hidden="1"/>
    </xf>
    <xf numFmtId="0" fontId="114" fillId="0" borderId="52" xfId="0" applyFont="1" applyBorder="1" applyAlignment="1" applyProtection="1">
      <alignment horizontal="left" indent="1"/>
      <protection hidden="1"/>
    </xf>
    <xf numFmtId="10" fontId="93" fillId="0" borderId="0" xfId="51" applyNumberFormat="1" applyFont="1" applyFill="1" applyBorder="1" applyAlignment="1" applyProtection="1">
      <alignment vertical="center"/>
      <protection hidden="1"/>
    </xf>
    <xf numFmtId="177" fontId="86" fillId="0" borderId="0" xfId="51" applyNumberFormat="1" applyFont="1" applyFill="1" applyBorder="1" applyAlignment="1" applyProtection="1">
      <alignment horizontal="center" vertical="center"/>
      <protection hidden="1"/>
    </xf>
    <xf numFmtId="0" fontId="114" fillId="0" borderId="52" xfId="0" applyFont="1" applyBorder="1" applyAlignment="1" applyProtection="1">
      <alignment vertical="top"/>
      <protection hidden="1"/>
    </xf>
    <xf numFmtId="168" fontId="93" fillId="0" borderId="50" xfId="51" applyNumberFormat="1" applyFont="1" applyFill="1" applyBorder="1" applyAlignment="1" applyProtection="1">
      <alignment horizontal="center" vertical="center"/>
      <protection hidden="1"/>
    </xf>
    <xf numFmtId="0" fontId="108" fillId="29" borderId="0" xfId="0" applyFont="1" applyFill="1" applyProtection="1">
      <protection hidden="1"/>
    </xf>
    <xf numFmtId="0" fontId="109" fillId="29" borderId="0" xfId="0" applyFont="1" applyFill="1" applyAlignment="1" applyProtection="1">
      <alignment horizontal="right"/>
      <protection hidden="1"/>
    </xf>
    <xf numFmtId="0" fontId="109" fillId="29" borderId="0" xfId="0" applyFont="1" applyFill="1" applyProtection="1">
      <protection hidden="1"/>
    </xf>
    <xf numFmtId="9" fontId="108" fillId="29" borderId="0" xfId="51" applyFont="1" applyFill="1" applyBorder="1" applyProtection="1">
      <protection hidden="1"/>
    </xf>
    <xf numFmtId="0" fontId="109" fillId="22" borderId="14" xfId="0" applyFont="1" applyFill="1" applyBorder="1" applyProtection="1">
      <protection hidden="1"/>
    </xf>
    <xf numFmtId="173" fontId="108" fillId="29" borderId="19" xfId="0" applyNumberFormat="1" applyFont="1" applyFill="1" applyBorder="1" applyAlignment="1" applyProtection="1">
      <alignment horizontal="right"/>
      <protection hidden="1"/>
    </xf>
    <xf numFmtId="164" fontId="108" fillId="29" borderId="19" xfId="0" applyNumberFormat="1" applyFont="1" applyFill="1" applyBorder="1" applyAlignment="1" applyProtection="1">
      <alignment horizontal="right"/>
      <protection hidden="1"/>
    </xf>
    <xf numFmtId="10" fontId="108" fillId="29" borderId="19" xfId="51" applyNumberFormat="1" applyFont="1" applyFill="1" applyBorder="1" applyAlignment="1" applyProtection="1">
      <alignment horizontal="right"/>
      <protection hidden="1"/>
    </xf>
    <xf numFmtId="0" fontId="108" fillId="29" borderId="19" xfId="0" applyFont="1" applyFill="1" applyBorder="1" applyAlignment="1" applyProtection="1">
      <alignment horizontal="right"/>
      <protection hidden="1"/>
    </xf>
    <xf numFmtId="0" fontId="108" fillId="0" borderId="0" xfId="0" applyFont="1" applyProtection="1">
      <protection hidden="1"/>
    </xf>
    <xf numFmtId="0" fontId="109" fillId="0" borderId="0" xfId="0" applyFont="1" applyProtection="1">
      <protection hidden="1"/>
    </xf>
    <xf numFmtId="0" fontId="110" fillId="0" borderId="14" xfId="0" applyFont="1" applyBorder="1" applyProtection="1">
      <protection hidden="1"/>
    </xf>
    <xf numFmtId="10" fontId="109" fillId="0" borderId="0" xfId="0" applyNumberFormat="1" applyFont="1" applyProtection="1">
      <protection hidden="1"/>
    </xf>
    <xf numFmtId="170" fontId="108" fillId="29" borderId="0" xfId="30" applyNumberFormat="1" applyFont="1" applyFill="1" applyBorder="1" applyProtection="1">
      <protection hidden="1"/>
    </xf>
    <xf numFmtId="0" fontId="3" fillId="0" borderId="14" xfId="45" applyFont="1" applyBorder="1" applyAlignment="1">
      <alignment vertical="center"/>
    </xf>
    <xf numFmtId="173" fontId="3" fillId="0" borderId="14" xfId="32" applyNumberFormat="1" applyFont="1" applyFill="1" applyBorder="1"/>
    <xf numFmtId="0" fontId="3" fillId="0" borderId="14" xfId="45" applyFont="1" applyBorder="1"/>
    <xf numFmtId="2" fontId="3" fillId="0" borderId="14" xfId="51" applyNumberFormat="1" applyFont="1" applyFill="1" applyBorder="1"/>
    <xf numFmtId="0" fontId="3" fillId="0" borderId="0" xfId="45" applyFont="1"/>
    <xf numFmtId="10" fontId="3" fillId="0" borderId="14" xfId="51" applyNumberFormat="1" applyFont="1" applyFill="1" applyBorder="1" applyProtection="1"/>
    <xf numFmtId="10" fontId="3" fillId="0" borderId="89" xfId="51" applyNumberFormat="1" applyFont="1" applyFill="1" applyBorder="1" applyProtection="1"/>
    <xf numFmtId="10" fontId="3" fillId="0" borderId="74" xfId="51" applyNumberFormat="1" applyFont="1" applyFill="1" applyBorder="1" applyProtection="1"/>
    <xf numFmtId="0" fontId="3" fillId="0" borderId="25" xfId="0" applyFont="1" applyBorder="1"/>
    <xf numFmtId="0" fontId="3" fillId="0" borderId="14" xfId="0" applyFont="1" applyBorder="1"/>
    <xf numFmtId="0" fontId="110" fillId="0" borderId="0" xfId="0" applyFont="1" applyProtection="1">
      <protection hidden="1"/>
    </xf>
    <xf numFmtId="0" fontId="111" fillId="0" borderId="14" xfId="45" applyFont="1" applyBorder="1" applyAlignment="1">
      <alignment vertical="top" wrapText="1"/>
    </xf>
    <xf numFmtId="0" fontId="3" fillId="0" borderId="14" xfId="0" applyFont="1" applyBorder="1" applyAlignment="1">
      <alignment horizontal="left"/>
    </xf>
    <xf numFmtId="0" fontId="109" fillId="23" borderId="0" xfId="0" applyFont="1" applyFill="1" applyProtection="1">
      <protection hidden="1"/>
    </xf>
    <xf numFmtId="0" fontId="3" fillId="0" borderId="14" xfId="0" applyFont="1" applyBorder="1" applyAlignment="1">
      <alignment horizontal="center"/>
    </xf>
    <xf numFmtId="0" fontId="5" fillId="0" borderId="0" xfId="0" applyFont="1" applyAlignment="1">
      <alignment horizontal="center"/>
    </xf>
    <xf numFmtId="0" fontId="109" fillId="0" borderId="26" xfId="0" applyFont="1" applyBorder="1" applyProtection="1">
      <protection hidden="1"/>
    </xf>
    <xf numFmtId="0" fontId="3" fillId="26" borderId="14" xfId="0" applyFont="1" applyFill="1" applyBorder="1"/>
    <xf numFmtId="0" fontId="110" fillId="0" borderId="17" xfId="0" applyFont="1" applyBorder="1" applyProtection="1">
      <protection hidden="1"/>
    </xf>
    <xf numFmtId="0" fontId="110" fillId="0" borderId="19" xfId="0" applyFont="1" applyBorder="1" applyProtection="1">
      <protection hidden="1"/>
    </xf>
    <xf numFmtId="0" fontId="3" fillId="0" borderId="0" xfId="0" applyFont="1" applyAlignment="1">
      <alignment horizontal="right"/>
    </xf>
    <xf numFmtId="0" fontId="5" fillId="0" borderId="0" xfId="0" applyFont="1" applyAlignment="1">
      <alignment horizontal="right"/>
    </xf>
    <xf numFmtId="168" fontId="86" fillId="0" borderId="28" xfId="51" applyNumberFormat="1" applyFont="1" applyFill="1" applyBorder="1" applyAlignment="1" applyProtection="1">
      <alignment horizontal="center" vertical="center"/>
      <protection hidden="1"/>
    </xf>
    <xf numFmtId="0" fontId="110" fillId="33" borderId="0" xfId="0" applyFont="1" applyFill="1" applyProtection="1">
      <protection hidden="1"/>
    </xf>
    <xf numFmtId="172" fontId="3" fillId="0" borderId="0" xfId="0" applyNumberFormat="1" applyFont="1"/>
    <xf numFmtId="172" fontId="3" fillId="0" borderId="26" xfId="0" applyNumberFormat="1" applyFont="1" applyBorder="1"/>
    <xf numFmtId="172" fontId="5" fillId="0" borderId="0" xfId="0" applyNumberFormat="1" applyFont="1"/>
    <xf numFmtId="10" fontId="3" fillId="0" borderId="14" xfId="51" applyNumberFormat="1" applyFont="1" applyFill="1" applyBorder="1"/>
    <xf numFmtId="172" fontId="3" fillId="0" borderId="14" xfId="0" applyNumberFormat="1" applyFont="1" applyBorder="1"/>
    <xf numFmtId="0" fontId="5" fillId="22" borderId="14" xfId="0" applyFont="1" applyFill="1" applyBorder="1"/>
    <xf numFmtId="0" fontId="55" fillId="35" borderId="57" xfId="0" applyFont="1" applyFill="1" applyBorder="1" applyAlignment="1" applyProtection="1">
      <alignment wrapText="1"/>
      <protection hidden="1"/>
    </xf>
    <xf numFmtId="0" fontId="5" fillId="22" borderId="14" xfId="0" applyFont="1" applyFill="1" applyBorder="1" applyAlignment="1">
      <alignment horizontal="center"/>
    </xf>
    <xf numFmtId="9" fontId="86" fillId="0" borderId="0" xfId="0" applyNumberFormat="1" applyFont="1" applyAlignment="1">
      <alignment horizontal="center" vertical="center"/>
    </xf>
    <xf numFmtId="2" fontId="93" fillId="0" borderId="28" xfId="0" applyNumberFormat="1" applyFont="1" applyBorder="1" applyAlignment="1">
      <alignment horizontal="center" vertical="center"/>
    </xf>
    <xf numFmtId="9" fontId="93" fillId="0" borderId="28" xfId="0" applyNumberFormat="1" applyFont="1" applyBorder="1" applyAlignment="1">
      <alignment horizontal="center" vertical="center"/>
    </xf>
    <xf numFmtId="165" fontId="93" fillId="0" borderId="28" xfId="0" applyNumberFormat="1" applyFont="1" applyBorder="1" applyAlignment="1">
      <alignment horizontal="center" vertical="center"/>
    </xf>
    <xf numFmtId="167" fontId="86" fillId="0" borderId="28" xfId="30" applyNumberFormat="1" applyFont="1" applyFill="1" applyBorder="1" applyAlignment="1" applyProtection="1">
      <alignment horizontal="right" vertical="center"/>
      <protection hidden="1"/>
    </xf>
    <xf numFmtId="0" fontId="97" fillId="0" borderId="60" xfId="30" applyNumberFormat="1" applyFont="1" applyFill="1" applyBorder="1" applyAlignment="1" applyProtection="1">
      <alignment wrapText="1"/>
      <protection hidden="1"/>
    </xf>
    <xf numFmtId="0" fontId="97" fillId="0" borderId="61" xfId="30" applyNumberFormat="1" applyFont="1" applyFill="1" applyBorder="1" applyAlignment="1" applyProtection="1">
      <alignment wrapText="1"/>
      <protection hidden="1"/>
    </xf>
    <xf numFmtId="0" fontId="97" fillId="0" borderId="63" xfId="30" applyNumberFormat="1" applyFont="1" applyFill="1" applyBorder="1" applyAlignment="1" applyProtection="1">
      <alignment wrapText="1"/>
      <protection hidden="1"/>
    </xf>
    <xf numFmtId="0" fontId="97" fillId="0" borderId="64" xfId="30" applyNumberFormat="1" applyFont="1" applyFill="1" applyBorder="1" applyAlignment="1" applyProtection="1">
      <alignment wrapText="1"/>
      <protection hidden="1"/>
    </xf>
    <xf numFmtId="10" fontId="113" fillId="0" borderId="29" xfId="51" applyNumberFormat="1" applyFont="1" applyFill="1" applyBorder="1" applyAlignment="1" applyProtection="1">
      <alignment vertical="center"/>
      <protection hidden="1"/>
    </xf>
    <xf numFmtId="0" fontId="0" fillId="40" borderId="0" xfId="0" applyFill="1"/>
    <xf numFmtId="10" fontId="0" fillId="28" borderId="0" xfId="0" applyNumberFormat="1" applyFill="1"/>
    <xf numFmtId="0" fontId="116" fillId="36" borderId="28" xfId="0" applyFont="1" applyFill="1" applyBorder="1" applyAlignment="1" applyProtection="1">
      <alignment horizontal="center" vertical="center"/>
      <protection locked="0"/>
    </xf>
    <xf numFmtId="0" fontId="117" fillId="0" borderId="0" xfId="0" applyFont="1" applyAlignment="1" applyProtection="1">
      <alignment horizontal="center"/>
      <protection hidden="1"/>
    </xf>
    <xf numFmtId="0" fontId="117" fillId="0" borderId="0" xfId="0" applyFont="1" applyAlignment="1" applyProtection="1">
      <alignment horizontal="center" wrapText="1"/>
      <protection hidden="1"/>
    </xf>
    <xf numFmtId="0" fontId="117" fillId="0" borderId="52" xfId="0" applyFont="1" applyBorder="1" applyAlignment="1" applyProtection="1">
      <alignment horizontal="left" indent="1"/>
      <protection hidden="1"/>
    </xf>
    <xf numFmtId="0" fontId="93" fillId="0" borderId="46" xfId="28" applyNumberFormat="1" applyFont="1" applyFill="1" applyBorder="1" applyAlignment="1" applyProtection="1">
      <alignment horizontal="center"/>
      <protection locked="0" hidden="1"/>
    </xf>
    <xf numFmtId="184" fontId="86" fillId="0" borderId="28" xfId="30" applyNumberFormat="1" applyFont="1" applyFill="1" applyBorder="1" applyAlignment="1" applyProtection="1">
      <alignment vertical="center"/>
      <protection hidden="1"/>
    </xf>
    <xf numFmtId="184" fontId="86" fillId="0" borderId="50" xfId="0" applyNumberFormat="1" applyFont="1" applyBorder="1" applyAlignment="1" applyProtection="1">
      <alignment vertical="center"/>
      <protection hidden="1"/>
    </xf>
    <xf numFmtId="0" fontId="119" fillId="41" borderId="139" xfId="0" applyFont="1" applyFill="1" applyBorder="1" applyAlignment="1">
      <alignment horizontal="center" wrapText="1"/>
    </xf>
    <xf numFmtId="0" fontId="119" fillId="41" borderId="142" xfId="0" applyFont="1" applyFill="1" applyBorder="1" applyAlignment="1">
      <alignment horizontal="center" wrapText="1"/>
    </xf>
    <xf numFmtId="0" fontId="119" fillId="41" borderId="140" xfId="0" applyFont="1" applyFill="1" applyBorder="1" applyAlignment="1">
      <alignment horizontal="center" wrapText="1"/>
    </xf>
    <xf numFmtId="0" fontId="119" fillId="41" borderId="141" xfId="0" applyFont="1" applyFill="1" applyBorder="1" applyAlignment="1">
      <alignment horizontal="center" wrapText="1"/>
    </xf>
    <xf numFmtId="0" fontId="119" fillId="41" borderId="138" xfId="0" applyFont="1" applyFill="1" applyBorder="1" applyAlignment="1">
      <alignment horizontal="center" wrapText="1"/>
    </xf>
    <xf numFmtId="0" fontId="119" fillId="41" borderId="137" xfId="0" applyFont="1" applyFill="1" applyBorder="1" applyAlignment="1">
      <alignment horizontal="center" wrapText="1"/>
    </xf>
    <xf numFmtId="0" fontId="86" fillId="36" borderId="28" xfId="0" applyFont="1" applyFill="1" applyBorder="1" applyAlignment="1" applyProtection="1">
      <alignment horizontal="center" vertical="center"/>
      <protection locked="0" hidden="1"/>
    </xf>
    <xf numFmtId="184" fontId="86" fillId="0" borderId="0" xfId="0" applyNumberFormat="1" applyFont="1" applyAlignment="1" applyProtection="1">
      <alignment vertical="center"/>
      <protection hidden="1"/>
    </xf>
    <xf numFmtId="184" fontId="86" fillId="0" borderId="106" xfId="30" applyNumberFormat="1" applyFont="1" applyFill="1" applyBorder="1" applyAlignment="1" applyProtection="1">
      <alignment vertical="center"/>
      <protection hidden="1"/>
    </xf>
    <xf numFmtId="176" fontId="86" fillId="36" borderId="28" xfId="0" applyNumberFormat="1" applyFont="1" applyFill="1" applyBorder="1" applyAlignment="1" applyProtection="1">
      <alignment horizontal="center" vertical="center"/>
      <protection locked="0" hidden="1"/>
    </xf>
    <xf numFmtId="10" fontId="0" fillId="0" borderId="0" xfId="51" applyNumberFormat="1" applyFont="1"/>
    <xf numFmtId="9" fontId="0" fillId="0" borderId="0" xfId="0" applyNumberFormat="1" applyAlignment="1">
      <alignment horizontal="center"/>
    </xf>
    <xf numFmtId="184" fontId="86" fillId="0" borderId="50" xfId="0" applyNumberFormat="1" applyFont="1" applyBorder="1" applyAlignment="1" applyProtection="1">
      <alignment horizontal="center" vertical="center"/>
      <protection hidden="1"/>
    </xf>
    <xf numFmtId="184" fontId="86" fillId="0" borderId="28" xfId="30" applyNumberFormat="1" applyFont="1" applyFill="1" applyBorder="1" applyAlignment="1" applyProtection="1">
      <alignment horizontal="center" vertical="center"/>
      <protection hidden="1"/>
    </xf>
    <xf numFmtId="0" fontId="0" fillId="43" borderId="0" xfId="0" applyFill="1"/>
    <xf numFmtId="0" fontId="5" fillId="43" borderId="0" xfId="0" applyFont="1" applyFill="1"/>
    <xf numFmtId="2" fontId="120" fillId="45" borderId="0" xfId="0" applyNumberFormat="1" applyFont="1" applyFill="1"/>
    <xf numFmtId="0" fontId="120" fillId="45" borderId="0" xfId="0" applyFont="1" applyFill="1"/>
    <xf numFmtId="0" fontId="93" fillId="0" borderId="52" xfId="30" applyNumberFormat="1" applyFont="1" applyFill="1" applyBorder="1" applyAlignment="1" applyProtection="1">
      <alignment horizontal="left" vertical="center" wrapText="1" indent="1"/>
      <protection hidden="1"/>
    </xf>
    <xf numFmtId="0" fontId="122" fillId="19" borderId="0" xfId="0" applyFont="1" applyFill="1" applyProtection="1">
      <protection hidden="1"/>
    </xf>
    <xf numFmtId="170" fontId="122" fillId="19" borderId="0" xfId="30" applyNumberFormat="1" applyFont="1" applyFill="1" applyBorder="1" applyProtection="1">
      <protection hidden="1"/>
    </xf>
    <xf numFmtId="0" fontId="124" fillId="19" borderId="0" xfId="0" applyFont="1" applyFill="1" applyProtection="1">
      <protection hidden="1"/>
    </xf>
    <xf numFmtId="170" fontId="124" fillId="19" borderId="0" xfId="30" applyNumberFormat="1" applyFont="1" applyFill="1" applyBorder="1" applyProtection="1">
      <protection hidden="1"/>
    </xf>
    <xf numFmtId="0" fontId="0" fillId="0" borderId="0" xfId="0" applyAlignment="1" applyProtection="1">
      <alignment horizontal="center"/>
      <protection hidden="1"/>
    </xf>
    <xf numFmtId="0" fontId="86" fillId="0" borderId="0" xfId="0" applyFont="1" applyAlignment="1" applyProtection="1">
      <alignment horizontal="left"/>
      <protection hidden="1"/>
    </xf>
    <xf numFmtId="0" fontId="86" fillId="0" borderId="0" xfId="0" applyFont="1" applyAlignment="1" applyProtection="1">
      <alignment horizontal="right"/>
      <protection hidden="1"/>
    </xf>
    <xf numFmtId="170" fontId="86" fillId="40" borderId="92" xfId="30" applyNumberFormat="1" applyFont="1" applyFill="1" applyBorder="1" applyAlignment="1" applyProtection="1">
      <alignment vertical="center"/>
      <protection hidden="1"/>
    </xf>
    <xf numFmtId="0" fontId="3" fillId="0" borderId="0" xfId="0" applyFont="1" applyProtection="1">
      <protection hidden="1"/>
    </xf>
    <xf numFmtId="183" fontId="122" fillId="0" borderId="0" xfId="0" applyNumberFormat="1" applyFont="1" applyAlignment="1" applyProtection="1">
      <alignment horizontal="left"/>
      <protection hidden="1"/>
    </xf>
    <xf numFmtId="0" fontId="86" fillId="0" borderId="0" xfId="0" applyFont="1" applyAlignment="1" applyProtection="1">
      <alignment vertical="center"/>
      <protection hidden="1"/>
    </xf>
    <xf numFmtId="0" fontId="2" fillId="0" borderId="0" xfId="0" applyFont="1" applyAlignment="1" applyProtection="1">
      <alignment vertical="center"/>
      <protection hidden="1"/>
    </xf>
    <xf numFmtId="168" fontId="0" fillId="0" borderId="0" xfId="30" applyFont="1" applyFill="1" applyProtection="1">
      <protection hidden="1"/>
    </xf>
    <xf numFmtId="168" fontId="0" fillId="0" borderId="0" xfId="30" applyFont="1" applyFill="1" applyProtection="1"/>
    <xf numFmtId="177" fontId="122" fillId="0" borderId="0" xfId="51" applyNumberFormat="1" applyFont="1" applyFill="1" applyBorder="1" applyAlignment="1" applyProtection="1">
      <alignment horizontal="center" vertical="center"/>
      <protection hidden="1"/>
    </xf>
    <xf numFmtId="183" fontId="86" fillId="0" borderId="0" xfId="0" applyNumberFormat="1" applyFont="1" applyAlignment="1" applyProtection="1">
      <alignment horizontal="center"/>
      <protection hidden="1"/>
    </xf>
    <xf numFmtId="0" fontId="0" fillId="28" borderId="14" xfId="0" applyFill="1" applyBorder="1" applyAlignment="1">
      <alignment horizontal="center" wrapText="1"/>
    </xf>
    <xf numFmtId="0" fontId="15" fillId="0" borderId="53" xfId="0" applyFont="1" applyBorder="1" applyAlignment="1" applyProtection="1">
      <alignment vertical="center"/>
      <protection hidden="1"/>
    </xf>
    <xf numFmtId="0" fontId="93" fillId="0" borderId="0" xfId="0" applyFont="1" applyAlignment="1" applyProtection="1">
      <alignment horizontal="center" vertical="center"/>
      <protection hidden="1"/>
    </xf>
    <xf numFmtId="0" fontId="86" fillId="0" borderId="0" xfId="0" applyFont="1" applyAlignment="1" applyProtection="1">
      <alignment horizontal="center" vertical="center"/>
      <protection hidden="1"/>
    </xf>
    <xf numFmtId="0" fontId="54" fillId="0" borderId="0" xfId="0" applyFont="1" applyAlignment="1" applyProtection="1">
      <alignment horizontal="center"/>
      <protection hidden="1"/>
    </xf>
    <xf numFmtId="0" fontId="0" fillId="44" borderId="14" xfId="0" applyFill="1" applyBorder="1"/>
    <xf numFmtId="168" fontId="20" fillId="30" borderId="0" xfId="30" applyFont="1" applyFill="1" applyBorder="1" applyProtection="1">
      <protection hidden="1"/>
    </xf>
    <xf numFmtId="167" fontId="122" fillId="0" borderId="0" xfId="30" applyNumberFormat="1" applyFont="1" applyFill="1" applyBorder="1" applyAlignment="1" applyProtection="1">
      <alignment horizontal="right" vertical="center"/>
      <protection hidden="1"/>
    </xf>
    <xf numFmtId="0" fontId="86" fillId="0" borderId="0" xfId="44" applyFont="1" applyAlignment="1" applyProtection="1">
      <alignment horizontal="left" indent="1"/>
      <protection hidden="1"/>
    </xf>
    <xf numFmtId="0" fontId="93" fillId="0" borderId="50" xfId="51" applyNumberFormat="1" applyFont="1" applyFill="1" applyBorder="1" applyAlignment="1" applyProtection="1">
      <alignment horizontal="center" vertical="center"/>
      <protection hidden="1"/>
    </xf>
    <xf numFmtId="0" fontId="86" fillId="36" borderId="7" xfId="30" applyNumberFormat="1" applyFont="1" applyFill="1" applyBorder="1" applyAlignment="1" applyProtection="1">
      <alignment horizontal="center" vertical="center"/>
      <protection locked="0"/>
    </xf>
    <xf numFmtId="168" fontId="13" fillId="22" borderId="0" xfId="30" applyFont="1" applyFill="1" applyBorder="1" applyProtection="1">
      <protection hidden="1"/>
    </xf>
    <xf numFmtId="178" fontId="0" fillId="0" borderId="14" xfId="30" applyNumberFormat="1" applyFont="1" applyBorder="1"/>
    <xf numFmtId="0" fontId="95" fillId="0" borderId="52" xfId="0" applyFont="1" applyBorder="1" applyAlignment="1" applyProtection="1">
      <alignment horizontal="left" indent="1"/>
      <protection hidden="1"/>
    </xf>
    <xf numFmtId="0" fontId="125" fillId="0" borderId="52" xfId="0" applyFont="1" applyBorder="1" applyAlignment="1" applyProtection="1">
      <alignment horizontal="left" indent="1"/>
      <protection hidden="1"/>
    </xf>
    <xf numFmtId="0" fontId="53" fillId="0" borderId="52" xfId="0" applyFont="1" applyBorder="1" applyAlignment="1" applyProtection="1">
      <alignment horizontal="left" indent="1"/>
      <protection hidden="1"/>
    </xf>
    <xf numFmtId="0" fontId="53" fillId="0" borderId="0" xfId="0" applyFont="1" applyAlignment="1" applyProtection="1">
      <alignment horizontal="center"/>
      <protection hidden="1"/>
    </xf>
    <xf numFmtId="168" fontId="53" fillId="0" borderId="0" xfId="30" applyFont="1" applyFill="1" applyBorder="1" applyAlignment="1" applyProtection="1">
      <alignment horizontal="center"/>
      <protection hidden="1"/>
    </xf>
    <xf numFmtId="168" fontId="9" fillId="0" borderId="53" xfId="30" applyFont="1" applyFill="1" applyBorder="1" applyAlignment="1" applyProtection="1">
      <alignment horizontal="center"/>
      <protection hidden="1"/>
    </xf>
    <xf numFmtId="0" fontId="6" fillId="0" borderId="0" xfId="0" applyFont="1"/>
    <xf numFmtId="0" fontId="51" fillId="0" borderId="144" xfId="0" applyFont="1" applyBorder="1" applyAlignment="1" applyProtection="1">
      <alignment horizontal="left"/>
      <protection hidden="1"/>
    </xf>
    <xf numFmtId="0" fontId="11" fillId="0" borderId="145" xfId="0" applyFont="1" applyBorder="1" applyProtection="1">
      <protection hidden="1"/>
    </xf>
    <xf numFmtId="0" fontId="12" fillId="0" borderId="145" xfId="0" applyFont="1" applyBorder="1" applyProtection="1">
      <protection hidden="1"/>
    </xf>
    <xf numFmtId="0" fontId="16" fillId="0" borderId="145" xfId="0" applyFont="1" applyBorder="1" applyProtection="1">
      <protection hidden="1"/>
    </xf>
    <xf numFmtId="0" fontId="22" fillId="0" borderId="145" xfId="0" applyFont="1" applyBorder="1" applyAlignment="1" applyProtection="1">
      <alignment horizontal="left"/>
      <protection hidden="1"/>
    </xf>
    <xf numFmtId="0" fontId="12" fillId="0" borderId="146" xfId="0" applyFont="1" applyBorder="1" applyProtection="1">
      <protection hidden="1"/>
    </xf>
    <xf numFmtId="0" fontId="12" fillId="0" borderId="148" xfId="0" applyFont="1" applyBorder="1" applyProtection="1">
      <protection hidden="1"/>
    </xf>
    <xf numFmtId="0" fontId="22" fillId="31" borderId="85" xfId="0" applyFont="1" applyFill="1" applyBorder="1" applyAlignment="1">
      <alignment vertical="center"/>
    </xf>
    <xf numFmtId="0" fontId="89" fillId="0" borderId="14" xfId="46" applyBorder="1"/>
    <xf numFmtId="0" fontId="73" fillId="0" borderId="0" xfId="0" applyFont="1" applyAlignment="1">
      <alignment vertical="center" wrapText="1"/>
    </xf>
    <xf numFmtId="0" fontId="3" fillId="0" borderId="0" xfId="0" applyFont="1" applyAlignment="1">
      <alignment horizontal="center"/>
    </xf>
    <xf numFmtId="0" fontId="0" fillId="0" borderId="149" xfId="0" applyBorder="1"/>
    <xf numFmtId="178" fontId="0" fillId="47" borderId="0" xfId="30" applyNumberFormat="1" applyFont="1" applyFill="1" applyBorder="1"/>
    <xf numFmtId="178" fontId="0" fillId="0" borderId="0" xfId="30" applyNumberFormat="1" applyFont="1" applyBorder="1"/>
    <xf numFmtId="178" fontId="0" fillId="47" borderId="0" xfId="0" applyNumberFormat="1" applyFill="1"/>
    <xf numFmtId="178" fontId="0" fillId="0" borderId="105" xfId="30" applyNumberFormat="1" applyFont="1" applyBorder="1"/>
    <xf numFmtId="0" fontId="3" fillId="0" borderId="149" xfId="0" applyFont="1" applyBorder="1"/>
    <xf numFmtId="0" fontId="3" fillId="47" borderId="149" xfId="0" applyFont="1" applyFill="1" applyBorder="1"/>
    <xf numFmtId="178" fontId="0" fillId="47" borderId="105" xfId="30" applyNumberFormat="1" applyFont="1" applyFill="1" applyBorder="1"/>
    <xf numFmtId="0" fontId="3" fillId="47" borderId="135" xfId="0" applyFont="1" applyFill="1" applyBorder="1"/>
    <xf numFmtId="178" fontId="0" fillId="47" borderId="150" xfId="30" applyNumberFormat="1" applyFont="1" applyFill="1" applyBorder="1"/>
    <xf numFmtId="178" fontId="0" fillId="47" borderId="44" xfId="30" applyNumberFormat="1" applyFont="1" applyFill="1" applyBorder="1"/>
    <xf numFmtId="0" fontId="3" fillId="0" borderId="105" xfId="0" applyFont="1" applyBorder="1"/>
    <xf numFmtId="0" fontId="3" fillId="47" borderId="105" xfId="0" applyFont="1" applyFill="1" applyBorder="1"/>
    <xf numFmtId="0" fontId="3" fillId="47" borderId="44" xfId="0" applyFont="1" applyFill="1" applyBorder="1"/>
    <xf numFmtId="0" fontId="128" fillId="0" borderId="134" xfId="0" applyFont="1" applyBorder="1"/>
    <xf numFmtId="0" fontId="56" fillId="0" borderId="45" xfId="0" applyFont="1" applyBorder="1" applyAlignment="1">
      <alignment wrapText="1"/>
    </xf>
    <xf numFmtId="0" fontId="56" fillId="0" borderId="136" xfId="0" applyFont="1" applyBorder="1" applyAlignment="1">
      <alignment wrapText="1"/>
    </xf>
    <xf numFmtId="0" fontId="56" fillId="47" borderId="136" xfId="0" applyFont="1" applyFill="1" applyBorder="1" applyAlignment="1">
      <alignment wrapText="1"/>
    </xf>
    <xf numFmtId="0" fontId="0" fillId="0" borderId="134" xfId="0" applyBorder="1"/>
    <xf numFmtId="0" fontId="0" fillId="0" borderId="45" xfId="0" applyBorder="1"/>
    <xf numFmtId="178" fontId="0" fillId="0" borderId="136" xfId="30" applyNumberFormat="1" applyFont="1" applyBorder="1"/>
    <xf numFmtId="178" fontId="0" fillId="0" borderId="136" xfId="0" applyNumberFormat="1" applyBorder="1"/>
    <xf numFmtId="178" fontId="0" fillId="0" borderId="45" xfId="30" applyNumberFormat="1" applyFont="1" applyBorder="1"/>
    <xf numFmtId="168" fontId="56" fillId="0" borderId="0" xfId="30" applyFont="1" applyBorder="1" applyAlignment="1">
      <alignment wrapText="1"/>
    </xf>
    <xf numFmtId="170" fontId="56" fillId="0" borderId="0" xfId="30" applyNumberFormat="1" applyFont="1" applyBorder="1" applyAlignment="1">
      <alignment wrapText="1"/>
    </xf>
    <xf numFmtId="170" fontId="56" fillId="47" borderId="0" xfId="30" applyNumberFormat="1" applyFont="1" applyFill="1" applyBorder="1" applyAlignment="1">
      <alignment wrapText="1"/>
    </xf>
    <xf numFmtId="170" fontId="56" fillId="0" borderId="105" xfId="30" applyNumberFormat="1" applyFont="1" applyBorder="1" applyAlignment="1">
      <alignment wrapText="1"/>
    </xf>
    <xf numFmtId="168" fontId="86" fillId="22" borderId="0" xfId="30" applyFont="1" applyFill="1" applyBorder="1" applyProtection="1">
      <protection hidden="1"/>
    </xf>
    <xf numFmtId="0" fontId="0" fillId="48" borderId="0" xfId="0" applyFill="1"/>
    <xf numFmtId="0" fontId="3" fillId="48" borderId="0" xfId="0" applyFont="1" applyFill="1"/>
    <xf numFmtId="178" fontId="0" fillId="47" borderId="0" xfId="30" applyNumberFormat="1" applyFont="1" applyFill="1"/>
    <xf numFmtId="173" fontId="7" fillId="34" borderId="151" xfId="44" applyNumberFormat="1" applyFont="1" applyFill="1" applyBorder="1" applyAlignment="1">
      <alignment horizontal="center" vertical="center"/>
    </xf>
    <xf numFmtId="173" fontId="3" fillId="34" borderId="152" xfId="44" applyNumberFormat="1" applyFill="1" applyBorder="1" applyAlignment="1">
      <alignment horizontal="center" vertical="center"/>
    </xf>
    <xf numFmtId="173" fontId="3" fillId="34" borderId="153" xfId="44" applyNumberFormat="1" applyFill="1" applyBorder="1" applyAlignment="1">
      <alignment horizontal="center" vertical="center"/>
    </xf>
    <xf numFmtId="173" fontId="7" fillId="34" borderId="154" xfId="44" applyNumberFormat="1" applyFont="1" applyFill="1" applyBorder="1" applyAlignment="1">
      <alignment horizontal="center"/>
    </xf>
    <xf numFmtId="173" fontId="3" fillId="34" borderId="154" xfId="44" applyNumberFormat="1" applyFill="1" applyBorder="1" applyAlignment="1">
      <alignment horizontal="center"/>
    </xf>
    <xf numFmtId="173" fontId="3" fillId="34" borderId="155" xfId="44" applyNumberFormat="1" applyFill="1" applyBorder="1" applyAlignment="1">
      <alignment horizontal="center"/>
    </xf>
    <xf numFmtId="173" fontId="3" fillId="34" borderId="155" xfId="44" applyNumberFormat="1" applyFill="1" applyBorder="1" applyAlignment="1">
      <alignment horizontal="center" vertical="center"/>
    </xf>
    <xf numFmtId="2" fontId="7" fillId="34" borderId="151" xfId="44" applyNumberFormat="1" applyFont="1" applyFill="1" applyBorder="1" applyAlignment="1">
      <alignment horizontal="center" vertical="center"/>
    </xf>
    <xf numFmtId="4" fontId="3" fillId="34" borderId="155" xfId="44" applyNumberFormat="1" applyFill="1" applyBorder="1" applyAlignment="1">
      <alignment horizontal="center" vertical="center"/>
    </xf>
    <xf numFmtId="2" fontId="3" fillId="34" borderId="153" xfId="44" applyNumberFormat="1" applyFill="1" applyBorder="1" applyAlignment="1">
      <alignment horizontal="center" vertical="center"/>
    </xf>
    <xf numFmtId="2" fontId="7" fillId="34" borderId="154" xfId="44" applyNumberFormat="1" applyFont="1" applyFill="1" applyBorder="1" applyAlignment="1">
      <alignment horizontal="center"/>
    </xf>
    <xf numFmtId="2" fontId="3" fillId="34" borderId="154" xfId="44" applyNumberFormat="1" applyFill="1" applyBorder="1" applyAlignment="1">
      <alignment horizontal="center"/>
    </xf>
    <xf numFmtId="2" fontId="3" fillId="34" borderId="155" xfId="44" applyNumberFormat="1" applyFill="1" applyBorder="1" applyAlignment="1">
      <alignment horizontal="center"/>
    </xf>
    <xf numFmtId="2" fontId="7" fillId="34" borderId="156" xfId="44" applyNumberFormat="1" applyFont="1" applyFill="1" applyBorder="1" applyAlignment="1">
      <alignment horizontal="center" vertical="center"/>
    </xf>
    <xf numFmtId="4" fontId="3" fillId="34" borderId="157" xfId="44" applyNumberFormat="1" applyFill="1" applyBorder="1" applyAlignment="1">
      <alignment horizontal="center" vertical="center"/>
    </xf>
    <xf numFmtId="2" fontId="3" fillId="34" borderId="158" xfId="44" applyNumberFormat="1" applyFill="1" applyBorder="1" applyAlignment="1">
      <alignment horizontal="center" vertical="center"/>
    </xf>
    <xf numFmtId="2" fontId="7" fillId="34" borderId="159" xfId="44" applyNumberFormat="1" applyFont="1" applyFill="1" applyBorder="1" applyAlignment="1">
      <alignment horizontal="center"/>
    </xf>
    <xf numFmtId="2" fontId="3" fillId="34" borderId="159" xfId="44" applyNumberFormat="1" applyFill="1" applyBorder="1" applyAlignment="1">
      <alignment horizontal="center"/>
    </xf>
    <xf numFmtId="2" fontId="3" fillId="34" borderId="157" xfId="44" applyNumberFormat="1" applyFill="1" applyBorder="1" applyAlignment="1">
      <alignment horizontal="center"/>
    </xf>
    <xf numFmtId="0" fontId="86" fillId="0" borderId="160" xfId="0" applyFont="1" applyBorder="1" applyAlignment="1" applyProtection="1">
      <alignment horizontal="right"/>
      <protection hidden="1"/>
    </xf>
    <xf numFmtId="0" fontId="3" fillId="0" borderId="0" xfId="0" applyFont="1" applyAlignment="1" applyProtection="1">
      <alignment horizontal="center"/>
      <protection hidden="1"/>
    </xf>
    <xf numFmtId="0" fontId="86" fillId="0" borderId="78" xfId="0" applyFont="1" applyBorder="1" applyAlignment="1" applyProtection="1">
      <alignment vertical="center"/>
      <protection hidden="1"/>
    </xf>
    <xf numFmtId="0" fontId="86" fillId="0" borderId="41" xfId="0" applyFont="1" applyBorder="1" applyAlignment="1" applyProtection="1">
      <alignment vertical="center"/>
      <protection hidden="1"/>
    </xf>
    <xf numFmtId="170" fontId="86" fillId="36" borderId="28" xfId="30" applyNumberFormat="1" applyFont="1" applyFill="1" applyBorder="1" applyAlignment="1" applyProtection="1">
      <alignment vertical="center"/>
      <protection locked="0" hidden="1"/>
    </xf>
    <xf numFmtId="0" fontId="130" fillId="49" borderId="44" xfId="0" applyFont="1" applyFill="1" applyBorder="1" applyAlignment="1">
      <alignment vertical="center"/>
    </xf>
    <xf numFmtId="0" fontId="0" fillId="43" borderId="0" xfId="0" applyFill="1" applyAlignment="1">
      <alignment horizontal="center"/>
    </xf>
    <xf numFmtId="10" fontId="131" fillId="0" borderId="0" xfId="51" applyNumberFormat="1" applyFont="1" applyFill="1" applyBorder="1" applyAlignment="1" applyProtection="1">
      <alignment horizontal="center" vertical="center"/>
      <protection hidden="1"/>
    </xf>
    <xf numFmtId="1" fontId="0" fillId="28" borderId="0" xfId="0" applyNumberFormat="1" applyFill="1"/>
    <xf numFmtId="0" fontId="86" fillId="0" borderId="0" xfId="0" applyFont="1" applyAlignment="1" applyProtection="1">
      <alignment horizontal="center"/>
      <protection hidden="1"/>
    </xf>
    <xf numFmtId="0" fontId="3" fillId="43" borderId="0" xfId="0" applyFont="1" applyFill="1" applyProtection="1">
      <protection hidden="1"/>
    </xf>
    <xf numFmtId="0" fontId="0" fillId="43" borderId="0" xfId="0" applyFill="1" applyProtection="1">
      <protection hidden="1"/>
    </xf>
    <xf numFmtId="181" fontId="86" fillId="36" borderId="28" xfId="0" applyNumberFormat="1" applyFont="1" applyFill="1" applyBorder="1" applyAlignment="1" applyProtection="1">
      <alignment horizontal="center" vertical="center"/>
      <protection locked="0" hidden="1"/>
    </xf>
    <xf numFmtId="0" fontId="0" fillId="0" borderId="14" xfId="0" applyBorder="1" applyProtection="1">
      <protection hidden="1"/>
    </xf>
    <xf numFmtId="0" fontId="0" fillId="0" borderId="0" xfId="0" applyAlignment="1" applyProtection="1">
      <alignment vertical="center"/>
      <protection hidden="1"/>
    </xf>
    <xf numFmtId="0" fontId="86" fillId="36" borderId="28" xfId="30" applyNumberFormat="1" applyFont="1" applyFill="1" applyBorder="1" applyAlignment="1" applyProtection="1">
      <alignment horizontal="center" vertical="center"/>
      <protection locked="0" hidden="1"/>
    </xf>
    <xf numFmtId="0" fontId="86" fillId="0" borderId="28" xfId="0" applyFont="1" applyBorder="1" applyAlignment="1" applyProtection="1">
      <alignment horizontal="center" vertical="center"/>
      <protection hidden="1"/>
    </xf>
    <xf numFmtId="0" fontId="0" fillId="32" borderId="0" xfId="0" applyFill="1" applyProtection="1">
      <protection hidden="1"/>
    </xf>
    <xf numFmtId="0" fontId="13" fillId="0" borderId="0" xfId="0" applyFont="1" applyAlignment="1" applyProtection="1">
      <alignment horizontal="right"/>
      <protection hidden="1"/>
    </xf>
    <xf numFmtId="0" fontId="0" fillId="0" borderId="0" xfId="0" applyAlignment="1" applyProtection="1">
      <alignment horizontal="right"/>
      <protection hidden="1"/>
    </xf>
    <xf numFmtId="0" fontId="6" fillId="0" borderId="0" xfId="0" applyFont="1" applyAlignment="1" applyProtection="1">
      <alignment vertical="top" wrapText="1"/>
      <protection hidden="1"/>
    </xf>
    <xf numFmtId="0" fontId="3" fillId="0" borderId="0" xfId="0" applyFont="1" applyAlignment="1" applyProtection="1">
      <alignment horizontal="right"/>
      <protection hidden="1"/>
    </xf>
    <xf numFmtId="0" fontId="13" fillId="0" borderId="0" xfId="0" applyFont="1" applyAlignment="1" applyProtection="1">
      <alignment vertical="top"/>
      <protection hidden="1"/>
    </xf>
    <xf numFmtId="0" fontId="53" fillId="0" borderId="0" xfId="0" applyFont="1" applyProtection="1">
      <protection hidden="1"/>
    </xf>
    <xf numFmtId="0" fontId="93" fillId="0" borderId="0" xfId="0" applyFont="1" applyAlignment="1" applyProtection="1">
      <alignment vertical="center"/>
      <protection hidden="1"/>
    </xf>
    <xf numFmtId="0" fontId="0" fillId="32" borderId="0" xfId="0" applyFill="1" applyAlignment="1" applyProtection="1">
      <alignment horizontal="right"/>
      <protection hidden="1"/>
    </xf>
    <xf numFmtId="0" fontId="0" fillId="34" borderId="29" xfId="0" applyFill="1" applyBorder="1" applyAlignment="1" applyProtection="1">
      <alignment horizontal="center"/>
      <protection locked="0" hidden="1"/>
    </xf>
    <xf numFmtId="0" fontId="0" fillId="22" borderId="0" xfId="0" applyFill="1" applyProtection="1">
      <protection hidden="1"/>
    </xf>
    <xf numFmtId="0" fontId="0" fillId="22" borderId="30" xfId="0" applyFill="1" applyBorder="1" applyProtection="1">
      <protection hidden="1"/>
    </xf>
    <xf numFmtId="0" fontId="2" fillId="22" borderId="0" xfId="0" applyFont="1" applyFill="1" applyProtection="1">
      <protection hidden="1"/>
    </xf>
    <xf numFmtId="1" fontId="0" fillId="0" borderId="0" xfId="0" applyNumberFormat="1" applyProtection="1">
      <protection hidden="1"/>
    </xf>
    <xf numFmtId="0" fontId="0" fillId="0" borderId="0" xfId="0" applyAlignment="1" applyProtection="1">
      <alignment vertical="top"/>
      <protection hidden="1"/>
    </xf>
    <xf numFmtId="0" fontId="25" fillId="0" borderId="0" xfId="0" applyFont="1" applyProtection="1">
      <protection hidden="1"/>
    </xf>
    <xf numFmtId="184" fontId="86" fillId="36" borderId="28" xfId="30" applyNumberFormat="1" applyFont="1" applyFill="1" applyBorder="1" applyAlignment="1" applyProtection="1">
      <alignment vertical="center"/>
      <protection locked="0" hidden="1"/>
    </xf>
    <xf numFmtId="0" fontId="0" fillId="43" borderId="53" xfId="0" applyFill="1" applyBorder="1" applyAlignment="1" applyProtection="1">
      <alignment vertical="center" textRotation="255" wrapText="1"/>
      <protection hidden="1"/>
    </xf>
    <xf numFmtId="0" fontId="0" fillId="43" borderId="53" xfId="0" applyFill="1" applyBorder="1" applyAlignment="1" applyProtection="1">
      <alignment vertical="center" textRotation="255"/>
      <protection hidden="1"/>
    </xf>
    <xf numFmtId="170" fontId="20" fillId="30" borderId="0" xfId="30" applyNumberFormat="1" applyFont="1" applyFill="1" applyBorder="1" applyProtection="1">
      <protection locked="0" hidden="1"/>
    </xf>
    <xf numFmtId="0" fontId="7" fillId="43" borderId="0" xfId="0" applyFont="1" applyFill="1" applyProtection="1">
      <protection hidden="1"/>
    </xf>
    <xf numFmtId="0" fontId="123" fillId="0" borderId="0" xfId="0" applyFont="1" applyProtection="1">
      <protection hidden="1"/>
    </xf>
    <xf numFmtId="0" fontId="0" fillId="28" borderId="0" xfId="0" applyFill="1" applyProtection="1">
      <protection hidden="1"/>
    </xf>
    <xf numFmtId="0" fontId="0" fillId="26" borderId="0" xfId="0" applyFill="1" applyProtection="1">
      <protection hidden="1"/>
    </xf>
    <xf numFmtId="0" fontId="0" fillId="38" borderId="0" xfId="0" applyFill="1" applyProtection="1">
      <protection hidden="1"/>
    </xf>
    <xf numFmtId="0" fontId="0" fillId="28" borderId="17" xfId="0" applyFill="1" applyBorder="1" applyProtection="1">
      <protection hidden="1"/>
    </xf>
    <xf numFmtId="0" fontId="0" fillId="28" borderId="18" xfId="0" applyFill="1" applyBorder="1" applyProtection="1">
      <protection hidden="1"/>
    </xf>
    <xf numFmtId="170" fontId="0" fillId="28" borderId="19" xfId="30" applyNumberFormat="1" applyFont="1" applyFill="1" applyBorder="1" applyProtection="1">
      <protection hidden="1"/>
    </xf>
    <xf numFmtId="0" fontId="0" fillId="26" borderId="17" xfId="0" applyFill="1" applyBorder="1" applyProtection="1">
      <protection hidden="1"/>
    </xf>
    <xf numFmtId="0" fontId="0" fillId="26" borderId="18" xfId="0" applyFill="1" applyBorder="1" applyProtection="1">
      <protection hidden="1"/>
    </xf>
    <xf numFmtId="170" fontId="0" fillId="26" borderId="19" xfId="30" applyNumberFormat="1" applyFont="1" applyFill="1" applyBorder="1" applyProtection="1">
      <protection hidden="1"/>
    </xf>
    <xf numFmtId="0" fontId="0" fillId="38" borderId="17" xfId="0" applyFill="1" applyBorder="1" applyProtection="1">
      <protection hidden="1"/>
    </xf>
    <xf numFmtId="0" fontId="0" fillId="38" borderId="18" xfId="0" applyFill="1" applyBorder="1" applyProtection="1">
      <protection hidden="1"/>
    </xf>
    <xf numFmtId="0" fontId="0" fillId="28" borderId="20" xfId="0" applyFill="1" applyBorder="1" applyProtection="1">
      <protection hidden="1"/>
    </xf>
    <xf numFmtId="0" fontId="0" fillId="28" borderId="21" xfId="0" applyFill="1" applyBorder="1" applyProtection="1">
      <protection hidden="1"/>
    </xf>
    <xf numFmtId="170" fontId="0" fillId="28" borderId="22" xfId="30" applyNumberFormat="1" applyFont="1" applyFill="1" applyBorder="1" applyProtection="1">
      <protection hidden="1"/>
    </xf>
    <xf numFmtId="0" fontId="0" fillId="26" borderId="20" xfId="0" applyFill="1" applyBorder="1" applyProtection="1">
      <protection hidden="1"/>
    </xf>
    <xf numFmtId="0" fontId="0" fillId="26" borderId="21" xfId="0" applyFill="1" applyBorder="1" applyProtection="1">
      <protection hidden="1"/>
    </xf>
    <xf numFmtId="170" fontId="0" fillId="26" borderId="22" xfId="30" applyNumberFormat="1" applyFont="1" applyFill="1" applyBorder="1" applyProtection="1">
      <protection hidden="1"/>
    </xf>
    <xf numFmtId="0" fontId="0" fillId="38" borderId="20" xfId="0" applyFill="1" applyBorder="1" applyProtection="1">
      <protection hidden="1"/>
    </xf>
    <xf numFmtId="0" fontId="0" fillId="38" borderId="21" xfId="0" applyFill="1" applyBorder="1" applyProtection="1">
      <protection hidden="1"/>
    </xf>
    <xf numFmtId="0" fontId="0" fillId="28" borderId="23" xfId="0" applyFill="1" applyBorder="1" applyProtection="1">
      <protection hidden="1"/>
    </xf>
    <xf numFmtId="170" fontId="0" fillId="28" borderId="24" xfId="30" applyNumberFormat="1" applyFont="1" applyFill="1" applyBorder="1" applyProtection="1">
      <protection hidden="1"/>
    </xf>
    <xf numFmtId="0" fontId="0" fillId="26" borderId="23" xfId="0" applyFill="1" applyBorder="1" applyProtection="1">
      <protection hidden="1"/>
    </xf>
    <xf numFmtId="170" fontId="0" fillId="26" borderId="24" xfId="30" applyNumberFormat="1" applyFont="1" applyFill="1" applyBorder="1" applyProtection="1">
      <protection hidden="1"/>
    </xf>
    <xf numFmtId="0" fontId="0" fillId="38" borderId="23" xfId="0" applyFill="1" applyBorder="1" applyProtection="1">
      <protection hidden="1"/>
    </xf>
    <xf numFmtId="170" fontId="0" fillId="28" borderId="24" xfId="0" applyNumberFormat="1" applyFill="1" applyBorder="1" applyProtection="1">
      <protection hidden="1"/>
    </xf>
    <xf numFmtId="170" fontId="0" fillId="26" borderId="24" xfId="0" applyNumberFormat="1" applyFill="1" applyBorder="1" applyProtection="1">
      <protection hidden="1"/>
    </xf>
    <xf numFmtId="170" fontId="0" fillId="38" borderId="24" xfId="0" applyNumberFormat="1" applyFill="1" applyBorder="1" applyProtection="1">
      <protection hidden="1"/>
    </xf>
    <xf numFmtId="0" fontId="27" fillId="0" borderId="0" xfId="0" applyFont="1" applyProtection="1">
      <protection hidden="1"/>
    </xf>
    <xf numFmtId="0" fontId="0" fillId="28" borderId="25" xfId="0" applyFill="1" applyBorder="1" applyProtection="1">
      <protection hidden="1"/>
    </xf>
    <xf numFmtId="0" fontId="0" fillId="28" borderId="26" xfId="0" applyFill="1" applyBorder="1" applyProtection="1">
      <protection hidden="1"/>
    </xf>
    <xf numFmtId="170" fontId="0" fillId="28" borderId="27" xfId="0" applyNumberFormat="1" applyFill="1" applyBorder="1" applyProtection="1">
      <protection hidden="1"/>
    </xf>
    <xf numFmtId="0" fontId="0" fillId="26" borderId="25" xfId="0" applyFill="1" applyBorder="1" applyProtection="1">
      <protection hidden="1"/>
    </xf>
    <xf numFmtId="0" fontId="0" fillId="26" borderId="26" xfId="0" applyFill="1" applyBorder="1" applyProtection="1">
      <protection hidden="1"/>
    </xf>
    <xf numFmtId="170" fontId="0" fillId="26" borderId="27" xfId="0" applyNumberFormat="1" applyFill="1" applyBorder="1" applyProtection="1">
      <protection hidden="1"/>
    </xf>
    <xf numFmtId="0" fontId="0" fillId="38" borderId="25" xfId="0" applyFill="1" applyBorder="1" applyProtection="1">
      <protection hidden="1"/>
    </xf>
    <xf numFmtId="0" fontId="0" fillId="38" borderId="26" xfId="0" applyFill="1" applyBorder="1" applyProtection="1">
      <protection hidden="1"/>
    </xf>
    <xf numFmtId="170" fontId="0" fillId="38" borderId="27" xfId="0" applyNumberFormat="1" applyFill="1" applyBorder="1" applyProtection="1">
      <protection hidden="1"/>
    </xf>
    <xf numFmtId="170" fontId="0" fillId="28" borderId="0" xfId="30" applyNumberFormat="1" applyFont="1" applyFill="1" applyProtection="1">
      <protection hidden="1"/>
    </xf>
    <xf numFmtId="170" fontId="0" fillId="26" borderId="0" xfId="30" applyNumberFormat="1" applyFont="1" applyFill="1" applyProtection="1">
      <protection hidden="1"/>
    </xf>
    <xf numFmtId="170" fontId="0" fillId="28" borderId="0" xfId="0" applyNumberFormat="1" applyFill="1" applyProtection="1">
      <protection hidden="1"/>
    </xf>
    <xf numFmtId="170" fontId="0" fillId="26" borderId="0" xfId="0" applyNumberFormat="1" applyFill="1" applyProtection="1">
      <protection hidden="1"/>
    </xf>
    <xf numFmtId="170" fontId="0" fillId="38" borderId="0" xfId="0" applyNumberFormat="1" applyFill="1" applyProtection="1">
      <protection hidden="1"/>
    </xf>
    <xf numFmtId="182" fontId="0" fillId="28" borderId="0" xfId="0" applyNumberFormat="1" applyFill="1" applyProtection="1">
      <protection hidden="1"/>
    </xf>
    <xf numFmtId="182" fontId="0" fillId="26" borderId="0" xfId="0" applyNumberFormat="1" applyFill="1" applyProtection="1">
      <protection hidden="1"/>
    </xf>
    <xf numFmtId="182" fontId="0" fillId="38" borderId="0" xfId="0" applyNumberFormat="1" applyFill="1" applyProtection="1">
      <protection hidden="1"/>
    </xf>
    <xf numFmtId="0" fontId="53" fillId="28" borderId="0" xfId="0" applyFont="1" applyFill="1" applyProtection="1">
      <protection hidden="1"/>
    </xf>
    <xf numFmtId="0" fontId="53" fillId="26" borderId="0" xfId="0" applyFont="1" applyFill="1" applyProtection="1">
      <protection hidden="1"/>
    </xf>
    <xf numFmtId="0" fontId="53" fillId="38" borderId="0" xfId="0" applyFont="1" applyFill="1" applyProtection="1">
      <protection hidden="1"/>
    </xf>
    <xf numFmtId="2" fontId="13" fillId="0" borderId="14" xfId="0" applyNumberFormat="1" applyFont="1" applyBorder="1" applyAlignment="1" applyProtection="1">
      <alignment horizontal="center"/>
      <protection hidden="1"/>
    </xf>
    <xf numFmtId="0" fontId="5" fillId="28" borderId="0" xfId="0" applyFont="1" applyFill="1" applyProtection="1">
      <protection hidden="1"/>
    </xf>
    <xf numFmtId="0" fontId="5" fillId="26" borderId="29" xfId="0" applyFont="1" applyFill="1" applyBorder="1" applyAlignment="1" applyProtection="1">
      <alignment horizontal="center"/>
      <protection hidden="1"/>
    </xf>
    <xf numFmtId="168" fontId="0" fillId="0" borderId="0" xfId="0" applyNumberFormat="1" applyProtection="1">
      <protection hidden="1"/>
    </xf>
    <xf numFmtId="0" fontId="5" fillId="28" borderId="23" xfId="0" applyFont="1" applyFill="1" applyBorder="1" applyProtection="1">
      <protection hidden="1"/>
    </xf>
    <xf numFmtId="0" fontId="112" fillId="0" borderId="0" xfId="0" applyFont="1" applyProtection="1">
      <protection hidden="1"/>
    </xf>
    <xf numFmtId="0" fontId="0" fillId="20" borderId="14" xfId="0" applyFill="1" applyBorder="1" applyAlignment="1" applyProtection="1">
      <alignment horizontal="center"/>
      <protection hidden="1"/>
    </xf>
    <xf numFmtId="9" fontId="3" fillId="43" borderId="14" xfId="51" applyFont="1" applyFill="1" applyBorder="1" applyProtection="1">
      <protection hidden="1"/>
    </xf>
    <xf numFmtId="165" fontId="0" fillId="43" borderId="14" xfId="0" applyNumberFormat="1" applyFill="1" applyBorder="1" applyProtection="1">
      <protection hidden="1"/>
    </xf>
    <xf numFmtId="9" fontId="0" fillId="43" borderId="14" xfId="0" applyNumberFormat="1" applyFill="1" applyBorder="1" applyProtection="1">
      <protection hidden="1"/>
    </xf>
    <xf numFmtId="0" fontId="5" fillId="20" borderId="14" xfId="0" applyFont="1" applyFill="1" applyBorder="1" applyAlignment="1" applyProtection="1">
      <alignment horizontal="center"/>
      <protection hidden="1"/>
    </xf>
    <xf numFmtId="0" fontId="11" fillId="27" borderId="0" xfId="0" applyFont="1" applyFill="1" applyProtection="1">
      <protection hidden="1"/>
    </xf>
    <xf numFmtId="0" fontId="5" fillId="20" borderId="14" xfId="0" applyFont="1" applyFill="1" applyBorder="1" applyProtection="1">
      <protection hidden="1"/>
    </xf>
    <xf numFmtId="170" fontId="5" fillId="20" borderId="14" xfId="30" applyNumberFormat="1" applyFont="1" applyFill="1" applyBorder="1" applyAlignment="1" applyProtection="1">
      <alignment horizontal="center"/>
      <protection hidden="1"/>
    </xf>
    <xf numFmtId="0" fontId="9" fillId="22" borderId="14" xfId="0" applyFont="1" applyFill="1" applyBorder="1" applyProtection="1">
      <protection hidden="1"/>
    </xf>
    <xf numFmtId="2" fontId="0" fillId="0" borderId="14" xfId="0" applyNumberFormat="1" applyBorder="1" applyAlignment="1" applyProtection="1">
      <alignment horizontal="center"/>
      <protection hidden="1"/>
    </xf>
    <xf numFmtId="170" fontId="0" fillId="0" borderId="14" xfId="0" applyNumberFormat="1" applyBorder="1" applyProtection="1">
      <protection hidden="1"/>
    </xf>
    <xf numFmtId="170" fontId="0" fillId="0" borderId="14" xfId="30" applyNumberFormat="1" applyFont="1" applyFill="1" applyBorder="1" applyProtection="1">
      <protection hidden="1"/>
    </xf>
    <xf numFmtId="10" fontId="0" fillId="0" borderId="14" xfId="51" applyNumberFormat="1" applyFont="1" applyFill="1" applyBorder="1" applyProtection="1">
      <protection hidden="1"/>
    </xf>
    <xf numFmtId="170" fontId="3" fillId="46" borderId="14" xfId="30" applyNumberFormat="1" applyFont="1" applyFill="1" applyBorder="1" applyProtection="1">
      <protection hidden="1"/>
    </xf>
    <xf numFmtId="0" fontId="0" fillId="46" borderId="14" xfId="0" applyFill="1" applyBorder="1" applyProtection="1">
      <protection hidden="1"/>
    </xf>
    <xf numFmtId="0" fontId="3" fillId="46" borderId="14" xfId="0" applyFont="1" applyFill="1" applyBorder="1" applyAlignment="1" applyProtection="1">
      <alignment horizontal="center"/>
      <protection hidden="1"/>
    </xf>
    <xf numFmtId="170" fontId="3" fillId="0" borderId="14" xfId="0" applyNumberFormat="1" applyFont="1" applyBorder="1" applyAlignment="1" applyProtection="1">
      <alignment horizontal="center"/>
      <protection hidden="1"/>
    </xf>
    <xf numFmtId="170" fontId="0" fillId="46" borderId="14" xfId="0" applyNumberFormat="1" applyFill="1" applyBorder="1" applyProtection="1">
      <protection hidden="1"/>
    </xf>
    <xf numFmtId="0" fontId="5" fillId="0" borderId="0" xfId="0" applyFont="1" applyAlignment="1" applyProtection="1">
      <alignment horizontal="right"/>
      <protection hidden="1"/>
    </xf>
    <xf numFmtId="0" fontId="5" fillId="33" borderId="14" xfId="0" applyFont="1" applyFill="1" applyBorder="1" applyAlignment="1" applyProtection="1">
      <alignment horizontal="center"/>
      <protection hidden="1"/>
    </xf>
    <xf numFmtId="0" fontId="3" fillId="0" borderId="14" xfId="0" applyFont="1" applyBorder="1" applyProtection="1">
      <protection hidden="1"/>
    </xf>
    <xf numFmtId="0" fontId="3" fillId="0" borderId="14" xfId="0" applyFont="1" applyBorder="1" applyAlignment="1" applyProtection="1">
      <alignment wrapText="1"/>
      <protection hidden="1"/>
    </xf>
    <xf numFmtId="166" fontId="0" fillId="0" borderId="14" xfId="0" applyNumberFormat="1" applyBorder="1" applyProtection="1">
      <protection hidden="1"/>
    </xf>
    <xf numFmtId="0" fontId="3" fillId="0" borderId="14" xfId="59" applyBorder="1"/>
    <xf numFmtId="173" fontId="3" fillId="0" borderId="14" xfId="59" applyNumberFormat="1" applyBorder="1"/>
    <xf numFmtId="0" fontId="86" fillId="50" borderId="28" xfId="0" applyFont="1" applyFill="1" applyBorder="1" applyAlignment="1" applyProtection="1">
      <alignment horizontal="center" vertical="center"/>
      <protection locked="0" hidden="1"/>
    </xf>
    <xf numFmtId="177" fontId="86" fillId="50" borderId="28" xfId="30" applyNumberFormat="1" applyFont="1" applyFill="1" applyBorder="1" applyAlignment="1" applyProtection="1">
      <alignment vertical="center"/>
      <protection locked="0" hidden="1"/>
    </xf>
    <xf numFmtId="0" fontId="86" fillId="0" borderId="111" xfId="0" applyFont="1" applyBorder="1" applyAlignment="1" applyProtection="1">
      <alignment horizontal="left" vertical="center" indent="1"/>
      <protection hidden="1"/>
    </xf>
    <xf numFmtId="0" fontId="86" fillId="0" borderId="0" xfId="0" applyFont="1" applyAlignment="1" applyProtection="1">
      <alignment horizontal="left" vertical="center" indent="1"/>
      <protection hidden="1"/>
    </xf>
    <xf numFmtId="0" fontId="86" fillId="0" borderId="0" xfId="0" applyFont="1" applyAlignment="1" applyProtection="1">
      <alignment horizontal="center" vertical="center" wrapText="1"/>
      <protection hidden="1"/>
    </xf>
    <xf numFmtId="0" fontId="96" fillId="0" borderId="52" xfId="0" applyFont="1" applyBorder="1" applyAlignment="1" applyProtection="1">
      <alignment horizontal="left" vertical="top" indent="1"/>
      <protection hidden="1"/>
    </xf>
    <xf numFmtId="0" fontId="96" fillId="0" borderId="0" xfId="0" applyFont="1" applyAlignment="1" applyProtection="1">
      <alignment horizontal="left" vertical="top" indent="1"/>
      <protection hidden="1"/>
    </xf>
    <xf numFmtId="0" fontId="97" fillId="36" borderId="52" xfId="30" applyNumberFormat="1" applyFont="1" applyFill="1" applyBorder="1" applyAlignment="1" applyProtection="1">
      <alignment horizontal="left" vertical="center" indent="1"/>
      <protection hidden="1"/>
    </xf>
    <xf numFmtId="170" fontId="0" fillId="0" borderId="0" xfId="0" applyNumberFormat="1" applyProtection="1">
      <protection hidden="1"/>
    </xf>
    <xf numFmtId="172" fontId="13" fillId="22" borderId="0" xfId="0" applyNumberFormat="1" applyFont="1" applyFill="1" applyProtection="1">
      <protection hidden="1"/>
    </xf>
    <xf numFmtId="168" fontId="13" fillId="22" borderId="0" xfId="0" applyNumberFormat="1" applyFont="1" applyFill="1" applyProtection="1">
      <protection hidden="1"/>
    </xf>
    <xf numFmtId="0" fontId="134" fillId="0" borderId="0" xfId="0" applyFont="1" applyProtection="1">
      <protection locked="0" hidden="1"/>
    </xf>
    <xf numFmtId="0" fontId="22" fillId="51" borderId="0" xfId="0" applyFont="1" applyFill="1" applyAlignment="1" applyProtection="1">
      <alignment horizontal="center"/>
      <protection hidden="1"/>
    </xf>
    <xf numFmtId="0" fontId="22" fillId="51" borderId="0" xfId="0" applyFont="1" applyFill="1" applyProtection="1">
      <protection hidden="1"/>
    </xf>
    <xf numFmtId="168" fontId="22" fillId="51" borderId="0" xfId="30" applyFont="1" applyFill="1" applyBorder="1" applyAlignment="1" applyProtection="1">
      <alignment horizontal="center"/>
      <protection hidden="1"/>
    </xf>
    <xf numFmtId="0" fontId="121" fillId="40" borderId="0" xfId="0" applyFont="1" applyFill="1" applyAlignment="1" applyProtection="1">
      <alignment vertical="top" wrapText="1"/>
      <protection hidden="1"/>
    </xf>
    <xf numFmtId="0" fontId="121" fillId="40" borderId="53" xfId="0" applyFont="1" applyFill="1" applyBorder="1" applyAlignment="1" applyProtection="1">
      <alignment vertical="top" wrapText="1"/>
      <protection hidden="1"/>
    </xf>
    <xf numFmtId="0" fontId="121" fillId="40" borderId="161" xfId="0" applyFont="1" applyFill="1" applyBorder="1" applyAlignment="1" applyProtection="1">
      <alignment vertical="top" wrapText="1"/>
      <protection hidden="1"/>
    </xf>
    <xf numFmtId="0" fontId="13" fillId="0" borderId="0" xfId="0" applyFont="1" applyAlignment="1" applyProtection="1">
      <alignment horizontal="center" vertical="center"/>
      <protection hidden="1"/>
    </xf>
    <xf numFmtId="177" fontId="86" fillId="36" borderId="143" xfId="30" applyNumberFormat="1" applyFont="1" applyFill="1" applyBorder="1" applyAlignment="1" applyProtection="1">
      <alignment vertical="center"/>
      <protection hidden="1"/>
    </xf>
    <xf numFmtId="177" fontId="86" fillId="36" borderId="28" xfId="30" applyNumberFormat="1" applyFont="1" applyFill="1" applyBorder="1" applyAlignment="1" applyProtection="1">
      <alignment horizontal="center" vertical="center"/>
      <protection locked="0" hidden="1"/>
    </xf>
    <xf numFmtId="0" fontId="93" fillId="0" borderId="0" xfId="51" applyNumberFormat="1" applyFont="1" applyFill="1" applyBorder="1" applyAlignment="1" applyProtection="1">
      <alignment horizontal="left"/>
      <protection locked="0" hidden="1"/>
    </xf>
    <xf numFmtId="3" fontId="136" fillId="51" borderId="53" xfId="30" applyNumberFormat="1" applyFont="1" applyFill="1" applyBorder="1" applyAlignment="1" applyProtection="1">
      <alignment horizontal="center"/>
      <protection hidden="1"/>
    </xf>
    <xf numFmtId="1" fontId="86" fillId="36" borderId="28" xfId="0" applyNumberFormat="1" applyFont="1" applyFill="1" applyBorder="1" applyAlignment="1" applyProtection="1">
      <alignment horizontal="center" vertical="center"/>
      <protection locked="0" hidden="1"/>
    </xf>
    <xf numFmtId="176" fontId="22" fillId="0" borderId="0" xfId="0" applyNumberFormat="1" applyFont="1" applyAlignment="1" applyProtection="1">
      <alignment horizontal="center"/>
      <protection hidden="1"/>
    </xf>
    <xf numFmtId="3" fontId="86" fillId="36" borderId="28" xfId="30" applyNumberFormat="1" applyFont="1" applyFill="1" applyBorder="1" applyAlignment="1" applyProtection="1">
      <alignment horizontal="center" vertical="center"/>
      <protection locked="0" hidden="1"/>
    </xf>
    <xf numFmtId="38" fontId="86" fillId="36" borderId="28" xfId="30" applyNumberFormat="1" applyFont="1" applyFill="1" applyBorder="1" applyAlignment="1" applyProtection="1">
      <alignment horizontal="center" vertical="center"/>
      <protection locked="0" hidden="1"/>
    </xf>
    <xf numFmtId="10" fontId="93" fillId="0" borderId="162" xfId="51" applyNumberFormat="1" applyFont="1" applyFill="1" applyBorder="1" applyAlignment="1" applyProtection="1">
      <alignment vertical="center"/>
      <protection hidden="1"/>
    </xf>
    <xf numFmtId="0" fontId="3" fillId="40" borderId="0" xfId="0" applyFont="1" applyFill="1" applyProtection="1">
      <protection hidden="1"/>
    </xf>
    <xf numFmtId="170" fontId="93" fillId="0" borderId="50" xfId="30" applyNumberFormat="1" applyFont="1" applyFill="1" applyBorder="1" applyAlignment="1" applyProtection="1">
      <alignment horizontal="right" vertical="center"/>
      <protection hidden="1"/>
    </xf>
    <xf numFmtId="2" fontId="53" fillId="0" borderId="50" xfId="30" applyNumberFormat="1" applyFont="1" applyFill="1" applyBorder="1" applyAlignment="1" applyProtection="1">
      <alignment horizontal="right" vertical="center" indent="1"/>
      <protection hidden="1"/>
    </xf>
    <xf numFmtId="0" fontId="28" fillId="0" borderId="0" xfId="30" applyNumberFormat="1" applyFont="1" applyFill="1" applyBorder="1" applyAlignment="1" applyProtection="1">
      <alignment horizontal="left" vertical="top" wrapText="1"/>
      <protection hidden="1"/>
    </xf>
    <xf numFmtId="0" fontId="89" fillId="43" borderId="14" xfId="47" applyFill="1" applyBorder="1" applyAlignment="1">
      <alignment horizontal="center"/>
    </xf>
    <xf numFmtId="0" fontId="3" fillId="43" borderId="14" xfId="59" applyFill="1" applyBorder="1"/>
    <xf numFmtId="173" fontId="3" fillId="43" borderId="14" xfId="59" applyNumberFormat="1" applyFill="1" applyBorder="1"/>
    <xf numFmtId="0" fontId="89" fillId="43" borderId="14" xfId="46" applyFill="1" applyBorder="1"/>
    <xf numFmtId="0" fontId="91" fillId="36" borderId="53" xfId="0" applyFont="1" applyFill="1" applyBorder="1" applyProtection="1">
      <protection locked="0" hidden="1"/>
    </xf>
    <xf numFmtId="0" fontId="0" fillId="0" borderId="0" xfId="0" applyAlignment="1">
      <alignment horizontal="left" vertical="top" wrapText="1"/>
    </xf>
    <xf numFmtId="0" fontId="86" fillId="0" borderId="0" xfId="30" applyNumberFormat="1" applyFont="1" applyFill="1" applyBorder="1" applyAlignment="1" applyProtection="1">
      <alignment horizontal="left" vertical="top" wrapText="1"/>
      <protection hidden="1"/>
    </xf>
    <xf numFmtId="0" fontId="138" fillId="0" borderId="95" xfId="30" applyNumberFormat="1" applyFont="1" applyFill="1" applyBorder="1" applyAlignment="1" applyProtection="1">
      <alignment horizontal="left" vertical="top" wrapText="1"/>
      <protection hidden="1"/>
    </xf>
    <xf numFmtId="0" fontId="28" fillId="0" borderId="95" xfId="30" applyNumberFormat="1" applyFont="1" applyFill="1" applyBorder="1" applyAlignment="1" applyProtection="1">
      <alignment horizontal="left" vertical="top" wrapText="1"/>
      <protection hidden="1"/>
    </xf>
    <xf numFmtId="0" fontId="139" fillId="0" borderId="0" xfId="0" applyFont="1" applyAlignment="1">
      <alignment horizontal="left" vertical="top" wrapText="1"/>
    </xf>
    <xf numFmtId="0" fontId="86" fillId="0" borderId="63" xfId="0" applyFont="1" applyBorder="1" applyAlignment="1" applyProtection="1">
      <alignment horizontal="left" vertical="top" indent="1"/>
      <protection hidden="1"/>
    </xf>
    <xf numFmtId="0" fontId="28" fillId="0" borderId="64" xfId="30" applyNumberFormat="1" applyFont="1" applyFill="1" applyBorder="1" applyAlignment="1" applyProtection="1">
      <alignment horizontal="left" vertical="center" wrapText="1"/>
      <protection hidden="1"/>
    </xf>
    <xf numFmtId="0" fontId="28" fillId="0" borderId="64" xfId="30" applyNumberFormat="1" applyFont="1" applyFill="1" applyBorder="1" applyAlignment="1" applyProtection="1">
      <alignment horizontal="left" vertical="top" wrapText="1"/>
      <protection hidden="1"/>
    </xf>
    <xf numFmtId="0" fontId="141" fillId="0" borderId="0" xfId="0" applyFont="1" applyAlignment="1">
      <alignment horizontal="left" vertical="top" wrapText="1"/>
    </xf>
    <xf numFmtId="170" fontId="86" fillId="0" borderId="163" xfId="30" applyNumberFormat="1" applyFont="1" applyFill="1" applyBorder="1" applyAlignment="1" applyProtection="1">
      <alignment horizontal="center" vertical="center"/>
      <protection hidden="1"/>
    </xf>
    <xf numFmtId="0" fontId="142" fillId="0" borderId="0" xfId="0" applyFont="1" applyProtection="1">
      <protection hidden="1"/>
    </xf>
    <xf numFmtId="0" fontId="142" fillId="0" borderId="0" xfId="0" applyFont="1" applyAlignment="1" applyProtection="1">
      <alignment vertical="center"/>
      <protection hidden="1"/>
    </xf>
    <xf numFmtId="1" fontId="123" fillId="0" borderId="0" xfId="0" applyNumberFormat="1" applyFont="1" applyProtection="1">
      <protection hidden="1"/>
    </xf>
    <xf numFmtId="0" fontId="142" fillId="0" borderId="0" xfId="0" applyFont="1" applyAlignment="1" applyProtection="1">
      <alignment vertical="top"/>
      <protection hidden="1"/>
    </xf>
    <xf numFmtId="0" fontId="143" fillId="0" borderId="0" xfId="0" applyFont="1" applyProtection="1">
      <protection hidden="1"/>
    </xf>
    <xf numFmtId="0" fontId="123" fillId="0" borderId="0" xfId="0" applyFont="1" applyAlignment="1" applyProtection="1">
      <alignment horizontal="center"/>
      <protection hidden="1"/>
    </xf>
    <xf numFmtId="0" fontId="144" fillId="0" borderId="0" xfId="0" applyFont="1" applyAlignment="1" applyProtection="1">
      <alignment horizontal="center"/>
      <protection hidden="1"/>
    </xf>
    <xf numFmtId="166" fontId="123" fillId="0" borderId="0" xfId="0" applyNumberFormat="1" applyFont="1" applyAlignment="1" applyProtection="1">
      <alignment horizontal="center"/>
      <protection hidden="1"/>
    </xf>
    <xf numFmtId="0" fontId="123" fillId="0" borderId="0" xfId="0" applyFont="1" applyAlignment="1" applyProtection="1">
      <alignment horizontal="center" vertical="center"/>
      <protection hidden="1"/>
    </xf>
    <xf numFmtId="0" fontId="123" fillId="0" borderId="0" xfId="0" applyFont="1" applyAlignment="1" applyProtection="1">
      <alignment horizontal="left"/>
      <protection hidden="1"/>
    </xf>
    <xf numFmtId="170" fontId="123" fillId="0" borderId="0" xfId="30" applyNumberFormat="1" applyFont="1" applyFill="1" applyAlignment="1" applyProtection="1">
      <alignment horizontal="center"/>
      <protection hidden="1"/>
    </xf>
    <xf numFmtId="0" fontId="123" fillId="0" borderId="0" xfId="0" applyFont="1" applyAlignment="1" applyProtection="1">
      <alignment horizontal="center" vertical="top"/>
      <protection hidden="1"/>
    </xf>
    <xf numFmtId="0" fontId="142" fillId="0" borderId="0" xfId="0" applyFont="1" applyAlignment="1" applyProtection="1">
      <alignment horizontal="center"/>
      <protection hidden="1"/>
    </xf>
    <xf numFmtId="9" fontId="123" fillId="0" borderId="0" xfId="0" applyNumberFormat="1" applyFont="1" applyAlignment="1" applyProtection="1">
      <alignment horizontal="center"/>
      <protection hidden="1"/>
    </xf>
    <xf numFmtId="172" fontId="123" fillId="0" borderId="0" xfId="30" applyNumberFormat="1" applyFont="1" applyFill="1" applyAlignment="1" applyProtection="1">
      <alignment horizontal="center"/>
      <protection hidden="1"/>
    </xf>
    <xf numFmtId="170" fontId="123" fillId="0" borderId="0" xfId="0" applyNumberFormat="1" applyFont="1" applyAlignment="1" applyProtection="1">
      <alignment horizontal="center"/>
      <protection hidden="1"/>
    </xf>
    <xf numFmtId="0" fontId="143" fillId="0" borderId="0" xfId="0" applyFont="1" applyAlignment="1" applyProtection="1">
      <alignment horizontal="center"/>
      <protection hidden="1"/>
    </xf>
    <xf numFmtId="0" fontId="145" fillId="0" borderId="0" xfId="0" applyFont="1"/>
    <xf numFmtId="0" fontId="146" fillId="0" borderId="0" xfId="0" applyFont="1"/>
    <xf numFmtId="0" fontId="123" fillId="0" borderId="0" xfId="0" applyFont="1" applyAlignment="1">
      <alignment horizontal="right"/>
    </xf>
    <xf numFmtId="0" fontId="123" fillId="0" borderId="0" xfId="0" applyFont="1"/>
    <xf numFmtId="1" fontId="118" fillId="42" borderId="164" xfId="56" applyNumberFormat="1" applyFont="1" applyFill="1" applyBorder="1" applyAlignment="1">
      <alignment horizontal="center" wrapText="1"/>
    </xf>
    <xf numFmtId="37" fontId="118" fillId="42" borderId="164" xfId="56" applyNumberFormat="1" applyFont="1" applyFill="1" applyBorder="1" applyAlignment="1">
      <alignment horizontal="center" wrapText="1"/>
    </xf>
    <xf numFmtId="9" fontId="119" fillId="41" borderId="137" xfId="51" applyFont="1" applyFill="1" applyBorder="1" applyAlignment="1">
      <alignment horizontal="center" wrapText="1"/>
    </xf>
    <xf numFmtId="9" fontId="118" fillId="42" borderId="164" xfId="51" applyFont="1" applyFill="1" applyBorder="1" applyAlignment="1">
      <alignment horizontal="center" wrapText="1"/>
    </xf>
    <xf numFmtId="0" fontId="0" fillId="0" borderId="0" xfId="0" applyAlignment="1">
      <alignment horizontal="center" vertical="center"/>
    </xf>
    <xf numFmtId="9" fontId="119" fillId="52" borderId="137" xfId="51" applyFont="1" applyFill="1" applyBorder="1" applyAlignment="1">
      <alignment horizontal="center" vertical="center" wrapText="1"/>
    </xf>
    <xf numFmtId="9" fontId="119" fillId="41" borderId="137" xfId="51" applyFont="1" applyFill="1" applyBorder="1" applyAlignment="1">
      <alignment horizontal="center" vertical="center" wrapText="1"/>
    </xf>
    <xf numFmtId="9" fontId="118" fillId="42" borderId="164" xfId="51" applyFont="1" applyFill="1" applyBorder="1" applyAlignment="1">
      <alignment horizontal="center" vertical="center" wrapText="1"/>
    </xf>
    <xf numFmtId="0" fontId="53" fillId="0" borderId="14" xfId="0" applyFont="1" applyBorder="1"/>
    <xf numFmtId="0" fontId="13" fillId="0" borderId="25" xfId="0" applyFont="1" applyBorder="1"/>
    <xf numFmtId="0" fontId="13" fillId="23" borderId="14" xfId="0" applyFont="1" applyFill="1" applyBorder="1"/>
    <xf numFmtId="9" fontId="147" fillId="0" borderId="0" xfId="0" applyNumberFormat="1" applyFont="1" applyAlignment="1">
      <alignment horizontal="left" vertical="top"/>
    </xf>
    <xf numFmtId="0" fontId="12" fillId="31" borderId="0" xfId="0" applyFont="1" applyFill="1" applyAlignment="1">
      <alignment horizontal="center"/>
    </xf>
    <xf numFmtId="0" fontId="26" fillId="31" borderId="84" xfId="0" applyFont="1" applyFill="1" applyBorder="1" applyAlignment="1">
      <alignment horizontal="center"/>
    </xf>
    <xf numFmtId="0" fontId="26" fillId="31" borderId="85" xfId="0" applyFont="1" applyFill="1" applyBorder="1" applyAlignment="1">
      <alignment horizontal="center"/>
    </xf>
    <xf numFmtId="0" fontId="12" fillId="31" borderId="85" xfId="0" applyFont="1" applyFill="1" applyBorder="1" applyAlignment="1">
      <alignment horizontal="center"/>
    </xf>
    <xf numFmtId="0" fontId="11" fillId="31" borderId="86" xfId="0" applyFont="1" applyFill="1" applyBorder="1" applyAlignment="1">
      <alignment horizontal="center"/>
    </xf>
    <xf numFmtId="0" fontId="6" fillId="35" borderId="0" xfId="0" applyFont="1" applyFill="1" applyAlignment="1">
      <alignment horizontal="center"/>
    </xf>
    <xf numFmtId="0" fontId="9" fillId="35" borderId="53" xfId="0" applyFont="1" applyFill="1" applyBorder="1" applyAlignment="1">
      <alignment horizontal="center"/>
    </xf>
    <xf numFmtId="0" fontId="6" fillId="0" borderId="0" xfId="0" applyFont="1" applyAlignment="1">
      <alignment horizontal="center"/>
    </xf>
    <xf numFmtId="0" fontId="9" fillId="0" borderId="53" xfId="0" applyFont="1" applyBorder="1" applyAlignment="1">
      <alignment horizontal="center"/>
    </xf>
    <xf numFmtId="0" fontId="28" fillId="0" borderId="0" xfId="0" applyFont="1" applyAlignment="1">
      <alignment horizontal="center"/>
    </xf>
    <xf numFmtId="0" fontId="94" fillId="0" borderId="53" xfId="0" applyFont="1" applyBorder="1" applyAlignment="1">
      <alignment horizontal="center"/>
    </xf>
    <xf numFmtId="0" fontId="117" fillId="0" borderId="0" xfId="0" applyFont="1" applyAlignment="1" applyProtection="1">
      <alignment horizontal="center" vertical="center"/>
      <protection hidden="1"/>
    </xf>
    <xf numFmtId="0" fontId="22" fillId="0" borderId="0" xfId="0" applyFont="1" applyAlignment="1" applyProtection="1">
      <alignment vertical="center"/>
      <protection hidden="1"/>
    </xf>
    <xf numFmtId="0" fontId="117" fillId="0" borderId="0" xfId="0" applyFont="1" applyAlignment="1" applyProtection="1">
      <alignment horizontal="center" vertical="center" wrapText="1"/>
      <protection hidden="1"/>
    </xf>
    <xf numFmtId="0" fontId="5" fillId="0" borderId="0" xfId="0" applyFont="1" applyProtection="1">
      <protection hidden="1"/>
    </xf>
    <xf numFmtId="0" fontId="20" fillId="0" borderId="0" xfId="0" applyFont="1" applyAlignment="1" applyProtection="1">
      <alignment horizontal="center" vertical="center"/>
      <protection hidden="1"/>
    </xf>
    <xf numFmtId="0" fontId="29" fillId="0" borderId="52" xfId="0" applyFont="1" applyBorder="1" applyAlignment="1" applyProtection="1">
      <alignment vertical="top" wrapText="1"/>
      <protection hidden="1"/>
    </xf>
    <xf numFmtId="0" fontId="20" fillId="22" borderId="0" xfId="0" applyFont="1" applyFill="1" applyAlignment="1" applyProtection="1">
      <alignment vertical="center"/>
      <protection hidden="1"/>
    </xf>
    <xf numFmtId="0" fontId="25" fillId="22" borderId="0" xfId="0" applyFont="1" applyFill="1" applyProtection="1">
      <protection hidden="1"/>
    </xf>
    <xf numFmtId="22" fontId="7" fillId="0" borderId="0" xfId="0" applyNumberFormat="1" applyFont="1" applyProtection="1">
      <protection hidden="1"/>
    </xf>
    <xf numFmtId="0" fontId="7" fillId="0" borderId="0" xfId="0" applyFont="1" applyProtection="1">
      <protection hidden="1"/>
    </xf>
    <xf numFmtId="170" fontId="3" fillId="38" borderId="19" xfId="30" applyNumberFormat="1" applyFont="1" applyFill="1" applyBorder="1" applyProtection="1">
      <protection hidden="1"/>
    </xf>
    <xf numFmtId="170" fontId="3" fillId="38" borderId="22" xfId="30" applyNumberFormat="1" applyFont="1" applyFill="1" applyBorder="1" applyProtection="1">
      <protection hidden="1"/>
    </xf>
    <xf numFmtId="170" fontId="3" fillId="38" borderId="24" xfId="30" applyNumberFormat="1" applyFont="1" applyFill="1" applyBorder="1" applyProtection="1">
      <protection hidden="1"/>
    </xf>
    <xf numFmtId="170" fontId="3" fillId="38" borderId="0" xfId="30" applyNumberFormat="1" applyFont="1" applyFill="1" applyProtection="1">
      <protection hidden="1"/>
    </xf>
    <xf numFmtId="0" fontId="13" fillId="28" borderId="0" xfId="0" applyFont="1" applyFill="1" applyProtection="1">
      <protection hidden="1"/>
    </xf>
    <xf numFmtId="170" fontId="13" fillId="28" borderId="29" xfId="30" applyNumberFormat="1" applyFont="1" applyFill="1" applyBorder="1" applyProtection="1">
      <protection hidden="1"/>
    </xf>
    <xf numFmtId="0" fontId="13" fillId="26" borderId="0" xfId="0" applyFont="1" applyFill="1" applyProtection="1">
      <protection hidden="1"/>
    </xf>
    <xf numFmtId="170" fontId="13" fillId="26" borderId="29" xfId="30" applyNumberFormat="1" applyFont="1" applyFill="1" applyBorder="1" applyProtection="1">
      <protection hidden="1"/>
    </xf>
    <xf numFmtId="0" fontId="13" fillId="38" borderId="0" xfId="0" applyFont="1" applyFill="1" applyProtection="1">
      <protection hidden="1"/>
    </xf>
    <xf numFmtId="170" fontId="13" fillId="38" borderId="29" xfId="30" applyNumberFormat="1" applyFont="1" applyFill="1" applyBorder="1" applyProtection="1">
      <protection hidden="1"/>
    </xf>
    <xf numFmtId="0" fontId="13" fillId="28" borderId="17" xfId="0" applyFont="1" applyFill="1" applyBorder="1" applyProtection="1">
      <protection hidden="1"/>
    </xf>
    <xf numFmtId="0" fontId="13" fillId="28" borderId="19" xfId="0" applyFont="1" applyFill="1" applyBorder="1" applyProtection="1">
      <protection hidden="1"/>
    </xf>
    <xf numFmtId="0" fontId="13" fillId="28" borderId="14" xfId="0" applyFont="1" applyFill="1" applyBorder="1" applyProtection="1">
      <protection hidden="1"/>
    </xf>
    <xf numFmtId="170" fontId="13" fillId="28" borderId="14" xfId="30" applyNumberFormat="1" applyFont="1" applyFill="1" applyBorder="1" applyProtection="1">
      <protection hidden="1"/>
    </xf>
    <xf numFmtId="171" fontId="13" fillId="28" borderId="14" xfId="51" applyNumberFormat="1" applyFont="1" applyFill="1" applyBorder="1" applyProtection="1">
      <protection hidden="1"/>
    </xf>
    <xf numFmtId="0" fontId="7" fillId="28" borderId="0" xfId="0" applyFont="1" applyFill="1" applyProtection="1">
      <protection hidden="1"/>
    </xf>
    <xf numFmtId="0" fontId="22" fillId="31" borderId="0" xfId="0" applyFont="1" applyFill="1" applyAlignment="1" applyProtection="1">
      <alignment horizontal="left"/>
      <protection hidden="1"/>
    </xf>
    <xf numFmtId="0" fontId="25" fillId="0" borderId="0" xfId="0" applyFont="1"/>
    <xf numFmtId="0" fontId="18" fillId="0" borderId="0" xfId="0" applyFont="1" applyAlignment="1">
      <alignment horizontal="left"/>
    </xf>
    <xf numFmtId="0" fontId="13" fillId="28" borderId="0" xfId="0" applyFont="1" applyFill="1"/>
    <xf numFmtId="170" fontId="13" fillId="28" borderId="29" xfId="30" applyNumberFormat="1" applyFont="1" applyFill="1" applyBorder="1" applyProtection="1"/>
    <xf numFmtId="0" fontId="13" fillId="26" borderId="0" xfId="0" applyFont="1" applyFill="1"/>
    <xf numFmtId="170" fontId="13" fillId="26" borderId="29" xfId="30" applyNumberFormat="1" applyFont="1" applyFill="1" applyBorder="1" applyProtection="1"/>
    <xf numFmtId="0" fontId="13" fillId="28" borderId="17" xfId="0" applyFont="1" applyFill="1" applyBorder="1"/>
    <xf numFmtId="0" fontId="13" fillId="28" borderId="19" xfId="0" applyFont="1" applyFill="1" applyBorder="1"/>
    <xf numFmtId="0" fontId="13" fillId="28" borderId="14" xfId="0" applyFont="1" applyFill="1" applyBorder="1"/>
    <xf numFmtId="170" fontId="13" fillId="28" borderId="14" xfId="30" applyNumberFormat="1" applyFont="1" applyFill="1" applyBorder="1" applyProtection="1"/>
    <xf numFmtId="9" fontId="13" fillId="28" borderId="14" xfId="51" applyFont="1" applyFill="1" applyBorder="1" applyProtection="1"/>
    <xf numFmtId="0" fontId="7" fillId="28" borderId="0" xfId="0" applyFont="1" applyFill="1"/>
    <xf numFmtId="0" fontId="25" fillId="0" borderId="0" xfId="0" applyFont="1" applyAlignment="1">
      <alignment horizontal="right"/>
    </xf>
    <xf numFmtId="0" fontId="6" fillId="25" borderId="0" xfId="0" applyFont="1" applyFill="1" applyProtection="1">
      <protection locked="0"/>
    </xf>
    <xf numFmtId="179" fontId="6" fillId="0" borderId="0" xfId="0" applyNumberFormat="1" applyFont="1"/>
    <xf numFmtId="180" fontId="6" fillId="0" borderId="0" xfId="0" applyNumberFormat="1" applyFont="1"/>
    <xf numFmtId="0" fontId="3" fillId="0" borderId="0" xfId="0" applyFont="1" applyAlignment="1" applyProtection="1">
      <alignment vertical="center"/>
      <protection hidden="1"/>
    </xf>
    <xf numFmtId="0" fontId="6" fillId="0" borderId="14" xfId="0" applyFont="1" applyBorder="1" applyAlignment="1" applyProtection="1">
      <alignment horizontal="center"/>
      <protection locked="0"/>
    </xf>
    <xf numFmtId="0" fontId="6" fillId="0" borderId="14" xfId="0" applyFont="1" applyBorder="1"/>
    <xf numFmtId="0" fontId="22" fillId="19" borderId="14" xfId="0" applyFont="1" applyFill="1" applyBorder="1" applyAlignment="1" applyProtection="1">
      <alignment horizontal="left" indent="1"/>
      <protection hidden="1"/>
    </xf>
    <xf numFmtId="170" fontId="22" fillId="19" borderId="17" xfId="30" applyNumberFormat="1" applyFont="1" applyFill="1" applyBorder="1" applyProtection="1">
      <protection hidden="1"/>
    </xf>
    <xf numFmtId="170" fontId="22" fillId="19" borderId="14" xfId="30" applyNumberFormat="1" applyFont="1" applyFill="1" applyBorder="1" applyAlignment="1" applyProtection="1">
      <alignment horizontal="center"/>
      <protection hidden="1"/>
    </xf>
    <xf numFmtId="170" fontId="54" fillId="19" borderId="14" xfId="30" applyNumberFormat="1" applyFont="1" applyFill="1" applyBorder="1" applyAlignment="1" applyProtection="1">
      <alignment horizontal="left" indent="1"/>
      <protection hidden="1"/>
    </xf>
    <xf numFmtId="170" fontId="54" fillId="19" borderId="17" xfId="30" applyNumberFormat="1" applyFont="1" applyFill="1" applyBorder="1" applyProtection="1">
      <protection hidden="1"/>
    </xf>
    <xf numFmtId="9" fontId="54" fillId="19" borderId="14" xfId="51" applyFont="1" applyFill="1" applyBorder="1" applyAlignment="1" applyProtection="1">
      <alignment horizontal="center"/>
      <protection hidden="1"/>
    </xf>
    <xf numFmtId="170" fontId="54" fillId="19" borderId="14" xfId="30" applyNumberFormat="1" applyFont="1" applyFill="1" applyBorder="1" applyAlignment="1" applyProtection="1">
      <alignment horizontal="center"/>
      <protection hidden="1"/>
    </xf>
    <xf numFmtId="10" fontId="54" fillId="19" borderId="14" xfId="51" applyNumberFormat="1" applyFont="1" applyFill="1" applyBorder="1" applyAlignment="1" applyProtection="1">
      <alignment horizontal="center"/>
      <protection hidden="1"/>
    </xf>
    <xf numFmtId="170" fontId="54" fillId="31" borderId="17" xfId="30" applyNumberFormat="1" applyFont="1" applyFill="1" applyBorder="1" applyProtection="1">
      <protection hidden="1"/>
    </xf>
    <xf numFmtId="0" fontId="17" fillId="0" borderId="14" xfId="45" applyFont="1" applyBorder="1" applyAlignment="1">
      <alignment vertical="top" wrapText="1"/>
    </xf>
    <xf numFmtId="0" fontId="16" fillId="39" borderId="14" xfId="45" applyFont="1" applyFill="1" applyBorder="1" applyAlignment="1">
      <alignment horizontal="right" vertical="center" wrapText="1"/>
    </xf>
    <xf numFmtId="0" fontId="16" fillId="39" borderId="14" xfId="0" applyFont="1" applyFill="1" applyBorder="1" applyAlignment="1">
      <alignment horizontal="left" vertical="top"/>
    </xf>
    <xf numFmtId="10" fontId="89" fillId="0" borderId="89" xfId="51" applyNumberFormat="1" applyFont="1" applyFill="1" applyBorder="1" applyProtection="1"/>
    <xf numFmtId="170" fontId="86" fillId="40" borderId="111" xfId="30" applyNumberFormat="1" applyFont="1" applyFill="1" applyBorder="1" applyAlignment="1" applyProtection="1">
      <alignment vertical="center"/>
      <protection hidden="1"/>
    </xf>
    <xf numFmtId="166" fontId="5" fillId="0" borderId="14" xfId="0" applyNumberFormat="1" applyFont="1" applyBorder="1" applyAlignment="1" applyProtection="1">
      <alignment horizontal="left"/>
      <protection locked="0"/>
    </xf>
    <xf numFmtId="10" fontId="3" fillId="0" borderId="14" xfId="51" applyNumberFormat="1" applyFont="1" applyBorder="1" applyAlignment="1" applyProtection="1">
      <alignment horizontal="right"/>
      <protection locked="0"/>
    </xf>
    <xf numFmtId="0" fontId="3" fillId="0" borderId="14" xfId="0" applyFont="1" applyBorder="1" applyAlignment="1" applyProtection="1">
      <alignment horizontal="left"/>
      <protection locked="0"/>
    </xf>
    <xf numFmtId="166" fontId="3" fillId="0" borderId="14" xfId="0" applyNumberFormat="1" applyFont="1" applyBorder="1" applyAlignment="1" applyProtection="1">
      <alignment horizontal="right"/>
      <protection locked="0"/>
    </xf>
    <xf numFmtId="0" fontId="5" fillId="0" borderId="14" xfId="0" applyFont="1" applyBorder="1" applyAlignment="1" applyProtection="1">
      <alignment horizontal="left"/>
      <protection locked="0"/>
    </xf>
    <xf numFmtId="2" fontId="3" fillId="0" borderId="14" xfId="0" applyNumberFormat="1" applyFont="1" applyBorder="1" applyAlignment="1" applyProtection="1">
      <alignment horizontal="right"/>
      <protection locked="0"/>
    </xf>
    <xf numFmtId="0" fontId="3" fillId="0" borderId="14" xfId="0" applyFont="1" applyBorder="1" applyAlignment="1" applyProtection="1">
      <alignment horizontal="right"/>
      <protection locked="0"/>
    </xf>
    <xf numFmtId="1" fontId="5" fillId="0" borderId="14" xfId="0" applyNumberFormat="1" applyFont="1" applyBorder="1" applyProtection="1">
      <protection locked="0"/>
    </xf>
    <xf numFmtId="170" fontId="139" fillId="0" borderId="0" xfId="30" applyNumberFormat="1" applyFont="1" applyFill="1" applyBorder="1" applyAlignment="1" applyProtection="1">
      <alignment horizontal="right"/>
      <protection hidden="1"/>
    </xf>
    <xf numFmtId="170" fontId="86" fillId="40" borderId="0" xfId="30" applyNumberFormat="1" applyFont="1" applyFill="1" applyBorder="1" applyAlignment="1" applyProtection="1">
      <alignment vertical="center"/>
      <protection hidden="1"/>
    </xf>
    <xf numFmtId="0" fontId="96" fillId="0" borderId="52" xfId="0" applyFont="1" applyBorder="1" applyAlignment="1" applyProtection="1">
      <alignment horizontal="left" vertical="top" indent="1"/>
      <protection hidden="1"/>
    </xf>
    <xf numFmtId="0" fontId="96" fillId="0" borderId="0" xfId="0" applyFont="1" applyAlignment="1" applyProtection="1">
      <alignment horizontal="left" vertical="top" indent="1"/>
      <protection hidden="1"/>
    </xf>
    <xf numFmtId="0" fontId="142" fillId="0" borderId="52" xfId="0" applyFont="1" applyBorder="1" applyAlignment="1" applyProtection="1">
      <alignment horizontal="left" vertical="center"/>
      <protection hidden="1"/>
    </xf>
    <xf numFmtId="0" fontId="142" fillId="0" borderId="0" xfId="0" applyFont="1" applyAlignment="1" applyProtection="1">
      <alignment horizontal="left" vertical="center"/>
      <protection hidden="1"/>
    </xf>
    <xf numFmtId="0" fontId="93" fillId="0" borderId="52" xfId="0" applyFont="1" applyBorder="1" applyAlignment="1" applyProtection="1">
      <alignment horizontal="left" indent="1"/>
      <protection hidden="1"/>
    </xf>
    <xf numFmtId="0" fontId="93" fillId="0" borderId="0" xfId="0" applyFont="1" applyAlignment="1" applyProtection="1">
      <alignment horizontal="left" indent="1"/>
      <protection hidden="1"/>
    </xf>
    <xf numFmtId="10" fontId="93" fillId="0" borderId="0" xfId="51" applyNumberFormat="1" applyFont="1" applyFill="1" applyBorder="1" applyAlignment="1" applyProtection="1">
      <alignment horizontal="right"/>
      <protection hidden="1"/>
    </xf>
    <xf numFmtId="0" fontId="115" fillId="35" borderId="48" xfId="0" applyFont="1" applyFill="1" applyBorder="1" applyAlignment="1" applyProtection="1">
      <alignment horizontal="center" vertical="center"/>
      <protection hidden="1"/>
    </xf>
    <xf numFmtId="0" fontId="21" fillId="0" borderId="52" xfId="0" applyFont="1" applyBorder="1" applyAlignment="1" applyProtection="1">
      <alignment horizontal="left" wrapText="1" indent="1"/>
      <protection hidden="1"/>
    </xf>
    <xf numFmtId="0" fontId="21" fillId="0" borderId="0" xfId="0" applyFont="1" applyAlignment="1" applyProtection="1">
      <alignment horizontal="left" wrapText="1" indent="1"/>
      <protection hidden="1"/>
    </xf>
    <xf numFmtId="0" fontId="53" fillId="0" borderId="0" xfId="0" applyFont="1" applyAlignment="1" applyProtection="1">
      <alignment horizontal="right" vertical="top"/>
      <protection hidden="1"/>
    </xf>
    <xf numFmtId="0" fontId="86" fillId="0" borderId="0" xfId="0" applyFont="1" applyAlignment="1" applyProtection="1">
      <alignment horizontal="center" wrapText="1"/>
      <protection hidden="1"/>
    </xf>
    <xf numFmtId="0" fontId="124" fillId="19" borderId="0" xfId="0" applyFont="1" applyFill="1" applyAlignment="1" applyProtection="1">
      <alignment horizontal="left"/>
      <protection hidden="1"/>
    </xf>
    <xf numFmtId="0" fontId="127" fillId="36" borderId="52" xfId="30" applyNumberFormat="1" applyFont="1" applyFill="1" applyBorder="1" applyAlignment="1" applyProtection="1">
      <alignment horizontal="left" wrapText="1"/>
      <protection hidden="1"/>
    </xf>
    <xf numFmtId="0" fontId="127" fillId="36" borderId="0" xfId="30" applyNumberFormat="1" applyFont="1" applyFill="1" applyBorder="1" applyAlignment="1" applyProtection="1">
      <alignment horizontal="left" wrapText="1"/>
      <protection hidden="1"/>
    </xf>
    <xf numFmtId="0" fontId="127" fillId="36" borderId="53" xfId="30" applyNumberFormat="1" applyFont="1" applyFill="1" applyBorder="1" applyAlignment="1" applyProtection="1">
      <alignment horizontal="left" wrapText="1"/>
      <protection hidden="1"/>
    </xf>
    <xf numFmtId="0" fontId="86" fillId="0" borderId="0" xfId="30" applyNumberFormat="1" applyFont="1" applyFill="1" applyBorder="1" applyAlignment="1" applyProtection="1">
      <alignment horizontal="center" vertical="center" wrapText="1"/>
      <protection hidden="1"/>
    </xf>
    <xf numFmtId="0" fontId="86" fillId="0" borderId="106" xfId="30" applyNumberFormat="1" applyFont="1" applyFill="1" applyBorder="1" applyAlignment="1" applyProtection="1">
      <alignment horizontal="center" vertical="center" wrapText="1"/>
      <protection hidden="1"/>
    </xf>
    <xf numFmtId="0" fontId="52" fillId="40" borderId="14" xfId="30" applyNumberFormat="1" applyFont="1" applyFill="1" applyBorder="1" applyAlignment="1" applyProtection="1">
      <alignment horizontal="center" vertical="center" wrapText="1"/>
      <protection hidden="1"/>
    </xf>
    <xf numFmtId="170" fontId="137" fillId="0" borderId="0" xfId="30" applyNumberFormat="1" applyFont="1" applyFill="1" applyBorder="1" applyAlignment="1" applyProtection="1">
      <alignment horizontal="center" wrapText="1"/>
      <protection hidden="1"/>
    </xf>
    <xf numFmtId="0" fontId="140" fillId="0" borderId="0" xfId="30" applyNumberFormat="1" applyFont="1" applyFill="1" applyBorder="1" applyAlignment="1" applyProtection="1">
      <alignment horizontal="left" vertical="top" wrapText="1"/>
      <protection hidden="1"/>
    </xf>
    <xf numFmtId="0" fontId="141" fillId="0" borderId="0" xfId="0" applyFont="1" applyAlignment="1">
      <alignment horizontal="left" vertical="top" wrapText="1"/>
    </xf>
    <xf numFmtId="0" fontId="141" fillId="0" borderId="64" xfId="0" applyFont="1" applyBorder="1" applyAlignment="1">
      <alignment horizontal="left" vertical="top" wrapText="1"/>
    </xf>
    <xf numFmtId="0" fontId="139" fillId="0" borderId="0" xfId="0" applyFont="1" applyAlignment="1">
      <alignment horizontal="left" vertical="top" wrapText="1"/>
    </xf>
    <xf numFmtId="0" fontId="0" fillId="0" borderId="0" xfId="0" applyAlignment="1">
      <alignment horizontal="left" vertical="top" wrapText="1"/>
    </xf>
    <xf numFmtId="0" fontId="15" fillId="0" borderId="0" xfId="0" applyFont="1" applyAlignment="1" applyProtection="1">
      <alignment horizontal="center" vertical="center" wrapText="1"/>
      <protection hidden="1"/>
    </xf>
    <xf numFmtId="0" fontId="5" fillId="28" borderId="23" xfId="0" applyFont="1" applyFill="1" applyBorder="1" applyAlignment="1" applyProtection="1">
      <alignment horizontal="center" vertical="center" wrapText="1"/>
      <protection hidden="1"/>
    </xf>
    <xf numFmtId="0" fontId="5" fillId="28" borderId="0" xfId="0" applyFont="1" applyFill="1" applyAlignment="1" applyProtection="1">
      <alignment horizontal="center" vertical="center" wrapText="1"/>
      <protection hidden="1"/>
    </xf>
    <xf numFmtId="0" fontId="5" fillId="28" borderId="0" xfId="0" applyFont="1" applyFill="1" applyAlignment="1" applyProtection="1">
      <alignment horizontal="right"/>
      <protection hidden="1"/>
    </xf>
    <xf numFmtId="0" fontId="0" fillId="0" borderId="0" xfId="0" applyProtection="1">
      <protection hidden="1"/>
    </xf>
    <xf numFmtId="0" fontId="47" fillId="0" borderId="147" xfId="0" applyFont="1" applyBorder="1" applyAlignment="1" applyProtection="1">
      <alignment horizontal="left" indent="1"/>
      <protection hidden="1"/>
    </xf>
    <xf numFmtId="0" fontId="47" fillId="0" borderId="0" xfId="0" applyFont="1" applyAlignment="1" applyProtection="1">
      <alignment horizontal="left" indent="1"/>
      <protection hidden="1"/>
    </xf>
    <xf numFmtId="0" fontId="126" fillId="31" borderId="79" xfId="0" applyFont="1" applyFill="1" applyBorder="1" applyAlignment="1" applyProtection="1">
      <alignment horizontal="left" wrapText="1"/>
      <protection hidden="1"/>
    </xf>
    <xf numFmtId="0" fontId="126" fillId="31" borderId="80" xfId="0" applyFont="1" applyFill="1" applyBorder="1" applyAlignment="1" applyProtection="1">
      <alignment horizontal="left" wrapText="1"/>
      <protection hidden="1"/>
    </xf>
    <xf numFmtId="0" fontId="126" fillId="31" borderId="81" xfId="0" applyFont="1" applyFill="1" applyBorder="1" applyAlignment="1" applyProtection="1">
      <alignment horizontal="left" wrapText="1"/>
      <protection hidden="1"/>
    </xf>
    <xf numFmtId="0" fontId="23" fillId="0" borderId="0" xfId="0" applyFont="1" applyAlignment="1" applyProtection="1">
      <alignment horizontal="left" wrapText="1"/>
      <protection hidden="1"/>
    </xf>
    <xf numFmtId="0" fontId="52" fillId="35" borderId="49" xfId="0" applyFont="1" applyFill="1" applyBorder="1" applyAlignment="1" applyProtection="1">
      <alignment horizontal="center" vertical="center" wrapText="1"/>
      <protection hidden="1"/>
    </xf>
    <xf numFmtId="0" fontId="52" fillId="35" borderId="67" xfId="0" applyFont="1" applyFill="1" applyBorder="1" applyAlignment="1" applyProtection="1">
      <alignment horizontal="center" vertical="center" wrapText="1"/>
      <protection hidden="1"/>
    </xf>
    <xf numFmtId="0" fontId="21" fillId="29" borderId="20" xfId="0" applyFont="1" applyFill="1" applyBorder="1" applyAlignment="1" applyProtection="1">
      <alignment horizontal="center" wrapText="1"/>
      <protection hidden="1"/>
    </xf>
    <xf numFmtId="0" fontId="0" fillId="0" borderId="21" xfId="0" applyBorder="1" applyProtection="1">
      <protection hidden="1"/>
    </xf>
    <xf numFmtId="0" fontId="0" fillId="0" borderId="22" xfId="0" applyBorder="1" applyProtection="1">
      <protection hidden="1"/>
    </xf>
    <xf numFmtId="0" fontId="0" fillId="0" borderId="25" xfId="0" applyBorder="1" applyProtection="1">
      <protection hidden="1"/>
    </xf>
    <xf numFmtId="0" fontId="0" fillId="0" borderId="26" xfId="0" applyBorder="1" applyProtection="1">
      <protection hidden="1"/>
    </xf>
    <xf numFmtId="0" fontId="0" fillId="0" borderId="27" xfId="0" applyBorder="1" applyProtection="1">
      <protection hidden="1"/>
    </xf>
    <xf numFmtId="0" fontId="22" fillId="35" borderId="77" xfId="0" applyFont="1" applyFill="1" applyBorder="1" applyAlignment="1" applyProtection="1">
      <alignment horizontal="left" wrapText="1" indent="1"/>
      <protection hidden="1"/>
    </xf>
    <xf numFmtId="0" fontId="22" fillId="35" borderId="38" xfId="0" applyFont="1" applyFill="1" applyBorder="1" applyAlignment="1" applyProtection="1">
      <alignment horizontal="left" wrapText="1" indent="1"/>
      <protection hidden="1"/>
    </xf>
    <xf numFmtId="10" fontId="93" fillId="0" borderId="0" xfId="51" applyNumberFormat="1" applyFont="1" applyFill="1" applyBorder="1" applyAlignment="1" applyProtection="1">
      <alignment horizontal="right" vertical="center" wrapText="1"/>
      <protection hidden="1"/>
    </xf>
    <xf numFmtId="0" fontId="94" fillId="0" borderId="94" xfId="30" applyNumberFormat="1" applyFont="1" applyFill="1" applyBorder="1" applyAlignment="1" applyProtection="1">
      <alignment horizontal="center" vertical="center" wrapText="1"/>
      <protection hidden="1"/>
    </xf>
    <xf numFmtId="0" fontId="94" fillId="0" borderId="95" xfId="30" applyNumberFormat="1" applyFont="1" applyFill="1" applyBorder="1" applyAlignment="1" applyProtection="1">
      <alignment horizontal="center" vertical="center" wrapText="1"/>
      <protection hidden="1"/>
    </xf>
    <xf numFmtId="0" fontId="94" fillId="0" borderId="96" xfId="30" applyNumberFormat="1" applyFont="1" applyFill="1" applyBorder="1" applyAlignment="1" applyProtection="1">
      <alignment horizontal="center" vertical="center" wrapText="1"/>
      <protection hidden="1"/>
    </xf>
    <xf numFmtId="0" fontId="94" fillId="0" borderId="97" xfId="30" applyNumberFormat="1" applyFont="1" applyFill="1" applyBorder="1" applyAlignment="1" applyProtection="1">
      <alignment horizontal="center" vertical="center" wrapText="1"/>
      <protection hidden="1"/>
    </xf>
    <xf numFmtId="0" fontId="94" fillId="0" borderId="98" xfId="30" applyNumberFormat="1" applyFont="1" applyFill="1" applyBorder="1" applyAlignment="1" applyProtection="1">
      <alignment horizontal="center" vertical="center" wrapText="1"/>
      <protection hidden="1"/>
    </xf>
    <xf numFmtId="0" fontId="94" fillId="0" borderId="99" xfId="30" applyNumberFormat="1" applyFont="1" applyFill="1" applyBorder="1" applyAlignment="1" applyProtection="1">
      <alignment horizontal="center" vertical="center" wrapText="1"/>
      <protection hidden="1"/>
    </xf>
    <xf numFmtId="0" fontId="133" fillId="0" borderId="100" xfId="30" applyNumberFormat="1" applyFont="1" applyFill="1" applyBorder="1" applyAlignment="1" applyProtection="1">
      <alignment horizontal="center" vertical="center" wrapText="1"/>
      <protection hidden="1"/>
    </xf>
    <xf numFmtId="0" fontId="133" fillId="0" borderId="48" xfId="30" applyNumberFormat="1" applyFont="1" applyFill="1" applyBorder="1" applyAlignment="1" applyProtection="1">
      <alignment horizontal="center" vertical="center" wrapText="1"/>
      <protection hidden="1"/>
    </xf>
    <xf numFmtId="0" fontId="133" fillId="0" borderId="101" xfId="30" applyNumberFormat="1" applyFont="1" applyFill="1" applyBorder="1" applyAlignment="1" applyProtection="1">
      <alignment horizontal="center" vertical="center" wrapText="1"/>
      <protection hidden="1"/>
    </xf>
    <xf numFmtId="0" fontId="86" fillId="36" borderId="91" xfId="0" applyFont="1" applyFill="1" applyBorder="1" applyAlignment="1" applyProtection="1">
      <alignment horizontal="left" vertical="center"/>
      <protection locked="0" hidden="1"/>
    </xf>
    <xf numFmtId="0" fontId="86" fillId="36" borderId="92" xfId="0" applyFont="1" applyFill="1" applyBorder="1" applyAlignment="1" applyProtection="1">
      <alignment horizontal="left" vertical="center"/>
      <protection locked="0" hidden="1"/>
    </xf>
    <xf numFmtId="0" fontId="86" fillId="36" borderId="93" xfId="0" applyFont="1" applyFill="1" applyBorder="1" applyAlignment="1" applyProtection="1">
      <alignment horizontal="left" vertical="center"/>
      <protection locked="0" hidden="1"/>
    </xf>
    <xf numFmtId="0" fontId="21" fillId="0" borderId="0" xfId="0" applyFont="1" applyAlignment="1" applyProtection="1">
      <alignment horizontal="left"/>
      <protection hidden="1"/>
    </xf>
    <xf numFmtId="0" fontId="135" fillId="0" borderId="0" xfId="0" applyFont="1" applyAlignment="1" applyProtection="1">
      <alignment horizontal="center" wrapText="1"/>
      <protection hidden="1"/>
    </xf>
    <xf numFmtId="0" fontId="135" fillId="0" borderId="38" xfId="0" applyFont="1" applyBorder="1" applyAlignment="1" applyProtection="1">
      <alignment horizontal="center" wrapText="1"/>
      <protection hidden="1"/>
    </xf>
    <xf numFmtId="0" fontId="53" fillId="0" borderId="0" xfId="0" applyFont="1" applyAlignment="1" applyProtection="1">
      <alignment horizontal="center"/>
      <protection hidden="1"/>
    </xf>
    <xf numFmtId="0" fontId="86" fillId="0" borderId="0" xfId="0" applyFont="1" applyAlignment="1" applyProtection="1">
      <alignment horizontal="right" indent="1"/>
      <protection hidden="1"/>
    </xf>
    <xf numFmtId="0" fontId="86" fillId="0" borderId="14" xfId="0" applyFont="1" applyBorder="1" applyAlignment="1" applyProtection="1">
      <alignment horizontal="center"/>
      <protection hidden="1"/>
    </xf>
    <xf numFmtId="0" fontId="0" fillId="0" borderId="26" xfId="0" applyBorder="1" applyAlignment="1" applyProtection="1">
      <alignment horizontal="center"/>
      <protection hidden="1"/>
    </xf>
    <xf numFmtId="0" fontId="0" fillId="0" borderId="27" xfId="0" applyBorder="1" applyAlignment="1" applyProtection="1">
      <alignment horizontal="center"/>
      <protection hidden="1"/>
    </xf>
    <xf numFmtId="0" fontId="122" fillId="0" borderId="90" xfId="30" applyNumberFormat="1" applyFont="1" applyFill="1" applyBorder="1" applyAlignment="1" applyProtection="1">
      <alignment horizontal="right" vertical="center" wrapText="1"/>
      <protection hidden="1"/>
    </xf>
    <xf numFmtId="0" fontId="122" fillId="0" borderId="0" xfId="30" applyNumberFormat="1" applyFont="1" applyFill="1" applyBorder="1" applyAlignment="1" applyProtection="1">
      <alignment horizontal="right" vertical="center" wrapText="1"/>
      <protection hidden="1"/>
    </xf>
    <xf numFmtId="0" fontId="121" fillId="0" borderId="52" xfId="0" applyFont="1" applyBorder="1" applyAlignment="1" applyProtection="1">
      <alignment horizontal="left"/>
      <protection hidden="1"/>
    </xf>
    <xf numFmtId="0" fontId="121" fillId="0" borderId="0" xfId="0" applyFont="1" applyAlignment="1" applyProtection="1">
      <alignment horizontal="left"/>
      <protection hidden="1"/>
    </xf>
    <xf numFmtId="0" fontId="15" fillId="0" borderId="0" xfId="30" applyNumberFormat="1" applyFont="1" applyFill="1" applyBorder="1" applyAlignment="1" applyProtection="1">
      <alignment horizontal="center" vertical="center" wrapText="1"/>
      <protection hidden="1"/>
    </xf>
    <xf numFmtId="0" fontId="93" fillId="29" borderId="20" xfId="0" applyFont="1" applyFill="1" applyBorder="1" applyAlignment="1" applyProtection="1">
      <alignment horizontal="center" wrapText="1"/>
      <protection hidden="1"/>
    </xf>
    <xf numFmtId="0" fontId="2" fillId="0" borderId="21" xfId="0" applyFont="1" applyBorder="1"/>
    <xf numFmtId="0" fontId="2" fillId="0" borderId="22" xfId="0" applyFont="1" applyBorder="1"/>
    <xf numFmtId="0" fontId="2" fillId="0" borderId="25" xfId="0" applyFont="1" applyBorder="1"/>
    <xf numFmtId="0" fontId="2" fillId="0" borderId="26" xfId="0" applyFont="1" applyBorder="1"/>
    <xf numFmtId="0" fontId="2" fillId="0" borderId="27" xfId="0" applyFont="1" applyBorder="1"/>
    <xf numFmtId="170" fontId="28" fillId="0" borderId="0" xfId="30" applyNumberFormat="1" applyFont="1" applyFill="1" applyBorder="1" applyAlignment="1" applyProtection="1">
      <alignment horizontal="center"/>
      <protection hidden="1"/>
    </xf>
    <xf numFmtId="0" fontId="28" fillId="0" borderId="0" xfId="30" applyNumberFormat="1" applyFont="1" applyFill="1" applyBorder="1" applyAlignment="1" applyProtection="1">
      <alignment horizontal="left" wrapText="1"/>
      <protection hidden="1"/>
    </xf>
    <xf numFmtId="0" fontId="28" fillId="0" borderId="0" xfId="30" applyNumberFormat="1" applyFont="1" applyFill="1" applyBorder="1" applyAlignment="1" applyProtection="1">
      <alignment horizontal="left" vertical="top" wrapText="1"/>
      <protection hidden="1"/>
    </xf>
    <xf numFmtId="0" fontId="5" fillId="28" borderId="23" xfId="0" applyFont="1" applyFill="1" applyBorder="1" applyAlignment="1">
      <alignment horizontal="center"/>
    </xf>
    <xf numFmtId="0" fontId="5" fillId="28" borderId="0" xfId="0" applyFont="1" applyFill="1" applyAlignment="1">
      <alignment horizontal="center"/>
    </xf>
    <xf numFmtId="0" fontId="5" fillId="28" borderId="105" xfId="0" applyFont="1" applyFill="1" applyBorder="1" applyAlignment="1">
      <alignment horizontal="center"/>
    </xf>
    <xf numFmtId="0" fontId="5" fillId="28" borderId="23" xfId="0" applyFont="1" applyFill="1" applyBorder="1" applyAlignment="1">
      <alignment horizontal="center" vertical="center" wrapText="1"/>
    </xf>
    <xf numFmtId="0" fontId="5" fillId="28" borderId="0" xfId="0" applyFont="1" applyFill="1" applyAlignment="1">
      <alignment horizontal="center" vertical="center" wrapText="1"/>
    </xf>
    <xf numFmtId="0" fontId="5" fillId="28" borderId="0" xfId="0" applyFont="1" applyFill="1" applyAlignment="1">
      <alignment horizontal="right"/>
    </xf>
    <xf numFmtId="0" fontId="5" fillId="28" borderId="24" xfId="0" applyFont="1" applyFill="1" applyBorder="1" applyAlignment="1">
      <alignment horizontal="right"/>
    </xf>
    <xf numFmtId="0" fontId="21" fillId="19" borderId="0" xfId="0" applyFont="1" applyFill="1" applyAlignment="1" applyProtection="1">
      <alignment horizontal="left"/>
      <protection hidden="1"/>
    </xf>
    <xf numFmtId="0" fontId="58" fillId="31" borderId="83" xfId="0" applyFont="1" applyFill="1" applyBorder="1" applyAlignment="1" applyProtection="1">
      <alignment horizontal="left" indent="1"/>
      <protection hidden="1"/>
    </xf>
    <xf numFmtId="0" fontId="58" fillId="31" borderId="0" xfId="0" applyFont="1" applyFill="1" applyAlignment="1" applyProtection="1">
      <alignment horizontal="left" indent="1"/>
      <protection hidden="1"/>
    </xf>
    <xf numFmtId="0" fontId="11" fillId="31" borderId="84" xfId="0" applyFont="1" applyFill="1" applyBorder="1" applyAlignment="1" applyProtection="1">
      <alignment horizontal="left" wrapText="1" indent="1"/>
      <protection hidden="1"/>
    </xf>
    <xf numFmtId="0" fontId="11" fillId="31" borderId="85" xfId="0" applyFont="1" applyFill="1" applyBorder="1" applyAlignment="1" applyProtection="1">
      <alignment horizontal="left" wrapText="1" indent="1"/>
      <protection hidden="1"/>
    </xf>
    <xf numFmtId="0" fontId="124" fillId="0" borderId="0" xfId="0" applyFont="1" applyProtection="1">
      <protection hidden="1"/>
    </xf>
    <xf numFmtId="0" fontId="86" fillId="0" borderId="0" xfId="0" applyFont="1" applyAlignment="1" applyProtection="1">
      <alignment horizontal="center"/>
      <protection hidden="1"/>
    </xf>
    <xf numFmtId="0" fontId="86" fillId="36" borderId="102" xfId="0" applyFont="1" applyFill="1" applyBorder="1" applyAlignment="1" applyProtection="1">
      <alignment horizontal="left" vertical="center"/>
      <protection locked="0"/>
    </xf>
    <xf numFmtId="0" fontId="86" fillId="36" borderId="103" xfId="0" applyFont="1" applyFill="1" applyBorder="1" applyAlignment="1" applyProtection="1">
      <alignment horizontal="left" vertical="center"/>
      <protection locked="0"/>
    </xf>
    <xf numFmtId="0" fontId="86" fillId="36" borderId="104" xfId="0" applyFont="1" applyFill="1" applyBorder="1" applyAlignment="1" applyProtection="1">
      <alignment horizontal="left" vertical="center"/>
      <protection locked="0"/>
    </xf>
    <xf numFmtId="0" fontId="82" fillId="0" borderId="102" xfId="0" applyFont="1" applyBorder="1" applyAlignment="1">
      <alignment horizontal="center" vertical="center"/>
    </xf>
    <xf numFmtId="0" fontId="82" fillId="0" borderId="103" xfId="0" applyFont="1" applyBorder="1" applyAlignment="1">
      <alignment horizontal="center" vertical="center"/>
    </xf>
    <xf numFmtId="0" fontId="82" fillId="0" borderId="104" xfId="0" applyFont="1" applyBorder="1" applyAlignment="1">
      <alignment horizontal="center" vertical="center"/>
    </xf>
    <xf numFmtId="0" fontId="93" fillId="0" borderId="52" xfId="0" applyFont="1" applyBorder="1" applyAlignment="1" applyProtection="1">
      <alignment horizontal="left" wrapText="1" indent="1"/>
      <protection hidden="1"/>
    </xf>
    <xf numFmtId="0" fontId="93" fillId="0" borderId="0" xfId="0" applyFont="1" applyAlignment="1" applyProtection="1">
      <alignment horizontal="left" wrapText="1" indent="1"/>
      <protection hidden="1"/>
    </xf>
    <xf numFmtId="0" fontId="86" fillId="0" borderId="0" xfId="0" applyFont="1" applyAlignment="1">
      <alignment horizontal="right" vertical="center"/>
    </xf>
    <xf numFmtId="0" fontId="96" fillId="0" borderId="0" xfId="0" applyFont="1" applyAlignment="1" applyProtection="1">
      <alignment horizontal="left" vertical="center" wrapText="1"/>
      <protection hidden="1"/>
    </xf>
    <xf numFmtId="0" fontId="51" fillId="31" borderId="83" xfId="0" applyFont="1" applyFill="1" applyBorder="1" applyAlignment="1">
      <alignment horizontal="left" indent="1"/>
    </xf>
    <xf numFmtId="0" fontId="51" fillId="31" borderId="0" xfId="0" applyFont="1" applyFill="1" applyAlignment="1">
      <alignment horizontal="left" indent="1"/>
    </xf>
    <xf numFmtId="0" fontId="73" fillId="22" borderId="110" xfId="0" applyFont="1" applyFill="1" applyBorder="1" applyAlignment="1">
      <alignment horizontal="left" indent="1"/>
    </xf>
    <xf numFmtId="0" fontId="73" fillId="22" borderId="111" xfId="0" applyFont="1" applyFill="1" applyBorder="1" applyAlignment="1">
      <alignment horizontal="left" indent="1"/>
    </xf>
    <xf numFmtId="0" fontId="73" fillId="22" borderId="112" xfId="0" applyFont="1" applyFill="1" applyBorder="1" applyAlignment="1">
      <alignment horizontal="left" indent="1"/>
    </xf>
    <xf numFmtId="0" fontId="22" fillId="31" borderId="85" xfId="0" applyFont="1" applyFill="1" applyBorder="1" applyAlignment="1">
      <alignment horizontal="center" vertical="center"/>
    </xf>
    <xf numFmtId="0" fontId="86" fillId="0" borderId="0" xfId="0" applyFont="1" applyAlignment="1">
      <alignment horizontal="left" vertical="top"/>
    </xf>
    <xf numFmtId="0" fontId="86" fillId="0" borderId="90" xfId="0" applyFont="1" applyBorder="1" applyAlignment="1" applyProtection="1">
      <alignment horizontal="left" vertical="top" wrapText="1" indent="1"/>
      <protection locked="0"/>
    </xf>
    <xf numFmtId="0" fontId="86" fillId="0" borderId="0" xfId="0" applyFont="1" applyAlignment="1" applyProtection="1">
      <alignment horizontal="left" vertical="top" wrapText="1" indent="1"/>
      <protection locked="0"/>
    </xf>
    <xf numFmtId="0" fontId="86" fillId="0" borderId="106" xfId="0" applyFont="1" applyBorder="1" applyAlignment="1" applyProtection="1">
      <alignment horizontal="left" vertical="top" wrapText="1" indent="1"/>
      <protection locked="0"/>
    </xf>
    <xf numFmtId="0" fontId="86" fillId="0" borderId="107" xfId="0" applyFont="1" applyBorder="1" applyAlignment="1" applyProtection="1">
      <alignment horizontal="left" vertical="top" wrapText="1" indent="1"/>
      <protection locked="0"/>
    </xf>
    <xf numFmtId="0" fontId="86" fillId="0" borderId="108" xfId="0" applyFont="1" applyBorder="1" applyAlignment="1" applyProtection="1">
      <alignment horizontal="left" vertical="top" wrapText="1" indent="1"/>
      <protection locked="0"/>
    </xf>
    <xf numFmtId="0" fontId="86" fillId="0" borderId="109" xfId="0" applyFont="1" applyBorder="1" applyAlignment="1" applyProtection="1">
      <alignment horizontal="left" vertical="top" wrapText="1" indent="1"/>
      <protection locked="0"/>
    </xf>
    <xf numFmtId="0" fontId="93" fillId="0" borderId="113" xfId="0" applyFont="1" applyBorder="1" applyAlignment="1">
      <alignment horizontal="left" vertical="center"/>
    </xf>
    <xf numFmtId="0" fontId="93" fillId="0" borderId="114" xfId="0" applyFont="1" applyBorder="1" applyAlignment="1">
      <alignment horizontal="left" vertical="center"/>
    </xf>
    <xf numFmtId="0" fontId="93" fillId="0" borderId="115" xfId="0" applyFont="1" applyBorder="1" applyAlignment="1">
      <alignment horizontal="left" vertical="center"/>
    </xf>
    <xf numFmtId="0" fontId="73" fillId="0" borderId="0" xfId="0" applyFont="1" applyAlignment="1">
      <alignment horizontal="center" vertical="center" wrapText="1"/>
    </xf>
    <xf numFmtId="0" fontId="86" fillId="0" borderId="0" xfId="0" applyFont="1" applyAlignment="1">
      <alignment horizontal="left" vertical="center"/>
    </xf>
    <xf numFmtId="0" fontId="12" fillId="31" borderId="84" xfId="0" applyFont="1" applyFill="1" applyBorder="1" applyAlignment="1" applyProtection="1">
      <alignment horizontal="left"/>
      <protection hidden="1"/>
    </xf>
    <xf numFmtId="0" fontId="12" fillId="31" borderId="85" xfId="0" applyFont="1" applyFill="1" applyBorder="1" applyAlignment="1" applyProtection="1">
      <alignment horizontal="left"/>
      <protection hidden="1"/>
    </xf>
    <xf numFmtId="0" fontId="12" fillId="31" borderId="86" xfId="0" applyFont="1" applyFill="1" applyBorder="1" applyAlignment="1" applyProtection="1">
      <alignment horizontal="left"/>
      <protection hidden="1"/>
    </xf>
    <xf numFmtId="168" fontId="28" fillId="36" borderId="116" xfId="30" applyFont="1" applyFill="1" applyBorder="1" applyAlignment="1" applyProtection="1">
      <alignment horizontal="left"/>
      <protection hidden="1"/>
    </xf>
    <xf numFmtId="168" fontId="28" fillId="36" borderId="117" xfId="30" applyFont="1" applyFill="1" applyBorder="1" applyAlignment="1" applyProtection="1">
      <alignment horizontal="left"/>
      <protection hidden="1"/>
    </xf>
    <xf numFmtId="168" fontId="28" fillId="36" borderId="118" xfId="30" applyFont="1" applyFill="1" applyBorder="1" applyAlignment="1" applyProtection="1">
      <alignment horizontal="left"/>
      <protection hidden="1"/>
    </xf>
    <xf numFmtId="0" fontId="93" fillId="0" borderId="119" xfId="0" applyFont="1" applyBorder="1" applyAlignment="1">
      <alignment horizontal="left" vertical="center"/>
    </xf>
    <xf numFmtId="0" fontId="93" fillId="0" borderId="120" xfId="0" applyFont="1" applyBorder="1" applyAlignment="1">
      <alignment horizontal="left" vertical="center"/>
    </xf>
    <xf numFmtId="0" fontId="93" fillId="0" borderId="121" xfId="0" applyFont="1" applyBorder="1" applyAlignment="1">
      <alignment horizontal="left" vertical="center"/>
    </xf>
    <xf numFmtId="168" fontId="28" fillId="36" borderId="122" xfId="30" applyFont="1" applyFill="1" applyBorder="1" applyAlignment="1" applyProtection="1">
      <alignment horizontal="left"/>
      <protection hidden="1"/>
    </xf>
    <xf numFmtId="168" fontId="28" fillId="36" borderId="85" xfId="30" applyFont="1" applyFill="1" applyBorder="1" applyAlignment="1" applyProtection="1">
      <alignment horizontal="left"/>
      <protection hidden="1"/>
    </xf>
    <xf numFmtId="168" fontId="28" fillId="36" borderId="123" xfId="30" applyFont="1" applyFill="1" applyBorder="1" applyAlignment="1" applyProtection="1">
      <alignment horizontal="left"/>
      <protection hidden="1"/>
    </xf>
    <xf numFmtId="0" fontId="12" fillId="31" borderId="79" xfId="0" applyFont="1" applyFill="1" applyBorder="1" applyAlignment="1" applyProtection="1">
      <alignment horizontal="left"/>
      <protection hidden="1"/>
    </xf>
    <xf numFmtId="0" fontId="12" fillId="31" borderId="80" xfId="0" applyFont="1" applyFill="1" applyBorder="1" applyAlignment="1" applyProtection="1">
      <alignment horizontal="left"/>
      <protection hidden="1"/>
    </xf>
    <xf numFmtId="0" fontId="12" fillId="31" borderId="81" xfId="0" applyFont="1" applyFill="1" applyBorder="1" applyAlignment="1" applyProtection="1">
      <alignment horizontal="left"/>
      <protection hidden="1"/>
    </xf>
    <xf numFmtId="0" fontId="12" fillId="31" borderId="83" xfId="0" applyFont="1" applyFill="1" applyBorder="1" applyAlignment="1" applyProtection="1">
      <alignment horizontal="left"/>
      <protection hidden="1"/>
    </xf>
    <xf numFmtId="0" fontId="12" fillId="31" borderId="0" xfId="0" applyFont="1" applyFill="1" applyAlignment="1" applyProtection="1">
      <alignment horizontal="left"/>
      <protection hidden="1"/>
    </xf>
    <xf numFmtId="0" fontId="12" fillId="31" borderId="82" xfId="0" applyFont="1" applyFill="1" applyBorder="1" applyAlignment="1" applyProtection="1">
      <alignment horizontal="left"/>
      <protection hidden="1"/>
    </xf>
    <xf numFmtId="0" fontId="51" fillId="18" borderId="124" xfId="0" applyFont="1" applyFill="1" applyBorder="1" applyAlignment="1" applyProtection="1">
      <alignment horizontal="left"/>
      <protection hidden="1"/>
    </xf>
    <xf numFmtId="0" fontId="51" fillId="18" borderId="10" xfId="0" applyFont="1" applyFill="1" applyBorder="1" applyAlignment="1" applyProtection="1">
      <alignment horizontal="left"/>
      <protection hidden="1"/>
    </xf>
    <xf numFmtId="0" fontId="51" fillId="18" borderId="35" xfId="0" applyFont="1" applyFill="1" applyBorder="1" applyAlignment="1" applyProtection="1">
      <alignment horizontal="left"/>
      <protection hidden="1"/>
    </xf>
    <xf numFmtId="0" fontId="51" fillId="18" borderId="16" xfId="0" applyFont="1" applyFill="1" applyBorder="1" applyAlignment="1" applyProtection="1">
      <alignment horizontal="left"/>
      <protection hidden="1"/>
    </xf>
    <xf numFmtId="0" fontId="71" fillId="18" borderId="125" xfId="0" applyFont="1" applyFill="1" applyBorder="1" applyAlignment="1">
      <alignment horizontal="left" vertical="center" wrapText="1" indent="1"/>
    </xf>
    <xf numFmtId="0" fontId="71" fillId="18" borderId="126" xfId="0" applyFont="1" applyFill="1" applyBorder="1" applyAlignment="1">
      <alignment horizontal="left" vertical="center" indent="1"/>
    </xf>
    <xf numFmtId="0" fontId="53" fillId="30" borderId="31" xfId="0" applyFont="1" applyFill="1" applyBorder="1" applyAlignment="1" applyProtection="1">
      <alignment horizontal="left" vertical="center" indent="1"/>
      <protection hidden="1"/>
    </xf>
    <xf numFmtId="0" fontId="53" fillId="30" borderId="0" xfId="0" applyFont="1" applyFill="1" applyAlignment="1" applyProtection="1">
      <alignment horizontal="left" vertical="center" indent="1"/>
      <protection hidden="1"/>
    </xf>
    <xf numFmtId="0" fontId="53" fillId="30" borderId="33" xfId="0" applyFont="1" applyFill="1" applyBorder="1" applyAlignment="1" applyProtection="1">
      <alignment horizontal="left" vertical="center" indent="1"/>
      <protection hidden="1"/>
    </xf>
    <xf numFmtId="0" fontId="53" fillId="30" borderId="124" xfId="0" applyFont="1" applyFill="1" applyBorder="1" applyAlignment="1" applyProtection="1">
      <alignment horizontal="left" vertical="center" indent="1"/>
      <protection hidden="1"/>
    </xf>
    <xf numFmtId="0" fontId="53" fillId="30" borderId="10" xfId="0" applyFont="1" applyFill="1" applyBorder="1" applyAlignment="1" applyProtection="1">
      <alignment horizontal="left" vertical="center" indent="1"/>
      <protection hidden="1"/>
    </xf>
    <xf numFmtId="0" fontId="53" fillId="30" borderId="32" xfId="0" applyFont="1" applyFill="1" applyBorder="1" applyAlignment="1" applyProtection="1">
      <alignment horizontal="left" vertical="center" indent="1"/>
      <protection hidden="1"/>
    </xf>
    <xf numFmtId="0" fontId="18" fillId="21" borderId="102" xfId="33" applyNumberFormat="1" applyFont="1" applyFill="1" applyBorder="1" applyAlignment="1" applyProtection="1">
      <alignment horizontal="left" vertical="center"/>
      <protection locked="0"/>
    </xf>
    <xf numFmtId="0" fontId="18" fillId="21" borderId="103" xfId="33" applyNumberFormat="1" applyFont="1" applyFill="1" applyBorder="1" applyAlignment="1" applyProtection="1">
      <alignment horizontal="left" vertical="center"/>
      <protection locked="0"/>
    </xf>
    <xf numFmtId="0" fontId="18" fillId="21" borderId="104" xfId="33" applyNumberFormat="1" applyFont="1" applyFill="1" applyBorder="1" applyAlignment="1" applyProtection="1">
      <alignment horizontal="left" vertical="center"/>
      <protection locked="0"/>
    </xf>
    <xf numFmtId="175" fontId="25" fillId="0" borderId="0" xfId="51" applyNumberFormat="1" applyFont="1" applyBorder="1" applyAlignment="1" applyProtection="1">
      <alignment horizontal="left" vertical="center"/>
    </xf>
    <xf numFmtId="9" fontId="25" fillId="0" borderId="0" xfId="51" applyFont="1" applyBorder="1" applyAlignment="1" applyProtection="1">
      <alignment horizontal="left" vertical="center"/>
    </xf>
    <xf numFmtId="4" fontId="50" fillId="0" borderId="0" xfId="0" applyNumberFormat="1" applyFont="1" applyAlignment="1">
      <alignment horizontal="left" vertical="center"/>
    </xf>
    <xf numFmtId="0" fontId="12" fillId="18" borderId="124" xfId="0" applyFont="1" applyFill="1" applyBorder="1" applyAlignment="1" applyProtection="1">
      <alignment horizontal="left" indent="1"/>
      <protection hidden="1"/>
    </xf>
    <xf numFmtId="0" fontId="0" fillId="0" borderId="10" xfId="0" applyBorder="1" applyAlignment="1">
      <alignment horizontal="left" indent="1"/>
    </xf>
    <xf numFmtId="0" fontId="0" fillId="0" borderId="32" xfId="0" applyBorder="1" applyAlignment="1">
      <alignment horizontal="left" indent="1"/>
    </xf>
    <xf numFmtId="0" fontId="12" fillId="18" borderId="31" xfId="0" applyFont="1" applyFill="1" applyBorder="1" applyAlignment="1" applyProtection="1">
      <alignment horizontal="left" indent="1"/>
      <protection hidden="1"/>
    </xf>
    <xf numFmtId="0" fontId="0" fillId="0" borderId="0" xfId="0" applyAlignment="1">
      <alignment horizontal="left" indent="1"/>
    </xf>
    <xf numFmtId="0" fontId="0" fillId="0" borderId="33" xfId="0" applyBorder="1" applyAlignment="1">
      <alignment horizontal="left" indent="1"/>
    </xf>
    <xf numFmtId="0" fontId="12" fillId="18" borderId="35" xfId="0" applyFont="1" applyFill="1" applyBorder="1" applyAlignment="1" applyProtection="1">
      <alignment horizontal="left" indent="1"/>
      <protection hidden="1"/>
    </xf>
    <xf numFmtId="0" fontId="0" fillId="0" borderId="16" xfId="0" applyBorder="1" applyAlignment="1">
      <alignment horizontal="left" indent="1"/>
    </xf>
    <xf numFmtId="0" fontId="0" fillId="0" borderId="36" xfId="0" applyBorder="1" applyAlignment="1">
      <alignment horizontal="left" indent="1"/>
    </xf>
    <xf numFmtId="0" fontId="17" fillId="18" borderId="127" xfId="0" applyFont="1" applyFill="1" applyBorder="1" applyAlignment="1">
      <alignment horizontal="left" vertical="center" indent="1"/>
    </xf>
    <xf numFmtId="0" fontId="17" fillId="18" borderId="39" xfId="0" applyFont="1" applyFill="1" applyBorder="1" applyAlignment="1">
      <alignment horizontal="left" vertical="center" indent="1"/>
    </xf>
    <xf numFmtId="4" fontId="27" fillId="29" borderId="31" xfId="29" applyNumberFormat="1" applyFont="1" applyFill="1" applyBorder="1" applyAlignment="1" applyProtection="1">
      <alignment horizontal="left" vertical="center" indent="1"/>
    </xf>
    <xf numFmtId="4" fontId="27" fillId="29" borderId="0" xfId="29" applyNumberFormat="1" applyFont="1" applyFill="1" applyBorder="1" applyAlignment="1" applyProtection="1">
      <alignment horizontal="left" vertical="center" indent="1"/>
    </xf>
    <xf numFmtId="4" fontId="27" fillId="0" borderId="0" xfId="0" applyNumberFormat="1" applyFont="1" applyAlignment="1">
      <alignment horizontal="left" vertical="center"/>
    </xf>
    <xf numFmtId="4" fontId="21" fillId="29" borderId="0" xfId="29" applyNumberFormat="1" applyFont="1" applyFill="1" applyBorder="1" applyAlignment="1" applyProtection="1">
      <alignment horizontal="left"/>
    </xf>
    <xf numFmtId="4" fontId="20" fillId="0" borderId="0" xfId="0" applyNumberFormat="1" applyFont="1" applyAlignment="1">
      <alignment horizontal="left" vertical="center"/>
    </xf>
    <xf numFmtId="0" fontId="105" fillId="31" borderId="0" xfId="0" applyFont="1" applyFill="1" applyAlignment="1">
      <alignment horizontal="left"/>
    </xf>
    <xf numFmtId="0" fontId="31" fillId="35" borderId="130" xfId="0" applyFont="1" applyFill="1" applyBorder="1" applyAlignment="1" applyProtection="1">
      <alignment horizontal="left" vertical="center" wrapText="1" indent="1"/>
      <protection hidden="1"/>
    </xf>
    <xf numFmtId="0" fontId="31" fillId="35" borderId="131" xfId="0" applyFont="1" applyFill="1" applyBorder="1" applyAlignment="1" applyProtection="1">
      <alignment horizontal="left" vertical="center" wrapText="1" indent="1"/>
      <protection hidden="1"/>
    </xf>
    <xf numFmtId="0" fontId="31" fillId="35" borderId="132" xfId="0" applyFont="1" applyFill="1" applyBorder="1" applyAlignment="1" applyProtection="1">
      <alignment horizontal="left" vertical="center" wrapText="1" indent="1"/>
      <protection hidden="1"/>
    </xf>
    <xf numFmtId="0" fontId="1" fillId="36" borderId="91" xfId="0" applyFont="1" applyFill="1" applyBorder="1" applyAlignment="1" applyProtection="1">
      <alignment horizontal="left" vertical="center" indent="1"/>
      <protection locked="0"/>
    </xf>
    <xf numFmtId="0" fontId="1" fillId="36" borderId="92" xfId="0" applyFont="1" applyFill="1" applyBorder="1" applyAlignment="1" applyProtection="1">
      <alignment horizontal="left" vertical="center" indent="1"/>
      <protection locked="0"/>
    </xf>
    <xf numFmtId="0" fontId="1" fillId="36" borderId="93" xfId="0" applyFont="1" applyFill="1" applyBorder="1" applyAlignment="1" applyProtection="1">
      <alignment horizontal="left" vertical="center" indent="1"/>
      <protection locked="0"/>
    </xf>
    <xf numFmtId="0" fontId="47" fillId="0" borderId="52" xfId="0" applyFont="1" applyBorder="1" applyAlignment="1">
      <alignment horizontal="left" vertical="center" indent="1"/>
    </xf>
    <xf numFmtId="173" fontId="31" fillId="35" borderId="133" xfId="30" applyNumberFormat="1" applyFont="1" applyFill="1" applyBorder="1" applyAlignment="1" applyProtection="1">
      <alignment horizontal="center" vertical="center"/>
      <protection hidden="1"/>
    </xf>
    <xf numFmtId="173" fontId="31" fillId="35" borderId="0" xfId="30" applyNumberFormat="1" applyFont="1" applyFill="1" applyBorder="1" applyAlignment="1" applyProtection="1">
      <alignment horizontal="center" vertical="center"/>
      <protection hidden="1"/>
    </xf>
    <xf numFmtId="10" fontId="1" fillId="0" borderId="128" xfId="51" applyNumberFormat="1" applyFont="1" applyFill="1" applyBorder="1" applyAlignment="1" applyProtection="1">
      <alignment horizontal="center" vertical="center"/>
      <protection hidden="1"/>
    </xf>
    <xf numFmtId="10" fontId="1" fillId="0" borderId="129" xfId="51" applyNumberFormat="1" applyFont="1" applyFill="1" applyBorder="1" applyAlignment="1" applyProtection="1">
      <alignment horizontal="center" vertical="center"/>
      <protection hidden="1"/>
    </xf>
    <xf numFmtId="0" fontId="47" fillId="29" borderId="0" xfId="0" applyFont="1" applyFill="1" applyAlignment="1" applyProtection="1">
      <alignment horizontal="right" vertical="center" indent="1"/>
      <protection hidden="1"/>
    </xf>
    <xf numFmtId="0" fontId="101" fillId="29" borderId="52" xfId="0" applyFont="1" applyFill="1" applyBorder="1" applyAlignment="1" applyProtection="1">
      <alignment horizontal="left" vertical="top" wrapText="1" indent="1"/>
      <protection hidden="1"/>
    </xf>
    <xf numFmtId="10" fontId="47" fillId="36" borderId="128" xfId="51" applyNumberFormat="1" applyFont="1" applyFill="1" applyBorder="1" applyAlignment="1" applyProtection="1">
      <alignment horizontal="center" vertical="center"/>
      <protection locked="0"/>
    </xf>
    <xf numFmtId="10" fontId="47" fillId="36" borderId="129" xfId="51" applyNumberFormat="1" applyFont="1" applyFill="1" applyBorder="1" applyAlignment="1" applyProtection="1">
      <alignment horizontal="center" vertical="center"/>
      <protection locked="0"/>
    </xf>
    <xf numFmtId="0" fontId="101" fillId="29" borderId="52" xfId="0" applyFont="1" applyFill="1" applyBorder="1" applyAlignment="1" applyProtection="1">
      <alignment horizontal="left" vertical="top" indent="1"/>
      <protection hidden="1"/>
    </xf>
    <xf numFmtId="0" fontId="47" fillId="0" borderId="0" xfId="0" applyFont="1" applyAlignment="1" applyProtection="1">
      <alignment horizontal="right" vertical="center" indent="1"/>
      <protection hidden="1"/>
    </xf>
    <xf numFmtId="173" fontId="1" fillId="36" borderId="91" xfId="30" applyNumberFormat="1" applyFont="1" applyFill="1" applyBorder="1" applyAlignment="1" applyProtection="1">
      <alignment horizontal="center" vertical="center"/>
      <protection locked="0"/>
    </xf>
    <xf numFmtId="173" fontId="1" fillId="36" borderId="93" xfId="30" applyNumberFormat="1" applyFont="1" applyFill="1" applyBorder="1" applyAlignment="1" applyProtection="1">
      <alignment horizontal="center" vertical="center"/>
      <protection locked="0"/>
    </xf>
    <xf numFmtId="0" fontId="47" fillId="0" borderId="0" xfId="0" applyFont="1" applyAlignment="1">
      <alignment horizontal="right" vertical="center" indent="1"/>
    </xf>
    <xf numFmtId="0" fontId="100" fillId="0" borderId="0" xfId="0" applyFont="1" applyAlignment="1">
      <alignment horizontal="left" vertical="center"/>
    </xf>
    <xf numFmtId="0" fontId="44" fillId="0" borderId="17" xfId="0" applyFont="1" applyBorder="1" applyAlignment="1" applyProtection="1">
      <alignment horizontal="center"/>
      <protection hidden="1"/>
    </xf>
    <xf numFmtId="0" fontId="44" fillId="0" borderId="18" xfId="0" applyFont="1" applyBorder="1" applyAlignment="1" applyProtection="1">
      <alignment horizontal="center"/>
      <protection hidden="1"/>
    </xf>
    <xf numFmtId="0" fontId="44" fillId="0" borderId="19" xfId="0" applyFont="1" applyBorder="1" applyAlignment="1" applyProtection="1">
      <alignment horizontal="center"/>
      <protection hidden="1"/>
    </xf>
    <xf numFmtId="0" fontId="44" fillId="0" borderId="14" xfId="0" applyFont="1" applyBorder="1" applyAlignment="1" applyProtection="1">
      <alignment horizontal="left"/>
      <protection hidden="1"/>
    </xf>
    <xf numFmtId="0" fontId="44" fillId="0" borderId="14" xfId="0" applyFont="1" applyBorder="1" applyAlignment="1" applyProtection="1">
      <alignment horizontal="center"/>
      <protection hidden="1"/>
    </xf>
    <xf numFmtId="0" fontId="69" fillId="0" borderId="0" xfId="0" applyFont="1" applyAlignment="1" applyProtection="1">
      <alignment vertical="top"/>
      <protection hidden="1"/>
    </xf>
    <xf numFmtId="0" fontId="31" fillId="20" borderId="25" xfId="0" applyFont="1" applyFill="1" applyBorder="1" applyAlignment="1" applyProtection="1">
      <alignment horizontal="center"/>
      <protection hidden="1"/>
    </xf>
    <xf numFmtId="0" fontId="31" fillId="20" borderId="26" xfId="0" applyFont="1" applyFill="1" applyBorder="1" applyAlignment="1" applyProtection="1">
      <alignment horizontal="center"/>
      <protection hidden="1"/>
    </xf>
    <xf numFmtId="0" fontId="31" fillId="20" borderId="27" xfId="0" applyFont="1" applyFill="1" applyBorder="1" applyAlignment="1" applyProtection="1">
      <alignment horizontal="center"/>
      <protection hidden="1"/>
    </xf>
    <xf numFmtId="0" fontId="101" fillId="0" borderId="0" xfId="0" applyFont="1" applyAlignment="1" applyProtection="1">
      <alignment horizontal="left" vertical="top" wrapText="1"/>
      <protection hidden="1"/>
    </xf>
    <xf numFmtId="0" fontId="102" fillId="0" borderId="110" xfId="0" applyFont="1" applyBorder="1" applyAlignment="1" applyProtection="1">
      <alignment horizontal="center" vertical="center" wrapText="1"/>
      <protection hidden="1"/>
    </xf>
    <xf numFmtId="0" fontId="102" fillId="0" borderId="111" xfId="0" applyFont="1" applyBorder="1" applyAlignment="1" applyProtection="1">
      <alignment horizontal="center" vertical="center" wrapText="1"/>
      <protection hidden="1"/>
    </xf>
    <xf numFmtId="0" fontId="102" fillId="0" borderId="112" xfId="0" applyFont="1" applyBorder="1" applyAlignment="1" applyProtection="1">
      <alignment horizontal="center" vertical="center" wrapText="1"/>
      <protection hidden="1"/>
    </xf>
    <xf numFmtId="0" fontId="102" fillId="0" borderId="90" xfId="0" applyFont="1" applyBorder="1" applyAlignment="1" applyProtection="1">
      <alignment horizontal="center" vertical="center" wrapText="1"/>
      <protection hidden="1"/>
    </xf>
    <xf numFmtId="0" fontId="102" fillId="0" borderId="0" xfId="0" applyFont="1" applyAlignment="1" applyProtection="1">
      <alignment horizontal="center" vertical="center" wrapText="1"/>
      <protection hidden="1"/>
    </xf>
    <xf numFmtId="0" fontId="102" fillId="0" borderId="106" xfId="0" applyFont="1" applyBorder="1" applyAlignment="1" applyProtection="1">
      <alignment horizontal="center" vertical="center" wrapText="1"/>
      <protection hidden="1"/>
    </xf>
    <xf numFmtId="0" fontId="102" fillId="0" borderId="107" xfId="0" applyFont="1" applyBorder="1" applyAlignment="1" applyProtection="1">
      <alignment horizontal="center" vertical="center" wrapText="1"/>
      <protection hidden="1"/>
    </xf>
    <xf numFmtId="0" fontId="102" fillId="0" borderId="108" xfId="0" applyFont="1" applyBorder="1" applyAlignment="1" applyProtection="1">
      <alignment horizontal="center" vertical="center" wrapText="1"/>
      <protection hidden="1"/>
    </xf>
    <xf numFmtId="0" fontId="102" fillId="0" borderId="109" xfId="0" applyFont="1" applyBorder="1" applyAlignment="1" applyProtection="1">
      <alignment horizontal="center" vertical="center" wrapText="1"/>
      <protection hidden="1"/>
    </xf>
    <xf numFmtId="10" fontId="47" fillId="0" borderId="128" xfId="51" applyNumberFormat="1" applyFont="1" applyFill="1" applyBorder="1" applyAlignment="1" applyProtection="1">
      <alignment horizontal="center" vertical="center"/>
      <protection hidden="1"/>
    </xf>
    <xf numFmtId="10" fontId="47" fillId="0" borderId="129" xfId="51" applyNumberFormat="1" applyFont="1" applyFill="1" applyBorder="1" applyAlignment="1" applyProtection="1">
      <alignment horizontal="center" vertical="center"/>
      <protection hidden="1"/>
    </xf>
    <xf numFmtId="0" fontId="68" fillId="30" borderId="0" xfId="0" applyFont="1" applyFill="1" applyAlignment="1">
      <alignment horizontal="left" vertical="center"/>
    </xf>
    <xf numFmtId="0" fontId="68" fillId="30" borderId="30" xfId="0" applyFont="1" applyFill="1" applyBorder="1" applyAlignment="1">
      <alignment horizontal="left" vertical="center"/>
    </xf>
    <xf numFmtId="0" fontId="47" fillId="29" borderId="0" xfId="0" applyFont="1" applyFill="1" applyAlignment="1" applyProtection="1">
      <alignment horizontal="left"/>
      <protection hidden="1"/>
    </xf>
    <xf numFmtId="0" fontId="47" fillId="29" borderId="0" xfId="0" applyFont="1" applyFill="1" applyAlignment="1" applyProtection="1">
      <alignment horizontal="left" vertical="center"/>
      <protection hidden="1"/>
    </xf>
    <xf numFmtId="2" fontId="0" fillId="0" borderId="14" xfId="0" applyNumberFormat="1" applyBorder="1" applyAlignment="1">
      <alignment horizontal="center"/>
    </xf>
    <xf numFmtId="0" fontId="6" fillId="28" borderId="17" xfId="0" applyFont="1" applyFill="1" applyBorder="1" applyAlignment="1">
      <alignment horizontal="left" vertical="top"/>
    </xf>
    <xf numFmtId="0" fontId="6" fillId="28" borderId="18" xfId="0" applyFont="1" applyFill="1" applyBorder="1" applyAlignment="1">
      <alignment horizontal="left" vertical="top"/>
    </xf>
    <xf numFmtId="0" fontId="6" fillId="28" borderId="19" xfId="0" applyFont="1" applyFill="1" applyBorder="1" applyAlignment="1">
      <alignment horizontal="left" vertical="top"/>
    </xf>
    <xf numFmtId="0" fontId="6" fillId="33" borderId="17" xfId="0" applyFont="1" applyFill="1" applyBorder="1" applyAlignment="1">
      <alignment horizontal="left" vertical="top" wrapText="1"/>
    </xf>
    <xf numFmtId="0" fontId="6" fillId="33" borderId="18" xfId="0" applyFont="1" applyFill="1" applyBorder="1" applyAlignment="1">
      <alignment horizontal="left" vertical="top" wrapText="1"/>
    </xf>
    <xf numFmtId="0" fontId="6" fillId="33" borderId="19" xfId="0" applyFont="1" applyFill="1" applyBorder="1" applyAlignment="1">
      <alignment horizontal="left" vertical="top" wrapText="1"/>
    </xf>
    <xf numFmtId="0" fontId="5" fillId="26" borderId="14" xfId="0" applyFont="1" applyFill="1" applyBorder="1" applyAlignment="1">
      <alignment horizontal="center"/>
    </xf>
    <xf numFmtId="0" fontId="6" fillId="37" borderId="17" xfId="0" applyFont="1" applyFill="1" applyBorder="1" applyAlignment="1">
      <alignment horizontal="left" vertical="top"/>
    </xf>
    <xf numFmtId="0" fontId="6" fillId="37" borderId="18" xfId="0" applyFont="1" applyFill="1" applyBorder="1" applyAlignment="1">
      <alignment horizontal="left" vertical="top"/>
    </xf>
    <xf numFmtId="0" fontId="6" fillId="37" borderId="19" xfId="0" applyFont="1" applyFill="1" applyBorder="1" applyAlignment="1">
      <alignment horizontal="left" vertical="top"/>
    </xf>
    <xf numFmtId="0" fontId="3" fillId="0" borderId="17" xfId="0" applyFont="1" applyBorder="1" applyAlignment="1">
      <alignment horizontal="left" vertical="top"/>
    </xf>
    <xf numFmtId="0" fontId="0" fillId="0" borderId="18" xfId="0" applyBorder="1" applyAlignment="1">
      <alignment horizontal="left" vertical="top"/>
    </xf>
    <xf numFmtId="0" fontId="0" fillId="0" borderId="19" xfId="0" applyBorder="1" applyAlignment="1">
      <alignment horizontal="left" vertical="top"/>
    </xf>
    <xf numFmtId="0" fontId="22" fillId="18" borderId="14" xfId="0" applyFont="1" applyFill="1" applyBorder="1" applyAlignment="1" applyProtection="1">
      <alignment horizontal="left" indent="1"/>
      <protection hidden="1"/>
    </xf>
    <xf numFmtId="0" fontId="0" fillId="0" borderId="0" xfId="0" applyAlignment="1">
      <alignment horizontal="left" wrapText="1"/>
    </xf>
    <xf numFmtId="0" fontId="0" fillId="0" borderId="24" xfId="0" applyBorder="1" applyAlignment="1">
      <alignment horizontal="left" wrapText="1"/>
    </xf>
    <xf numFmtId="0" fontId="128" fillId="0" borderId="0" xfId="0" applyFont="1" applyAlignment="1">
      <alignment horizontal="center"/>
    </xf>
    <xf numFmtId="0" fontId="5" fillId="0" borderId="0" xfId="0" applyFont="1" applyAlignment="1">
      <alignment horizontal="center"/>
    </xf>
    <xf numFmtId="0" fontId="3" fillId="0" borderId="0" xfId="0" applyFont="1" applyAlignment="1">
      <alignment horizontal="center"/>
    </xf>
    <xf numFmtId="9" fontId="119" fillId="52" borderId="142" xfId="51" applyFont="1" applyFill="1" applyBorder="1" applyAlignment="1">
      <alignment horizontal="center" vertical="center" wrapText="1"/>
    </xf>
    <xf numFmtId="9" fontId="119" fillId="52" borderId="139" xfId="51" applyFont="1" applyFill="1" applyBorder="1" applyAlignment="1">
      <alignment horizontal="center" vertical="center" wrapText="1"/>
    </xf>
    <xf numFmtId="9" fontId="119" fillId="53" borderId="165" xfId="51" applyFont="1" applyFill="1" applyBorder="1" applyAlignment="1">
      <alignment horizontal="center" vertical="center" wrapText="1"/>
    </xf>
    <xf numFmtId="9" fontId="119" fillId="53" borderId="166" xfId="51" applyFont="1" applyFill="1" applyBorder="1" applyAlignment="1">
      <alignment horizontal="center" vertical="center" wrapText="1"/>
    </xf>
    <xf numFmtId="0" fontId="3" fillId="23" borderId="17" xfId="0" applyFont="1" applyFill="1" applyBorder="1" applyAlignment="1">
      <alignment horizontal="center"/>
    </xf>
    <xf numFmtId="0" fontId="3" fillId="23" borderId="18" xfId="0" applyFont="1" applyFill="1" applyBorder="1" applyAlignment="1">
      <alignment horizontal="center"/>
    </xf>
    <xf numFmtId="0" fontId="3" fillId="23" borderId="19" xfId="0" applyFont="1" applyFill="1" applyBorder="1" applyAlignment="1">
      <alignment horizontal="center"/>
    </xf>
  </cellXfs>
  <cellStyles count="60">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Comma" xfId="28" builtinId="3"/>
    <cellStyle name="Comma 2" xfId="56" xr:uid="{00000000-0005-0000-0000-00001C000000}"/>
    <cellStyle name="Comma_EIV calc draft WIP 2011 08 11" xfId="29" xr:uid="{00000000-0005-0000-0000-00001D000000}"/>
    <cellStyle name="Currency" xfId="30" builtinId="4"/>
    <cellStyle name="Currency 2" xfId="31" xr:uid="{00000000-0005-0000-0000-00001F000000}"/>
    <cellStyle name="Currency 2 2" xfId="57" xr:uid="{00000000-0005-0000-0000-000020000000}"/>
    <cellStyle name="Currency_ADI Pricing Model - Standard_PMI COMP" xfId="32" xr:uid="{00000000-0005-0000-0000-000021000000}"/>
    <cellStyle name="Currency_EIV calc draft WIP 2011 08 11" xfId="33" xr:uid="{00000000-0005-0000-0000-000023000000}"/>
    <cellStyle name="Currency_Serv Calc_Proposed" xfId="34" xr:uid="{00000000-0005-0000-0000-000024000000}"/>
    <cellStyle name="Explanatory Text" xfId="35" builtinId="53" customBuiltin="1"/>
    <cellStyle name="Good" xfId="36" builtinId="26" customBuiltin="1"/>
    <cellStyle name="Heading 1" xfId="37" builtinId="16" customBuiltin="1"/>
    <cellStyle name="Heading 2" xfId="38" builtinId="17" customBuiltin="1"/>
    <cellStyle name="Heading 3" xfId="39" builtinId="18" customBuiltin="1"/>
    <cellStyle name="Heading 4" xfId="40" builtinId="19" customBuiltin="1"/>
    <cellStyle name="Input" xfId="41" builtinId="20" customBuiltin="1"/>
    <cellStyle name="Linked Cell" xfId="42" builtinId="24" customBuiltin="1"/>
    <cellStyle name="Neutral" xfId="43" builtinId="28" customBuiltin="1"/>
    <cellStyle name="Normal" xfId="0" builtinId="0"/>
    <cellStyle name="Normal 2" xfId="44" xr:uid="{00000000-0005-0000-0000-00002F000000}"/>
    <cellStyle name="Normal 3" xfId="59" xr:uid="{00000000-0005-0000-0000-000030000000}"/>
    <cellStyle name="Normal_E-Solve Master Rate Cards_25 Sept09" xfId="45" xr:uid="{00000000-0005-0000-0000-000031000000}"/>
    <cellStyle name="Normal_References" xfId="46" xr:uid="{00000000-0005-0000-0000-000032000000}"/>
    <cellStyle name="Normal_References_1" xfId="47" xr:uid="{00000000-0005-0000-0000-000033000000}"/>
    <cellStyle name="Normal_Sheet1" xfId="48" xr:uid="{00000000-0005-0000-0000-000034000000}"/>
    <cellStyle name="Note" xfId="49" builtinId="10" customBuiltin="1"/>
    <cellStyle name="Note 2" xfId="58" xr:uid="{00000000-0005-0000-0000-000036000000}"/>
    <cellStyle name="Output" xfId="50" builtinId="21" customBuiltin="1"/>
    <cellStyle name="Per cent" xfId="51" builtinId="5"/>
    <cellStyle name="Percent 2" xfId="52" xr:uid="{00000000-0005-0000-0000-000039000000}"/>
    <cellStyle name="Title" xfId="53" builtinId="15" customBuiltin="1"/>
    <cellStyle name="Total" xfId="54" builtinId="25" customBuiltin="1"/>
    <cellStyle name="Warning Text" xfId="55" builtinId="11" customBuiltin="1"/>
  </cellStyles>
  <dxfs count="113">
    <dxf>
      <font>
        <condense val="0"/>
        <extend val="0"/>
        <color indexed="38"/>
      </font>
    </dxf>
    <dxf>
      <font>
        <color rgb="FF800000"/>
      </font>
      <fill>
        <patternFill>
          <bgColor indexed="29"/>
        </patternFill>
      </fill>
      <border>
        <left style="thin">
          <color indexed="60"/>
        </left>
        <right style="thin">
          <color indexed="60"/>
        </right>
        <top style="thin">
          <color indexed="60"/>
        </top>
        <bottom style="thin">
          <color indexed="60"/>
        </bottom>
      </border>
    </dxf>
    <dxf>
      <font>
        <condense val="0"/>
        <extend val="0"/>
        <color indexed="38"/>
      </font>
    </dxf>
    <dxf>
      <font>
        <color rgb="FF800000"/>
      </font>
      <fill>
        <patternFill>
          <bgColor indexed="29"/>
        </patternFill>
      </fill>
      <border>
        <left style="thin">
          <color indexed="60"/>
        </left>
        <right style="thin">
          <color indexed="60"/>
        </right>
        <top style="thin">
          <color indexed="60"/>
        </top>
        <bottom style="thin">
          <color indexed="60"/>
        </bottom>
      </border>
    </dxf>
    <dxf>
      <font>
        <condense val="0"/>
        <extend val="0"/>
        <color indexed="38"/>
      </font>
    </dxf>
    <dxf>
      <font>
        <color rgb="FF800000"/>
      </font>
      <fill>
        <patternFill>
          <bgColor indexed="29"/>
        </patternFill>
      </fill>
      <border>
        <left style="thin">
          <color indexed="60"/>
        </left>
        <right style="thin">
          <color indexed="60"/>
        </right>
        <top style="thin">
          <color indexed="60"/>
        </top>
        <bottom style="thin">
          <color indexed="60"/>
        </bottom>
      </border>
    </dxf>
    <dxf>
      <font>
        <condense val="0"/>
        <extend val="0"/>
        <color indexed="38"/>
      </font>
    </dxf>
    <dxf>
      <font>
        <color rgb="FF800000"/>
      </font>
      <fill>
        <patternFill>
          <bgColor indexed="29"/>
        </patternFill>
      </fill>
      <border>
        <left style="thin">
          <color indexed="60"/>
        </left>
        <right style="thin">
          <color indexed="60"/>
        </right>
        <top style="thin">
          <color indexed="60"/>
        </top>
        <bottom style="thin">
          <color indexed="60"/>
        </bottom>
      </border>
    </dxf>
    <dxf>
      <font>
        <condense val="0"/>
        <extend val="0"/>
        <color indexed="38"/>
      </font>
    </dxf>
    <dxf>
      <font>
        <color rgb="FF800000"/>
      </font>
      <fill>
        <patternFill>
          <bgColor indexed="29"/>
        </patternFill>
      </fill>
      <border>
        <left style="thin">
          <color indexed="60"/>
        </left>
        <right style="thin">
          <color indexed="60"/>
        </right>
        <top style="thin">
          <color indexed="60"/>
        </top>
        <bottom style="thin">
          <color indexed="60"/>
        </bottom>
      </border>
    </dxf>
    <dxf>
      <font>
        <condense val="0"/>
        <extend val="0"/>
        <color indexed="38"/>
      </font>
    </dxf>
    <dxf>
      <font>
        <condense val="0"/>
        <extend val="0"/>
        <color indexed="16"/>
      </font>
      <fill>
        <patternFill>
          <bgColor indexed="29"/>
        </patternFill>
      </fill>
      <border>
        <left style="thin">
          <color indexed="55"/>
        </left>
        <right style="thin">
          <color indexed="55"/>
        </right>
        <top style="thin">
          <color indexed="55"/>
        </top>
        <bottom style="thin">
          <color indexed="55"/>
        </bottom>
      </border>
    </dxf>
    <dxf>
      <font>
        <b/>
        <i val="0"/>
        <condense val="0"/>
        <extend val="0"/>
        <color indexed="9"/>
      </font>
      <fill>
        <patternFill>
          <bgColor indexed="10"/>
        </patternFill>
      </fill>
      <border>
        <left style="thin">
          <color indexed="62"/>
        </left>
        <right style="thin">
          <color indexed="62"/>
        </right>
        <top style="thin">
          <color indexed="62"/>
        </top>
        <bottom style="thin">
          <color indexed="62"/>
        </bottom>
      </border>
    </dxf>
    <dxf>
      <font>
        <b/>
        <i val="0"/>
        <condense val="0"/>
        <extend val="0"/>
        <color indexed="63"/>
      </font>
      <fill>
        <patternFill patternType="none">
          <bgColor indexed="65"/>
        </patternFill>
      </fill>
      <border>
        <left style="thin">
          <color indexed="55"/>
        </left>
        <right style="thin">
          <color indexed="55"/>
        </right>
        <top style="thin">
          <color indexed="55"/>
        </top>
        <bottom style="thin">
          <color indexed="55"/>
        </bottom>
      </border>
    </dxf>
    <dxf>
      <font>
        <b/>
        <i val="0"/>
        <condense val="0"/>
        <extend val="0"/>
        <color indexed="9"/>
      </font>
      <fill>
        <patternFill>
          <bgColor indexed="10"/>
        </patternFill>
      </fill>
      <border>
        <left style="thin">
          <color indexed="62"/>
        </left>
        <right style="thin">
          <color indexed="62"/>
        </right>
        <top style="thin">
          <color indexed="62"/>
        </top>
        <bottom style="thin">
          <color indexed="62"/>
        </bottom>
      </border>
    </dxf>
    <dxf>
      <font>
        <b/>
        <i val="0"/>
        <condense val="0"/>
        <extend val="0"/>
        <color indexed="63"/>
      </font>
      <fill>
        <patternFill patternType="none">
          <bgColor indexed="65"/>
        </patternFill>
      </fill>
      <border>
        <left style="thin">
          <color indexed="55"/>
        </left>
        <right style="thin">
          <color indexed="55"/>
        </right>
        <top style="thin">
          <color indexed="55"/>
        </top>
        <bottom style="thin">
          <color indexed="55"/>
        </bottom>
      </border>
    </dxf>
    <dxf>
      <font>
        <b/>
        <i val="0"/>
        <condense val="0"/>
        <extend val="0"/>
        <color indexed="9"/>
      </font>
      <fill>
        <patternFill>
          <bgColor indexed="10"/>
        </patternFill>
      </fill>
      <border>
        <left style="thin">
          <color indexed="62"/>
        </left>
        <right style="thin">
          <color indexed="62"/>
        </right>
        <top style="thin">
          <color indexed="62"/>
        </top>
        <bottom style="thin">
          <color indexed="62"/>
        </bottom>
      </border>
    </dxf>
    <dxf>
      <font>
        <b val="0"/>
        <i val="0"/>
        <condense val="0"/>
        <extend val="0"/>
        <color indexed="63"/>
      </font>
      <fill>
        <patternFill patternType="none">
          <bgColor indexed="65"/>
        </patternFill>
      </fill>
      <border>
        <left style="thin">
          <color indexed="55"/>
        </left>
        <right style="thin">
          <color indexed="55"/>
        </right>
        <top style="thin">
          <color indexed="55"/>
        </top>
        <bottom style="thin">
          <color indexed="55"/>
        </bottom>
      </border>
    </dxf>
    <dxf>
      <fill>
        <patternFill patternType="solid">
          <bgColor indexed="26"/>
        </patternFill>
      </fill>
      <border>
        <left style="thin">
          <color indexed="10"/>
        </left>
        <right style="thin">
          <color indexed="10"/>
        </right>
        <top style="thin">
          <color indexed="10"/>
        </top>
        <bottom style="thin">
          <color indexed="10"/>
        </bottom>
      </border>
    </dxf>
    <dxf>
      <font>
        <condense val="0"/>
        <extend val="0"/>
        <color indexed="62"/>
      </font>
      <fill>
        <patternFill>
          <bgColor indexed="26"/>
        </patternFill>
      </fill>
      <border>
        <left style="thin">
          <color indexed="22"/>
        </left>
        <right style="thin">
          <color indexed="22"/>
        </right>
        <top style="thin">
          <color indexed="22"/>
        </top>
        <bottom style="thin">
          <color indexed="22"/>
        </bottom>
      </border>
    </dxf>
    <dxf>
      <font>
        <b/>
        <i val="0"/>
        <condense val="0"/>
        <extend val="0"/>
        <color indexed="9"/>
      </font>
      <fill>
        <patternFill>
          <bgColor indexed="10"/>
        </patternFill>
      </fill>
    </dxf>
    <dxf>
      <font>
        <b/>
        <i val="0"/>
        <condense val="0"/>
        <extend val="0"/>
        <color indexed="9"/>
      </font>
      <fill>
        <patternFill patternType="none">
          <bgColor indexed="65"/>
        </patternFill>
      </fill>
    </dxf>
    <dxf>
      <font>
        <b/>
        <i val="0"/>
        <condense val="0"/>
        <extend val="0"/>
        <color indexed="9"/>
      </font>
      <fill>
        <patternFill>
          <bgColor indexed="10"/>
        </patternFill>
      </fill>
      <border>
        <left style="thin">
          <color indexed="62"/>
        </left>
        <right style="thin">
          <color indexed="62"/>
        </right>
        <top style="thin">
          <color indexed="62"/>
        </top>
        <bottom style="thin">
          <color indexed="62"/>
        </bottom>
      </border>
    </dxf>
    <dxf>
      <font>
        <b/>
        <i val="0"/>
        <condense val="0"/>
        <extend val="0"/>
        <color indexed="9"/>
      </font>
      <fill>
        <patternFill>
          <bgColor indexed="62"/>
        </patternFill>
      </fill>
      <border>
        <left style="thin">
          <color indexed="62"/>
        </left>
        <right style="thin">
          <color indexed="62"/>
        </right>
        <top style="thin">
          <color indexed="62"/>
        </top>
        <bottom style="thin">
          <color indexed="62"/>
        </bottom>
      </border>
    </dxf>
    <dxf>
      <font>
        <b/>
        <i val="0"/>
        <condense val="0"/>
        <extend val="0"/>
        <color indexed="10"/>
      </font>
      <fill>
        <patternFill patternType="solid">
          <bgColor indexed="26"/>
        </patternFill>
      </fill>
      <border>
        <left style="thin">
          <color indexed="10"/>
        </left>
        <right style="thin">
          <color indexed="10"/>
        </right>
        <top style="thin">
          <color indexed="10"/>
        </top>
        <bottom style="thin">
          <color indexed="10"/>
        </bottom>
      </border>
    </dxf>
    <dxf>
      <font>
        <b val="0"/>
        <i/>
        <condense val="0"/>
        <extend val="0"/>
        <color indexed="23"/>
      </font>
    </dxf>
    <dxf>
      <font>
        <b/>
        <i val="0"/>
        <condense val="0"/>
        <extend val="0"/>
        <color indexed="10"/>
      </font>
    </dxf>
    <dxf>
      <font>
        <color theme="0" tint="-4.9989318521683403E-2"/>
        <name val="Cambria"/>
        <scheme val="none"/>
      </font>
    </dxf>
    <dxf>
      <font>
        <b/>
        <i val="0"/>
        <condense val="0"/>
        <extend val="0"/>
        <color indexed="10"/>
      </font>
    </dxf>
    <dxf>
      <font>
        <b/>
        <i val="0"/>
        <condense val="0"/>
        <extend val="0"/>
        <color indexed="63"/>
      </font>
    </dxf>
    <dxf>
      <font>
        <b/>
        <i val="0"/>
        <condense val="0"/>
        <extend val="0"/>
        <color indexed="52"/>
      </font>
    </dxf>
    <dxf>
      <font>
        <b/>
        <i val="0"/>
        <condense val="0"/>
        <extend val="0"/>
        <color indexed="17"/>
      </font>
    </dxf>
    <dxf>
      <font>
        <b/>
        <i val="0"/>
        <condense val="0"/>
        <extend val="0"/>
        <color indexed="10"/>
      </font>
    </dxf>
    <dxf>
      <font>
        <b/>
        <i val="0"/>
        <strike val="0"/>
        <color theme="9" tint="-0.24994659260841701"/>
      </font>
    </dxf>
    <dxf>
      <font>
        <b/>
        <i val="0"/>
        <condense val="0"/>
        <extend val="0"/>
        <color indexed="17"/>
      </font>
    </dxf>
    <dxf>
      <font>
        <b/>
        <i val="0"/>
        <condense val="0"/>
        <extend val="0"/>
        <color indexed="10"/>
      </font>
    </dxf>
    <dxf>
      <font>
        <b/>
        <i val="0"/>
        <condense val="0"/>
        <extend val="0"/>
        <color indexed="52"/>
      </font>
    </dxf>
    <dxf>
      <font>
        <condense val="0"/>
        <extend val="0"/>
        <color indexed="9"/>
      </font>
    </dxf>
    <dxf>
      <fill>
        <patternFill>
          <bgColor indexed="29"/>
        </patternFill>
      </fill>
    </dxf>
    <dxf>
      <font>
        <b/>
        <i val="0"/>
        <color rgb="FFFF0000"/>
      </font>
    </dxf>
    <dxf>
      <font>
        <b/>
        <i val="0"/>
        <color rgb="FFFF0000"/>
      </font>
    </dxf>
    <dxf>
      <fill>
        <patternFill>
          <bgColor rgb="FFC00000"/>
        </patternFill>
      </fill>
    </dxf>
    <dxf>
      <font>
        <b/>
        <i val="0"/>
        <color rgb="FFFF0000"/>
      </font>
    </dxf>
    <dxf>
      <font>
        <b/>
        <i val="0"/>
        <color rgb="FFFF0000"/>
      </font>
    </dxf>
    <dxf>
      <fill>
        <patternFill>
          <bgColor indexed="29"/>
        </patternFill>
      </fill>
    </dxf>
    <dxf>
      <fill>
        <patternFill>
          <bgColor indexed="29"/>
        </patternFill>
      </fill>
    </dxf>
    <dxf>
      <fill>
        <patternFill>
          <bgColor indexed="29"/>
        </patternFill>
      </fill>
    </dxf>
    <dxf>
      <fill>
        <patternFill>
          <bgColor indexed="29"/>
        </patternFill>
      </fill>
    </dxf>
    <dxf>
      <fill>
        <patternFill>
          <bgColor indexed="29"/>
        </patternFill>
      </fill>
    </dxf>
    <dxf>
      <fill>
        <patternFill>
          <bgColor indexed="29"/>
        </patternFill>
      </fill>
    </dxf>
    <dxf>
      <fill>
        <patternFill>
          <bgColor indexed="29"/>
        </patternFill>
      </fill>
    </dxf>
    <dxf>
      <font>
        <color theme="0" tint="-4.9989318521683403E-2"/>
        <name val="Cambria"/>
        <scheme val="none"/>
      </font>
    </dxf>
    <dxf>
      <font>
        <color theme="0" tint="-4.9989318521683403E-2"/>
        <name val="Cambria"/>
        <scheme val="none"/>
      </font>
    </dxf>
    <dxf>
      <font>
        <color theme="0" tint="-4.9989318521683403E-2"/>
        <name val="Cambria"/>
        <scheme val="none"/>
      </font>
    </dxf>
    <dxf>
      <fill>
        <patternFill>
          <bgColor indexed="29"/>
        </patternFill>
      </fill>
    </dxf>
    <dxf>
      <font>
        <color theme="0" tint="-4.9989318521683403E-2"/>
        <name val="Cambria"/>
        <scheme val="none"/>
      </font>
    </dxf>
    <dxf>
      <fill>
        <patternFill>
          <bgColor indexed="29"/>
        </patternFill>
      </fill>
    </dxf>
    <dxf>
      <font>
        <color theme="0" tint="-4.9989318521683403E-2"/>
        <name val="Cambria"/>
        <scheme val="none"/>
      </font>
    </dxf>
    <dxf>
      <font>
        <b/>
        <i val="0"/>
        <strike val="0"/>
        <color theme="9"/>
      </font>
    </dxf>
    <dxf>
      <font>
        <condense val="0"/>
        <extend val="0"/>
        <color indexed="9"/>
      </font>
    </dxf>
    <dxf>
      <font>
        <b/>
        <i val="0"/>
        <condense val="0"/>
        <extend val="0"/>
        <color indexed="10"/>
      </font>
    </dxf>
    <dxf>
      <fill>
        <patternFill>
          <bgColor indexed="29"/>
        </patternFill>
      </fill>
    </dxf>
    <dxf>
      <font>
        <color rgb="FF800000"/>
      </font>
      <fill>
        <patternFill>
          <bgColor rgb="FFFF8080"/>
        </patternFill>
      </fill>
    </dxf>
    <dxf>
      <font>
        <condense val="0"/>
        <extend val="0"/>
        <color indexed="38"/>
      </font>
    </dxf>
    <dxf>
      <font>
        <color rgb="FF800000"/>
      </font>
      <fill>
        <patternFill>
          <bgColor indexed="29"/>
        </patternFill>
      </fill>
      <border>
        <left style="thin">
          <color indexed="60"/>
        </left>
        <right style="thin">
          <color indexed="60"/>
        </right>
        <top style="thin">
          <color indexed="60"/>
        </top>
        <bottom style="thin">
          <color indexed="60"/>
        </bottom>
      </border>
    </dxf>
    <dxf>
      <font>
        <condense val="0"/>
        <extend val="0"/>
        <color indexed="38"/>
      </font>
    </dxf>
    <dxf>
      <font>
        <color rgb="FF800000"/>
      </font>
      <fill>
        <patternFill>
          <bgColor indexed="29"/>
        </patternFill>
      </fill>
      <border>
        <left style="thin">
          <color indexed="60"/>
        </left>
        <right style="thin">
          <color indexed="60"/>
        </right>
        <top style="thin">
          <color indexed="60"/>
        </top>
        <bottom style="thin">
          <color indexed="60"/>
        </bottom>
      </border>
    </dxf>
    <dxf>
      <font>
        <condense val="0"/>
        <extend val="0"/>
        <color indexed="38"/>
      </font>
    </dxf>
    <dxf>
      <font>
        <color rgb="FF800000"/>
      </font>
      <fill>
        <patternFill>
          <bgColor indexed="29"/>
        </patternFill>
      </fill>
      <border>
        <left style="thin">
          <color indexed="60"/>
        </left>
        <right style="thin">
          <color indexed="60"/>
        </right>
        <top style="thin">
          <color indexed="60"/>
        </top>
        <bottom style="thin">
          <color indexed="60"/>
        </bottom>
      </border>
    </dxf>
    <dxf>
      <font>
        <condense val="0"/>
        <extend val="0"/>
        <color indexed="38"/>
      </font>
    </dxf>
    <dxf>
      <font>
        <color rgb="FF800000"/>
      </font>
      <fill>
        <patternFill>
          <bgColor indexed="29"/>
        </patternFill>
      </fill>
      <border>
        <left style="thin">
          <color indexed="60"/>
        </left>
        <right style="thin">
          <color indexed="60"/>
        </right>
        <top style="thin">
          <color indexed="60"/>
        </top>
        <bottom style="thin">
          <color indexed="60"/>
        </bottom>
      </border>
    </dxf>
    <dxf>
      <font>
        <condense val="0"/>
        <extend val="0"/>
        <color indexed="38"/>
      </font>
    </dxf>
    <dxf>
      <font>
        <color rgb="FF800000"/>
      </font>
      <fill>
        <patternFill>
          <bgColor indexed="29"/>
        </patternFill>
      </fill>
      <border>
        <left style="thin">
          <color indexed="60"/>
        </left>
        <right style="thin">
          <color indexed="60"/>
        </right>
        <top style="thin">
          <color indexed="60"/>
        </top>
        <bottom style="thin">
          <color indexed="60"/>
        </bottom>
      </border>
    </dxf>
    <dxf>
      <font>
        <condense val="0"/>
        <extend val="0"/>
        <color indexed="38"/>
      </font>
    </dxf>
    <dxf>
      <font>
        <condense val="0"/>
        <extend val="0"/>
        <color indexed="16"/>
      </font>
      <fill>
        <patternFill>
          <bgColor indexed="29"/>
        </patternFill>
      </fill>
      <border>
        <left style="thin">
          <color indexed="55"/>
        </left>
        <right style="thin">
          <color indexed="55"/>
        </right>
        <top style="thin">
          <color indexed="55"/>
        </top>
        <bottom style="thin">
          <color indexed="55"/>
        </bottom>
      </border>
    </dxf>
    <dxf>
      <font>
        <color rgb="FF800000"/>
      </font>
      <fill>
        <patternFill>
          <bgColor indexed="29"/>
        </patternFill>
      </fill>
    </dxf>
    <dxf>
      <font>
        <condense val="0"/>
        <extend val="0"/>
        <color indexed="38"/>
      </font>
    </dxf>
    <dxf>
      <font>
        <color rgb="FF800000"/>
      </font>
      <fill>
        <patternFill>
          <bgColor indexed="29"/>
        </patternFill>
      </fill>
      <border>
        <left style="thin">
          <color indexed="60"/>
        </left>
        <right style="thin">
          <color indexed="60"/>
        </right>
        <top style="thin">
          <color indexed="60"/>
        </top>
        <bottom style="thin">
          <color indexed="60"/>
        </bottom>
      </border>
    </dxf>
    <dxf>
      <font>
        <condense val="0"/>
        <extend val="0"/>
        <color indexed="38"/>
      </font>
    </dxf>
    <dxf>
      <font>
        <color rgb="FF800000"/>
      </font>
      <fill>
        <patternFill>
          <bgColor indexed="29"/>
        </patternFill>
      </fill>
      <border>
        <left style="thin">
          <color indexed="60"/>
        </left>
        <right style="thin">
          <color indexed="60"/>
        </right>
        <top style="thin">
          <color indexed="60"/>
        </top>
        <bottom style="thin">
          <color indexed="60"/>
        </bottom>
      </border>
    </dxf>
    <dxf>
      <font>
        <condense val="0"/>
        <extend val="0"/>
        <color indexed="38"/>
      </font>
    </dxf>
    <dxf>
      <font>
        <color rgb="FF800000"/>
      </font>
      <fill>
        <patternFill>
          <bgColor indexed="29"/>
        </patternFill>
      </fill>
      <border>
        <left style="thin">
          <color indexed="60"/>
        </left>
        <right style="thin">
          <color indexed="60"/>
        </right>
        <top style="thin">
          <color indexed="60"/>
        </top>
        <bottom style="thin">
          <color indexed="60"/>
        </bottom>
      </border>
    </dxf>
    <dxf>
      <font>
        <condense val="0"/>
        <extend val="0"/>
        <color indexed="38"/>
      </font>
    </dxf>
    <dxf>
      <font>
        <color rgb="FF800000"/>
      </font>
      <fill>
        <patternFill>
          <bgColor indexed="29"/>
        </patternFill>
      </fill>
      <border>
        <left style="thin">
          <color indexed="60"/>
        </left>
        <right style="thin">
          <color indexed="60"/>
        </right>
        <top style="thin">
          <color indexed="60"/>
        </top>
        <bottom style="thin">
          <color indexed="60"/>
        </bottom>
      </border>
    </dxf>
    <dxf>
      <font>
        <condense val="0"/>
        <extend val="0"/>
        <color indexed="38"/>
      </font>
    </dxf>
    <dxf>
      <font>
        <color rgb="FF800000"/>
      </font>
      <fill>
        <patternFill>
          <bgColor indexed="29"/>
        </patternFill>
      </fill>
      <border>
        <left style="thin">
          <color indexed="60"/>
        </left>
        <right style="thin">
          <color indexed="60"/>
        </right>
        <top style="thin">
          <color indexed="60"/>
        </top>
        <bottom style="thin">
          <color indexed="60"/>
        </bottom>
      </border>
    </dxf>
    <dxf>
      <font>
        <condense val="0"/>
        <extend val="0"/>
        <color indexed="38"/>
      </font>
    </dxf>
    <dxf>
      <font>
        <condense val="0"/>
        <extend val="0"/>
        <color indexed="16"/>
      </font>
      <fill>
        <patternFill>
          <bgColor indexed="29"/>
        </patternFill>
      </fill>
      <border>
        <left style="thin">
          <color indexed="55"/>
        </left>
        <right style="thin">
          <color indexed="55"/>
        </right>
        <top style="thin">
          <color indexed="55"/>
        </top>
        <bottom style="thin">
          <color indexed="55"/>
        </bottom>
      </border>
    </dxf>
    <dxf>
      <font>
        <color theme="0" tint="-4.9989318521683403E-2"/>
        <name val="Cambria"/>
        <scheme val="none"/>
      </font>
    </dxf>
    <dxf>
      <font>
        <b/>
        <i val="0"/>
        <condense val="0"/>
        <extend val="0"/>
        <color indexed="10"/>
      </font>
    </dxf>
    <dxf>
      <font>
        <condense val="0"/>
        <extend val="0"/>
        <color indexed="16"/>
      </font>
      <fill>
        <patternFill>
          <bgColor indexed="29"/>
        </patternFill>
      </fill>
      <border>
        <left style="thin">
          <color indexed="55"/>
        </left>
        <right style="thin">
          <color indexed="55"/>
        </right>
        <top style="thin">
          <color indexed="55"/>
        </top>
        <bottom style="thin">
          <color indexed="55"/>
        </bottom>
      </border>
    </dxf>
    <dxf>
      <font>
        <condense val="0"/>
        <extend val="0"/>
        <color indexed="16"/>
      </font>
      <fill>
        <patternFill>
          <bgColor indexed="29"/>
        </patternFill>
      </fill>
      <border>
        <left style="thin">
          <color indexed="55"/>
        </left>
        <right style="thin">
          <color indexed="55"/>
        </right>
        <top style="thin">
          <color indexed="55"/>
        </top>
        <bottom style="thin">
          <color indexed="55"/>
        </bottom>
      </border>
    </dxf>
    <dxf>
      <font>
        <b/>
        <i val="0"/>
        <condense val="0"/>
        <extend val="0"/>
        <color indexed="16"/>
      </font>
      <fill>
        <patternFill>
          <bgColor indexed="29"/>
        </patternFill>
      </fill>
      <border>
        <left style="thin">
          <color indexed="55"/>
        </left>
        <right style="thin">
          <color indexed="55"/>
        </right>
        <top style="thin">
          <color indexed="55"/>
        </top>
        <bottom style="thin">
          <color indexed="55"/>
        </bottom>
      </border>
    </dxf>
    <dxf>
      <fill>
        <patternFill>
          <bgColor theme="0" tint="-4.9989318521683403E-2"/>
        </patternFill>
      </fill>
    </dxf>
    <dxf>
      <fill>
        <patternFill>
          <bgColor indexed="9"/>
        </patternFill>
      </fill>
    </dxf>
    <dxf>
      <font>
        <condense val="0"/>
        <extend val="0"/>
        <color indexed="62"/>
      </font>
    </dxf>
    <dxf>
      <font>
        <condense val="0"/>
        <extend val="0"/>
        <color indexed="9"/>
      </font>
    </dxf>
    <dxf>
      <font>
        <condense val="0"/>
        <extend val="0"/>
        <color indexed="62"/>
      </font>
      <fill>
        <patternFill>
          <bgColor indexed="29"/>
        </patternFill>
      </fill>
      <border>
        <left style="thin">
          <color indexed="25"/>
        </left>
        <right style="thin">
          <color indexed="25"/>
        </right>
        <top style="thin">
          <color indexed="25"/>
        </top>
        <bottom style="thin">
          <color indexed="25"/>
        </bottom>
      </border>
    </dxf>
    <dxf>
      <font>
        <b/>
        <i val="0"/>
        <condense val="0"/>
        <extend val="0"/>
        <color indexed="10"/>
      </font>
    </dxf>
    <dxf>
      <font>
        <b/>
        <i val="0"/>
        <condense val="0"/>
        <extend val="0"/>
        <color indexed="63"/>
      </font>
    </dxf>
    <dxf>
      <font>
        <condense val="0"/>
        <extend val="0"/>
        <color indexed="63"/>
      </font>
    </dxf>
    <dxf>
      <font>
        <b/>
        <i val="0"/>
        <condense val="0"/>
        <extend val="0"/>
        <color indexed="52"/>
      </font>
    </dxf>
    <dxf>
      <font>
        <b/>
        <i val="0"/>
        <condense val="0"/>
        <extend val="0"/>
        <color indexed="17"/>
      </font>
    </dxf>
    <dxf>
      <font>
        <b/>
        <i val="0"/>
        <condense val="0"/>
        <extend val="0"/>
        <color indexed="10"/>
      </font>
    </dxf>
    <dxf>
      <font>
        <b/>
        <i val="0"/>
        <condense val="0"/>
        <extend val="0"/>
        <color indexed="17"/>
      </font>
    </dxf>
    <dxf>
      <font>
        <b/>
        <i val="0"/>
        <condense val="0"/>
        <extend val="0"/>
        <color indexed="10"/>
      </font>
    </dxf>
    <dxf>
      <font>
        <b/>
        <i val="0"/>
        <condense val="0"/>
        <extend val="0"/>
        <color indexed="52"/>
      </font>
    </dxf>
    <dxf>
      <fill>
        <patternFill>
          <bgColor indexed="29"/>
        </patternFill>
      </fill>
      <border>
        <left style="thin">
          <color indexed="16"/>
        </left>
        <right style="thin">
          <color indexed="16"/>
        </right>
        <top style="thin">
          <color indexed="16"/>
        </top>
        <bottom style="thin">
          <color indexed="16"/>
        </bottom>
      </border>
    </dxf>
    <dxf>
      <fill>
        <patternFill>
          <bgColor indexed="29"/>
        </patternFill>
      </fill>
      <border>
        <left style="thin">
          <color indexed="16"/>
        </left>
        <right style="thin">
          <color indexed="16"/>
        </right>
        <top style="thin">
          <color indexed="16"/>
        </top>
        <bottom style="thin">
          <color indexed="16"/>
        </bottom>
      </border>
    </dxf>
    <dxf>
      <fill>
        <patternFill>
          <bgColor indexed="29"/>
        </patternFill>
      </fill>
      <border>
        <left style="thin">
          <color indexed="16"/>
        </left>
        <right style="thin">
          <color indexed="16"/>
        </right>
        <top style="thin">
          <color indexed="16"/>
        </top>
        <bottom style="thin">
          <color indexed="16"/>
        </bottom>
      </border>
    </dxf>
    <dxf>
      <fill>
        <patternFill>
          <bgColor indexed="29"/>
        </patternFill>
      </fill>
      <border>
        <left style="thin">
          <color indexed="16"/>
        </left>
        <right style="thin">
          <color indexed="16"/>
        </right>
        <top style="thin">
          <color indexed="16"/>
        </top>
        <bottom style="thin">
          <color indexed="16"/>
        </bottom>
      </border>
    </dxf>
    <dxf>
      <border>
        <left style="dashed">
          <color indexed="10"/>
        </left>
        <right style="dashed">
          <color indexed="10"/>
        </right>
        <top style="dashed">
          <color indexed="10"/>
        </top>
        <bottom style="dashed">
          <color indexed="10"/>
        </bottom>
      </border>
    </dxf>
    <dxf>
      <fill>
        <patternFill>
          <bgColor indexed="29"/>
        </patternFill>
      </fill>
      <border>
        <left style="thin">
          <color indexed="61"/>
        </left>
        <right style="thin">
          <color indexed="61"/>
        </right>
        <top style="thin">
          <color indexed="61"/>
        </top>
        <bottom style="thin">
          <color indexed="61"/>
        </bottom>
      </border>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EAEAEA"/>
      <rgbColor rgb="000000FF"/>
      <rgbColor rgb="0000CCFF"/>
      <rgbColor rgb="00CCFFFF"/>
      <rgbColor rgb="00CCFFCC"/>
      <rgbColor rgb="00FFFF99"/>
      <rgbColor rgb="0099CCFF"/>
      <rgbColor rgb="00FF99CC"/>
      <rgbColor rgb="00CC99FF"/>
      <rgbColor rgb="00DDDDDD"/>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8000"/>
      <color rgb="FF008080"/>
      <color rgb="FFEAEAEA"/>
      <color rgb="FF800000"/>
      <color rgb="FFFF80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3.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externalLink" Target="externalLinks/externalLink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978C9E23-D4B0-11CE-BF2D-00AA003F40D0}"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Drop" dropLines="3" dropStyle="combo" dx="16" fmlaLink="#REF!" fmlaRange="#REF!" noThreeD="1" sel="0"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Drop" dropLines="5" dropStyle="combo" dx="16" fmlaLink="product" fmlaRange="References!$F$4:$F$4" noThreeD="1" sel="1" val="0"/>
</file>

<file path=xl/ctrlProps/ctrlProp5.xml><?xml version="1.0" encoding="utf-8"?>
<formControlPr xmlns="http://schemas.microsoft.com/office/spreadsheetml/2009/9/main" objectType="Drop" dropLines="6" dropStyle="combo" dx="16" fmlaLink="Sec_no_linkcell" fmlaRange="number_sec" noThreeD="1" sel="1" val="0"/>
</file>

<file path=xl/ctrlProps/ctrlProp6.xml><?xml version="1.0" encoding="utf-8"?>
<formControlPr xmlns="http://schemas.microsoft.com/office/spreadsheetml/2009/9/main" objectType="Drop" dropLines="6" dropStyle="combo" dx="16" fmlaLink="Sec_no_linkcell2" fmlaRange="number_sec" noThreeD="1" sel="1" val="0"/>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Drop" dropLines="3" dropStyle="combo" dx="16" fmlaLink="#REF!" fmlaRange="#REF!" noThreeD="1" sel="0" val="0"/>
</file>

<file path=xl/ctrlProps/ctrlProp9.xml><?xml version="1.0" encoding="utf-8"?>
<formControlPr xmlns="http://schemas.microsoft.com/office/spreadsheetml/2009/9/main" objectType="Drop" dropLines="3" dropStyle="combo" dx="16" fmlaLink="#REF!" fmlaRange="#REF!" noThreeD="1" sel="0" val="0"/>
</file>

<file path=xl/ctrlProps/ctrlProp10.xml><?xml version="1.0" encoding="utf-8"?>
<formControlPr xmlns="http://schemas.microsoft.com/office/spreadsheetml/2009/9/main" objectType="Drop" dropLines="3" dropStyle="combo" dx="16" fmlaLink="#REF!" fmlaRange="#REF!" noThreeD="1" sel="0" val="0"/>
</file>

<file path=xl/ctrlProps/ctrlProp11.xml><?xml version="1.0" encoding="utf-8"?>
<formControlPr xmlns="http://schemas.microsoft.com/office/spreadsheetml/2009/9/main" objectType="Drop" dropStyle="combo" dx="22" fmlaLink="Acct_Selection" fmlaRange="number_sec" noThreeD="1" sel="1" val="0"/>
</file>

<file path=xl/ctrlProps/ctrlProp12.xml><?xml version="1.0" encoding="utf-8"?>
<formControlPr xmlns="http://schemas.microsoft.com/office/spreadsheetml/2009/9/main" objectType="Drop" dropLines="3" dropStyle="combo" dx="16" fmlaLink="#REF!" fmlaRange="#REF!" noThreeD="1" sel="0" val="0"/>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file>

<file path=xl/ctrlProps/ctrlProp17.xml><?xml version="1.0" encoding="utf-8"?>
<formControlPr xmlns="http://schemas.microsoft.com/office/spreadsheetml/2009/9/main" objectType="CheckBox" checked="Checked" lockText="1"/>
</file>

<file path=xl/ctrlProps/ctrlProp18.xml><?xml version="1.0" encoding="utf-8"?>
<formControlPr xmlns="http://schemas.microsoft.com/office/spreadsheetml/2009/9/main" objectType="CheckBox" lockText="1"/>
</file>

<file path=xl/ctrlProps/ctrlProp19.xml><?xml version="1.0" encoding="utf-8"?>
<formControlPr xmlns="http://schemas.microsoft.com/office/spreadsheetml/2009/9/main" objectType="CheckBox" checked="Checked"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Drop" dropLines="2" dropStyle="combo" dx="16" fmlaLink="$I$4" fmlaRange="$I$5:$I$6" noThreeD="1" sel="2" val="0"/>
</file>

<file path=xl/drawings/_rels/drawing1.xml.rels><?xml version="1.0" encoding="UTF-8" standalone="yes"?>
<Relationships xmlns="http://schemas.openxmlformats.org/package/2006/relationships"><Relationship Id="rId1" Type="http://schemas.openxmlformats.org/officeDocument/2006/relationships/image" Target="../media/image4.jpg"/></Relationships>
</file>

<file path=xl/drawings/_rels/drawing4.xml.rels><?xml version="1.0" encoding="UTF-8" standalone="yes"?>
<Relationships xmlns="http://schemas.openxmlformats.org/package/2006/relationships"><Relationship Id="rId1" Type="http://schemas.openxmlformats.org/officeDocument/2006/relationships/image" Target="../media/image6.png"/></Relationships>
</file>

<file path=xl/drawings/_rels/drawing5.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7.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2.emf"/><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2</xdr:col>
      <xdr:colOff>304800</xdr:colOff>
      <xdr:row>4</xdr:row>
      <xdr:rowOff>19050</xdr:rowOff>
    </xdr:from>
    <xdr:to>
      <xdr:col>4</xdr:col>
      <xdr:colOff>152400</xdr:colOff>
      <xdr:row>5</xdr:row>
      <xdr:rowOff>19050</xdr:rowOff>
    </xdr:to>
    <xdr:sp macro="" textlink="">
      <xdr:nvSpPr>
        <xdr:cNvPr id="5421" name="Text Box 19">
          <a:extLst>
            <a:ext uri="{FF2B5EF4-FFF2-40B4-BE49-F238E27FC236}">
              <a16:creationId xmlns:a16="http://schemas.microsoft.com/office/drawing/2014/main" id="{00000000-0008-0000-0000-00002D150000}"/>
            </a:ext>
          </a:extLst>
        </xdr:cNvPr>
        <xdr:cNvSpPr txBox="1">
          <a:spLocks noChangeArrowheads="1"/>
        </xdr:cNvSpPr>
      </xdr:nvSpPr>
      <xdr:spPr bwMode="auto">
        <a:xfrm>
          <a:off x="2609850" y="1495425"/>
          <a:ext cx="895350" cy="295275"/>
        </a:xfrm>
        <a:prstGeom prst="rect">
          <a:avLst/>
        </a:prstGeom>
        <a:noFill/>
        <a:ln w="9525">
          <a:noFill/>
          <a:miter lim="800000"/>
          <a:headEnd/>
          <a:tailEnd/>
        </a:ln>
      </xdr:spPr>
      <xdr:txBody>
        <a:bodyPr vertOverflow="clip" wrap="square" lIns="27432" tIns="27432" rIns="0" bIns="0" anchor="t" upright="1"/>
        <a:lstStyle/>
        <a:p>
          <a:pPr algn="l" rtl="0">
            <a:defRPr sz="1000"/>
          </a:pPr>
          <a:r>
            <a:rPr lang="en-AU" sz="1100" b="1" i="0" u="none" strike="noStrike" baseline="0">
              <a:solidFill>
                <a:srgbClr val="FFFFFF"/>
              </a:solidFill>
              <a:latin typeface="Arial"/>
            </a:rPr>
            <a:t>Product</a:t>
          </a:r>
        </a:p>
      </xdr:txBody>
    </xdr:sp>
    <xdr:clientData/>
  </xdr:twoCellAnchor>
  <xdr:twoCellAnchor>
    <xdr:from>
      <xdr:col>4</xdr:col>
      <xdr:colOff>342900</xdr:colOff>
      <xdr:row>2</xdr:row>
      <xdr:rowOff>57150</xdr:rowOff>
    </xdr:from>
    <xdr:to>
      <xdr:col>5</xdr:col>
      <xdr:colOff>85725</xdr:colOff>
      <xdr:row>2</xdr:row>
      <xdr:rowOff>247650</xdr:rowOff>
    </xdr:to>
    <xdr:sp macro="" textlink="">
      <xdr:nvSpPr>
        <xdr:cNvPr id="5140" name="Text Box 20" hidden="1">
          <a:extLst>
            <a:ext uri="{FF2B5EF4-FFF2-40B4-BE49-F238E27FC236}">
              <a16:creationId xmlns:a16="http://schemas.microsoft.com/office/drawing/2014/main" id="{00000000-0008-0000-0000-000014140000}"/>
            </a:ext>
          </a:extLst>
        </xdr:cNvPr>
        <xdr:cNvSpPr txBox="1">
          <a:spLocks noChangeArrowheads="1"/>
        </xdr:cNvSpPr>
      </xdr:nvSpPr>
      <xdr:spPr bwMode="auto">
        <a:xfrm>
          <a:off x="3419475" y="619125"/>
          <a:ext cx="723900" cy="171450"/>
        </a:xfrm>
        <a:prstGeom prst="rect">
          <a:avLst/>
        </a:prstGeom>
        <a:noFill/>
        <a:ln w="9525">
          <a:noFill/>
          <a:miter lim="800000"/>
          <a:headEnd/>
          <a:tailEnd/>
        </a:ln>
      </xdr:spPr>
      <xdr:txBody>
        <a:bodyPr vertOverflow="clip" wrap="square" lIns="27432" tIns="22860" rIns="0" bIns="0" anchor="t" upright="1"/>
        <a:lstStyle/>
        <a:p>
          <a:pPr algn="l" rtl="0">
            <a:defRPr sz="1000"/>
          </a:pPr>
          <a:r>
            <a:rPr lang="en-AU" sz="900" b="1" i="0" u="none" strike="noStrike" baseline="0">
              <a:solidFill>
                <a:srgbClr val="FFFFFF"/>
              </a:solidFill>
              <a:latin typeface="Arial"/>
              <a:cs typeface="Arial"/>
            </a:rPr>
            <a:t>Loan Type</a:t>
          </a:r>
          <a:endParaRPr lang="en-AU" sz="1000" b="1" i="0" u="none" strike="noStrike" baseline="0">
            <a:solidFill>
              <a:srgbClr val="FFFFFF"/>
            </a:solidFill>
            <a:latin typeface="Arial"/>
            <a:cs typeface="Arial"/>
          </a:endParaRPr>
        </a:p>
        <a:p>
          <a:pPr algn="l" rtl="0">
            <a:defRPr sz="1000"/>
          </a:pPr>
          <a:endParaRPr lang="en-AU" sz="1000" b="1" i="0" u="none" strike="noStrike" baseline="0">
            <a:solidFill>
              <a:srgbClr val="FFFFFF"/>
            </a:solidFill>
            <a:latin typeface="Arial"/>
            <a:cs typeface="Arial"/>
          </a:endParaRPr>
        </a:p>
      </xdr:txBody>
    </xdr:sp>
    <xdr:clientData/>
  </xdr:twoCellAnchor>
  <xdr:twoCellAnchor>
    <xdr:from>
      <xdr:col>4</xdr:col>
      <xdr:colOff>342900</xdr:colOff>
      <xdr:row>2</xdr:row>
      <xdr:rowOff>57150</xdr:rowOff>
    </xdr:from>
    <xdr:to>
      <xdr:col>5</xdr:col>
      <xdr:colOff>85725</xdr:colOff>
      <xdr:row>2</xdr:row>
      <xdr:rowOff>247650</xdr:rowOff>
    </xdr:to>
    <xdr:sp macro="" textlink="">
      <xdr:nvSpPr>
        <xdr:cNvPr id="15" name="Text Box 20" hidden="1">
          <a:extLst>
            <a:ext uri="{FF2B5EF4-FFF2-40B4-BE49-F238E27FC236}">
              <a16:creationId xmlns:a16="http://schemas.microsoft.com/office/drawing/2014/main" id="{00000000-0008-0000-0000-00000F000000}"/>
            </a:ext>
          </a:extLst>
        </xdr:cNvPr>
        <xdr:cNvSpPr txBox="1">
          <a:spLocks noChangeArrowheads="1"/>
        </xdr:cNvSpPr>
      </xdr:nvSpPr>
      <xdr:spPr bwMode="auto">
        <a:xfrm>
          <a:off x="3695700" y="1247775"/>
          <a:ext cx="923925" cy="57150"/>
        </a:xfrm>
        <a:prstGeom prst="rect">
          <a:avLst/>
        </a:prstGeom>
        <a:noFill/>
        <a:ln w="9525">
          <a:noFill/>
          <a:miter lim="800000"/>
          <a:headEnd/>
          <a:tailEnd/>
        </a:ln>
      </xdr:spPr>
      <xdr:txBody>
        <a:bodyPr vertOverflow="clip" wrap="square" lIns="27432" tIns="22860" rIns="0" bIns="0" anchor="t" upright="1"/>
        <a:lstStyle/>
        <a:p>
          <a:pPr algn="l" rtl="0">
            <a:defRPr sz="1000"/>
          </a:pPr>
          <a:r>
            <a:rPr lang="en-AU" sz="900" b="1" i="0" u="none" strike="noStrike" baseline="0">
              <a:solidFill>
                <a:srgbClr val="FFFFFF"/>
              </a:solidFill>
              <a:latin typeface="Arial"/>
              <a:cs typeface="Arial"/>
            </a:rPr>
            <a:t>Loan Type</a:t>
          </a:r>
          <a:endParaRPr lang="en-AU" sz="1000" b="1" i="0" u="none" strike="noStrike" baseline="0">
            <a:solidFill>
              <a:srgbClr val="FFFFFF"/>
            </a:solidFill>
            <a:latin typeface="Arial"/>
            <a:cs typeface="Arial"/>
          </a:endParaRPr>
        </a:p>
        <a:p>
          <a:pPr algn="l" rtl="0">
            <a:defRPr sz="1000"/>
          </a:pPr>
          <a:endParaRPr lang="en-AU" sz="1000" b="1" i="0" u="none" strike="noStrike" baseline="0">
            <a:solidFill>
              <a:srgbClr val="FFFFFF"/>
            </a:solidFill>
            <a:latin typeface="Arial"/>
            <a:cs typeface="Arial"/>
          </a:endParaRPr>
        </a:p>
      </xdr:txBody>
    </xdr:sp>
    <xdr:clientData/>
  </xdr:twoCellAnchor>
  <xdr:twoCellAnchor>
    <xdr:from>
      <xdr:col>4</xdr:col>
      <xdr:colOff>342900</xdr:colOff>
      <xdr:row>2</xdr:row>
      <xdr:rowOff>57150</xdr:rowOff>
    </xdr:from>
    <xdr:to>
      <xdr:col>5</xdr:col>
      <xdr:colOff>85725</xdr:colOff>
      <xdr:row>2</xdr:row>
      <xdr:rowOff>247650</xdr:rowOff>
    </xdr:to>
    <xdr:sp macro="" textlink="">
      <xdr:nvSpPr>
        <xdr:cNvPr id="17" name="Text Box 20" hidden="1">
          <a:extLst>
            <a:ext uri="{FF2B5EF4-FFF2-40B4-BE49-F238E27FC236}">
              <a16:creationId xmlns:a16="http://schemas.microsoft.com/office/drawing/2014/main" id="{00000000-0008-0000-0000-000011000000}"/>
            </a:ext>
          </a:extLst>
        </xdr:cNvPr>
        <xdr:cNvSpPr txBox="1">
          <a:spLocks noChangeArrowheads="1"/>
        </xdr:cNvSpPr>
      </xdr:nvSpPr>
      <xdr:spPr bwMode="auto">
        <a:xfrm>
          <a:off x="3695700" y="1247775"/>
          <a:ext cx="923925" cy="57150"/>
        </a:xfrm>
        <a:prstGeom prst="rect">
          <a:avLst/>
        </a:prstGeom>
        <a:noFill/>
        <a:ln w="9525">
          <a:noFill/>
          <a:miter lim="800000"/>
          <a:headEnd/>
          <a:tailEnd/>
        </a:ln>
      </xdr:spPr>
      <xdr:txBody>
        <a:bodyPr vertOverflow="clip" wrap="square" lIns="27432" tIns="22860" rIns="0" bIns="0" anchor="t" upright="1"/>
        <a:lstStyle/>
        <a:p>
          <a:pPr algn="l" rtl="0">
            <a:defRPr sz="1000"/>
          </a:pPr>
          <a:r>
            <a:rPr lang="en-AU" sz="900" b="1" i="0" u="none" strike="noStrike" baseline="0">
              <a:solidFill>
                <a:srgbClr val="FFFFFF"/>
              </a:solidFill>
              <a:latin typeface="Arial"/>
              <a:cs typeface="Arial"/>
            </a:rPr>
            <a:t>Loan Type</a:t>
          </a:r>
          <a:endParaRPr lang="en-AU" sz="1000" b="1" i="0" u="none" strike="noStrike" baseline="0">
            <a:solidFill>
              <a:srgbClr val="FFFFFF"/>
            </a:solidFill>
            <a:latin typeface="Arial"/>
            <a:cs typeface="Arial"/>
          </a:endParaRPr>
        </a:p>
        <a:p>
          <a:pPr algn="l" rtl="0">
            <a:defRPr sz="1000"/>
          </a:pPr>
          <a:endParaRPr lang="en-AU" sz="1000" b="1" i="0" u="none" strike="noStrike" baseline="0">
            <a:solidFill>
              <a:srgbClr val="FFFFFF"/>
            </a:solidFill>
            <a:latin typeface="Arial"/>
            <a:cs typeface="Arial"/>
          </a:endParaRPr>
        </a:p>
      </xdr:txBody>
    </xdr:sp>
    <xdr:clientData/>
  </xdr:twoCellAnchor>
  <xdr:twoCellAnchor>
    <xdr:from>
      <xdr:col>4</xdr:col>
      <xdr:colOff>342900</xdr:colOff>
      <xdr:row>2</xdr:row>
      <xdr:rowOff>57150</xdr:rowOff>
    </xdr:from>
    <xdr:to>
      <xdr:col>5</xdr:col>
      <xdr:colOff>85725</xdr:colOff>
      <xdr:row>2</xdr:row>
      <xdr:rowOff>247650</xdr:rowOff>
    </xdr:to>
    <xdr:sp macro="" textlink="">
      <xdr:nvSpPr>
        <xdr:cNvPr id="19" name="Text Box 20" hidden="1">
          <a:extLst>
            <a:ext uri="{FF2B5EF4-FFF2-40B4-BE49-F238E27FC236}">
              <a16:creationId xmlns:a16="http://schemas.microsoft.com/office/drawing/2014/main" id="{00000000-0008-0000-0000-000013000000}"/>
            </a:ext>
          </a:extLst>
        </xdr:cNvPr>
        <xdr:cNvSpPr txBox="1">
          <a:spLocks noChangeArrowheads="1"/>
        </xdr:cNvSpPr>
      </xdr:nvSpPr>
      <xdr:spPr bwMode="auto">
        <a:xfrm>
          <a:off x="3695700" y="1247775"/>
          <a:ext cx="923925" cy="57150"/>
        </a:xfrm>
        <a:prstGeom prst="rect">
          <a:avLst/>
        </a:prstGeom>
        <a:noFill/>
        <a:ln w="9525">
          <a:noFill/>
          <a:miter lim="800000"/>
          <a:headEnd/>
          <a:tailEnd/>
        </a:ln>
      </xdr:spPr>
      <xdr:txBody>
        <a:bodyPr vertOverflow="clip" wrap="square" lIns="27432" tIns="22860" rIns="0" bIns="0" anchor="t" upright="1"/>
        <a:lstStyle/>
        <a:p>
          <a:pPr algn="l" rtl="0">
            <a:defRPr sz="1000"/>
          </a:pPr>
          <a:r>
            <a:rPr lang="en-AU" sz="900" b="1" i="0" u="none" strike="noStrike" baseline="0">
              <a:solidFill>
                <a:srgbClr val="FFFFFF"/>
              </a:solidFill>
              <a:latin typeface="Arial"/>
              <a:cs typeface="Arial"/>
            </a:rPr>
            <a:t>Loan Type</a:t>
          </a:r>
          <a:endParaRPr lang="en-AU" sz="1000" b="1" i="0" u="none" strike="noStrike" baseline="0">
            <a:solidFill>
              <a:srgbClr val="FFFFFF"/>
            </a:solidFill>
            <a:latin typeface="Arial"/>
            <a:cs typeface="Arial"/>
          </a:endParaRPr>
        </a:p>
        <a:p>
          <a:pPr algn="l" rtl="0">
            <a:defRPr sz="1000"/>
          </a:pPr>
          <a:endParaRPr lang="en-AU" sz="1000" b="1" i="0" u="none" strike="noStrike" baseline="0">
            <a:solidFill>
              <a:srgbClr val="FFFFFF"/>
            </a:solidFill>
            <a:latin typeface="Arial"/>
            <a:cs typeface="Arial"/>
          </a:endParaRPr>
        </a:p>
      </xdr:txBody>
    </xdr:sp>
    <xdr:clientData/>
  </xdr:twoCellAnchor>
  <xdr:twoCellAnchor>
    <xdr:from>
      <xdr:col>1</xdr:col>
      <xdr:colOff>0</xdr:colOff>
      <xdr:row>1</xdr:row>
      <xdr:rowOff>0</xdr:rowOff>
    </xdr:from>
    <xdr:to>
      <xdr:col>8</xdr:col>
      <xdr:colOff>228600</xdr:colOff>
      <xdr:row>1</xdr:row>
      <xdr:rowOff>495300</xdr:rowOff>
    </xdr:to>
    <xdr:sp macro="" textlink="">
      <xdr:nvSpPr>
        <xdr:cNvPr id="21" name="TextBox 20">
          <a:extLst>
            <a:ext uri="{FF2B5EF4-FFF2-40B4-BE49-F238E27FC236}">
              <a16:creationId xmlns:a16="http://schemas.microsoft.com/office/drawing/2014/main" id="{00000000-0008-0000-0000-000015000000}"/>
            </a:ext>
          </a:extLst>
        </xdr:cNvPr>
        <xdr:cNvSpPr txBox="1"/>
      </xdr:nvSpPr>
      <xdr:spPr>
        <a:xfrm>
          <a:off x="295275" y="171450"/>
          <a:ext cx="5638800" cy="495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l" rtl="0">
            <a:defRPr sz="1000"/>
          </a:pPr>
          <a:r>
            <a:rPr lang="en-AU" sz="2400" b="0" i="0" u="none" strike="noStrike" baseline="0">
              <a:solidFill>
                <a:srgbClr val="00CCFF"/>
              </a:solidFill>
              <a:latin typeface="Helvetica 45 Light"/>
            </a:rPr>
            <a:t>Loan Serviceability Calculator</a:t>
          </a:r>
        </a:p>
      </xdr:txBody>
    </xdr:sp>
    <xdr:clientData/>
  </xdr:twoCellAnchor>
  <mc:AlternateContent xmlns:mc="http://schemas.openxmlformats.org/markup-compatibility/2006">
    <mc:Choice xmlns:a14="http://schemas.microsoft.com/office/drawing/2010/main" Requires="a14">
      <xdr:twoCellAnchor editAs="oneCell">
        <xdr:from>
          <xdr:col>5</xdr:col>
          <xdr:colOff>104775</xdr:colOff>
          <xdr:row>2</xdr:row>
          <xdr:rowOff>28575</xdr:rowOff>
        </xdr:from>
        <xdr:to>
          <xdr:col>6</xdr:col>
          <xdr:colOff>942975</xdr:colOff>
          <xdr:row>3</xdr:row>
          <xdr:rowOff>104775</xdr:rowOff>
        </xdr:to>
        <xdr:sp macro="" textlink="">
          <xdr:nvSpPr>
            <xdr:cNvPr id="5137" name="Drop Down 17" hidden="1">
              <a:extLst>
                <a:ext uri="{63B3BB69-23CF-44E3-9099-C40C66FF867C}">
                  <a14:compatExt spid="_x0000_s5137"/>
                </a:ext>
                <a:ext uri="{FF2B5EF4-FFF2-40B4-BE49-F238E27FC236}">
                  <a16:creationId xmlns:a16="http://schemas.microsoft.com/office/drawing/2014/main" id="{00000000-0008-0000-0000-00001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28575</xdr:colOff>
          <xdr:row>176</xdr:row>
          <xdr:rowOff>66675</xdr:rowOff>
        </xdr:from>
        <xdr:to>
          <xdr:col>5</xdr:col>
          <xdr:colOff>0</xdr:colOff>
          <xdr:row>176</xdr:row>
          <xdr:rowOff>219075</xdr:rowOff>
        </xdr:to>
        <xdr:sp macro="" textlink="">
          <xdr:nvSpPr>
            <xdr:cNvPr id="5216" name="S_E_Worksheet" hidden="1">
              <a:extLst>
                <a:ext uri="{63B3BB69-23CF-44E3-9099-C40C66FF867C}">
                  <a14:compatExt spid="_x0000_s5216"/>
                </a:ext>
                <a:ext uri="{FF2B5EF4-FFF2-40B4-BE49-F238E27FC236}">
                  <a16:creationId xmlns:a16="http://schemas.microsoft.com/office/drawing/2014/main" id="{00000000-0008-0000-0000-000060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AU" sz="900" b="1" i="0" u="none" strike="noStrike" baseline="0">
                  <a:solidFill>
                    <a:srgbClr val="333333"/>
                  </a:solidFill>
                  <a:latin typeface="Calibri"/>
                  <a:cs typeface="Calibri"/>
                </a:rPr>
                <a:t>Click here for self employed worksheet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142875</xdr:colOff>
          <xdr:row>176</xdr:row>
          <xdr:rowOff>66675</xdr:rowOff>
        </xdr:from>
        <xdr:to>
          <xdr:col>9</xdr:col>
          <xdr:colOff>28575</xdr:colOff>
          <xdr:row>176</xdr:row>
          <xdr:rowOff>219075</xdr:rowOff>
        </xdr:to>
        <xdr:sp macro="" textlink="">
          <xdr:nvSpPr>
            <xdr:cNvPr id="5217" name="Button 97" hidden="1">
              <a:extLst>
                <a:ext uri="{63B3BB69-23CF-44E3-9099-C40C66FF867C}">
                  <a14:compatExt spid="_x0000_s5217"/>
                </a:ext>
                <a:ext uri="{FF2B5EF4-FFF2-40B4-BE49-F238E27FC236}">
                  <a16:creationId xmlns:a16="http://schemas.microsoft.com/office/drawing/2014/main" id="{00000000-0008-0000-0000-00006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AU" sz="900" b="1" i="0" u="none" strike="noStrike" baseline="0">
                  <a:solidFill>
                    <a:srgbClr val="333399"/>
                  </a:solidFill>
                  <a:latin typeface="Calibri"/>
                  <a:cs typeface="Calibri"/>
                </a:rPr>
                <a:t>Click here for EIV calculator (using BAS)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914400</xdr:colOff>
          <xdr:row>4</xdr:row>
          <xdr:rowOff>28575</xdr:rowOff>
        </xdr:from>
        <xdr:to>
          <xdr:col>6</xdr:col>
          <xdr:colOff>28575</xdr:colOff>
          <xdr:row>4</xdr:row>
          <xdr:rowOff>219075</xdr:rowOff>
        </xdr:to>
        <xdr:sp macro="" textlink="">
          <xdr:nvSpPr>
            <xdr:cNvPr id="5218" name="Drop Down 98" hidden="1">
              <a:extLst>
                <a:ext uri="{63B3BB69-23CF-44E3-9099-C40C66FF867C}">
                  <a14:compatExt spid="_x0000_s5218"/>
                </a:ext>
                <a:ext uri="{FF2B5EF4-FFF2-40B4-BE49-F238E27FC236}">
                  <a16:creationId xmlns:a16="http://schemas.microsoft.com/office/drawing/2014/main" id="{00000000-0008-0000-0000-00006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600075</xdr:colOff>
          <xdr:row>51</xdr:row>
          <xdr:rowOff>0</xdr:rowOff>
        </xdr:from>
        <xdr:to>
          <xdr:col>11</xdr:col>
          <xdr:colOff>28575</xdr:colOff>
          <xdr:row>57</xdr:row>
          <xdr:rowOff>0</xdr:rowOff>
        </xdr:to>
        <xdr:sp macro="" textlink="">
          <xdr:nvSpPr>
            <xdr:cNvPr id="5313" name="Drop Down 193" hidden="1">
              <a:extLst>
                <a:ext uri="{63B3BB69-23CF-44E3-9099-C40C66FF867C}">
                  <a14:compatExt spid="_x0000_s5313"/>
                </a:ext>
                <a:ext uri="{FF2B5EF4-FFF2-40B4-BE49-F238E27FC236}">
                  <a16:creationId xmlns:a16="http://schemas.microsoft.com/office/drawing/2014/main" id="{00000000-0008-0000-0000-0000C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142875</xdr:colOff>
          <xdr:row>176</xdr:row>
          <xdr:rowOff>28575</xdr:rowOff>
        </xdr:from>
        <xdr:to>
          <xdr:col>10</xdr:col>
          <xdr:colOff>28575</xdr:colOff>
          <xdr:row>177</xdr:row>
          <xdr:rowOff>0</xdr:rowOff>
        </xdr:to>
        <xdr:sp macro="" textlink="">
          <xdr:nvSpPr>
            <xdr:cNvPr id="5324" name="Label1" hidden="1">
              <a:extLst>
                <a:ext uri="{63B3BB69-23CF-44E3-9099-C40C66FF867C}">
                  <a14:compatExt spid="_x0000_s5324"/>
                </a:ext>
                <a:ext uri="{FF2B5EF4-FFF2-40B4-BE49-F238E27FC236}">
                  <a16:creationId xmlns:a16="http://schemas.microsoft.com/office/drawing/2014/main" id="{00000000-0008-0000-0000-0000CC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638175</xdr:colOff>
          <xdr:row>37</xdr:row>
          <xdr:rowOff>28575</xdr:rowOff>
        </xdr:from>
        <xdr:to>
          <xdr:col>11</xdr:col>
          <xdr:colOff>38100</xdr:colOff>
          <xdr:row>38</xdr:row>
          <xdr:rowOff>0</xdr:rowOff>
        </xdr:to>
        <xdr:sp macro="" textlink="">
          <xdr:nvSpPr>
            <xdr:cNvPr id="26940" name="Drop Down 1340" hidden="1">
              <a:extLst>
                <a:ext uri="{63B3BB69-23CF-44E3-9099-C40C66FF867C}">
                  <a14:compatExt spid="_x0000_s26940"/>
                </a:ext>
                <a:ext uri="{FF2B5EF4-FFF2-40B4-BE49-F238E27FC236}">
                  <a16:creationId xmlns:a16="http://schemas.microsoft.com/office/drawing/2014/main" id="{00000000-0008-0000-0000-00003C6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152400</xdr:colOff>
          <xdr:row>1</xdr:row>
          <xdr:rowOff>66675</xdr:rowOff>
        </xdr:from>
        <xdr:to>
          <xdr:col>13</xdr:col>
          <xdr:colOff>790575</xdr:colOff>
          <xdr:row>1</xdr:row>
          <xdr:rowOff>304800</xdr:rowOff>
        </xdr:to>
        <xdr:sp macro="" textlink="">
          <xdr:nvSpPr>
            <xdr:cNvPr id="26941" name="ResetButton" hidden="1">
              <a:extLst>
                <a:ext uri="{63B3BB69-23CF-44E3-9099-C40C66FF867C}">
                  <a14:compatExt spid="_x0000_s26941"/>
                </a:ext>
                <a:ext uri="{FF2B5EF4-FFF2-40B4-BE49-F238E27FC236}">
                  <a16:creationId xmlns:a16="http://schemas.microsoft.com/office/drawing/2014/main" id="{00000000-0008-0000-0000-00003D69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AU" sz="1000" b="1" i="0" u="none" strike="noStrike" baseline="0">
                  <a:solidFill>
                    <a:srgbClr val="000000"/>
                  </a:solidFill>
                  <a:latin typeface="Arial"/>
                  <a:cs typeface="Arial"/>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104775</xdr:colOff>
          <xdr:row>2</xdr:row>
          <xdr:rowOff>28575</xdr:rowOff>
        </xdr:from>
        <xdr:to>
          <xdr:col>6</xdr:col>
          <xdr:colOff>942975</xdr:colOff>
          <xdr:row>3</xdr:row>
          <xdr:rowOff>104775</xdr:rowOff>
        </xdr:to>
        <xdr:sp macro="" textlink="">
          <xdr:nvSpPr>
            <xdr:cNvPr id="26942" name="Drop Down 1342" hidden="1">
              <a:extLst>
                <a:ext uri="{63B3BB69-23CF-44E3-9099-C40C66FF867C}">
                  <a14:compatExt spid="_x0000_s26942"/>
                </a:ext>
                <a:ext uri="{FF2B5EF4-FFF2-40B4-BE49-F238E27FC236}">
                  <a16:creationId xmlns:a16="http://schemas.microsoft.com/office/drawing/2014/main" id="{00000000-0008-0000-0000-00003E6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104775</xdr:colOff>
          <xdr:row>2</xdr:row>
          <xdr:rowOff>28575</xdr:rowOff>
        </xdr:from>
        <xdr:to>
          <xdr:col>6</xdr:col>
          <xdr:colOff>942975</xdr:colOff>
          <xdr:row>3</xdr:row>
          <xdr:rowOff>104775</xdr:rowOff>
        </xdr:to>
        <xdr:sp macro="" textlink="">
          <xdr:nvSpPr>
            <xdr:cNvPr id="26943" name="Drop Down 1343" hidden="1">
              <a:extLst>
                <a:ext uri="{63B3BB69-23CF-44E3-9099-C40C66FF867C}">
                  <a14:compatExt spid="_x0000_s26943"/>
                </a:ext>
                <a:ext uri="{FF2B5EF4-FFF2-40B4-BE49-F238E27FC236}">
                  <a16:creationId xmlns:a16="http://schemas.microsoft.com/office/drawing/2014/main" id="{00000000-0008-0000-0000-00003F6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104775</xdr:colOff>
          <xdr:row>2</xdr:row>
          <xdr:rowOff>28575</xdr:rowOff>
        </xdr:from>
        <xdr:to>
          <xdr:col>6</xdr:col>
          <xdr:colOff>942975</xdr:colOff>
          <xdr:row>3</xdr:row>
          <xdr:rowOff>104775</xdr:rowOff>
        </xdr:to>
        <xdr:sp macro="" textlink="">
          <xdr:nvSpPr>
            <xdr:cNvPr id="26944" name="Drop Down 1344" hidden="1">
              <a:extLst>
                <a:ext uri="{63B3BB69-23CF-44E3-9099-C40C66FF867C}">
                  <a14:compatExt spid="_x0000_s26944"/>
                </a:ext>
                <a:ext uri="{FF2B5EF4-FFF2-40B4-BE49-F238E27FC236}">
                  <a16:creationId xmlns:a16="http://schemas.microsoft.com/office/drawing/2014/main" id="{00000000-0008-0000-0000-0000406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28574</xdr:colOff>
      <xdr:row>1</xdr:row>
      <xdr:rowOff>28575</xdr:rowOff>
    </xdr:from>
    <xdr:to>
      <xdr:col>10</xdr:col>
      <xdr:colOff>889634</xdr:colOff>
      <xdr:row>2</xdr:row>
      <xdr:rowOff>91440</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23849" y="200025"/>
          <a:ext cx="7458075" cy="107632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13</xdr:col>
          <xdr:colOff>866775</xdr:colOff>
          <xdr:row>1</xdr:row>
          <xdr:rowOff>38100</xdr:rowOff>
        </xdr:from>
        <xdr:to>
          <xdr:col>13</xdr:col>
          <xdr:colOff>1781175</xdr:colOff>
          <xdr:row>1</xdr:row>
          <xdr:rowOff>333375</xdr:rowOff>
        </xdr:to>
        <xdr:sp macro="" textlink="">
          <xdr:nvSpPr>
            <xdr:cNvPr id="26955" name="CommandButton1" hidden="1">
              <a:extLst>
                <a:ext uri="{63B3BB69-23CF-44E3-9099-C40C66FF867C}">
                  <a14:compatExt spid="_x0000_s26955"/>
                </a:ext>
                <a:ext uri="{FF2B5EF4-FFF2-40B4-BE49-F238E27FC236}">
                  <a16:creationId xmlns:a16="http://schemas.microsoft.com/office/drawing/2014/main" id="{00000000-0008-0000-0000-00004B6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76200</xdr:colOff>
          <xdr:row>395</xdr:row>
          <xdr:rowOff>0</xdr:rowOff>
        </xdr:from>
        <xdr:to>
          <xdr:col>13</xdr:col>
          <xdr:colOff>828675</xdr:colOff>
          <xdr:row>397</xdr:row>
          <xdr:rowOff>0</xdr:rowOff>
        </xdr:to>
        <xdr:sp macro="" textlink="">
          <xdr:nvSpPr>
            <xdr:cNvPr id="26956" name="CommandButton2" hidden="1">
              <a:extLst>
                <a:ext uri="{63B3BB69-23CF-44E3-9099-C40C66FF867C}">
                  <a14:compatExt spid="_x0000_s26956"/>
                </a:ext>
                <a:ext uri="{FF2B5EF4-FFF2-40B4-BE49-F238E27FC236}">
                  <a16:creationId xmlns:a16="http://schemas.microsoft.com/office/drawing/2014/main" id="{00000000-0008-0000-0000-00004C6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638175</xdr:colOff>
          <xdr:row>18</xdr:row>
          <xdr:rowOff>28575</xdr:rowOff>
        </xdr:from>
        <xdr:to>
          <xdr:col>11</xdr:col>
          <xdr:colOff>38100</xdr:colOff>
          <xdr:row>20</xdr:row>
          <xdr:rowOff>28575</xdr:rowOff>
        </xdr:to>
        <xdr:sp macro="" textlink="">
          <xdr:nvSpPr>
            <xdr:cNvPr id="26964" name="Drop Down 1364" hidden="1">
              <a:extLst>
                <a:ext uri="{63B3BB69-23CF-44E3-9099-C40C66FF867C}">
                  <a14:compatExt spid="_x0000_s26964"/>
                </a:ext>
                <a:ext uri="{FF2B5EF4-FFF2-40B4-BE49-F238E27FC236}">
                  <a16:creationId xmlns:a16="http://schemas.microsoft.com/office/drawing/2014/main" id="{00000000-0008-0000-0000-0000546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342900</xdr:colOff>
      <xdr:row>1</xdr:row>
      <xdr:rowOff>123825</xdr:rowOff>
    </xdr:from>
    <xdr:to>
      <xdr:col>8</xdr:col>
      <xdr:colOff>123825</xdr:colOff>
      <xdr:row>1</xdr:row>
      <xdr:rowOff>361950</xdr:rowOff>
    </xdr:to>
    <xdr:sp macro="" textlink="">
      <xdr:nvSpPr>
        <xdr:cNvPr id="18519" name="Text Box 4">
          <a:extLst>
            <a:ext uri="{FF2B5EF4-FFF2-40B4-BE49-F238E27FC236}">
              <a16:creationId xmlns:a16="http://schemas.microsoft.com/office/drawing/2014/main" id="{00000000-0008-0000-0100-000057480000}"/>
            </a:ext>
          </a:extLst>
        </xdr:cNvPr>
        <xdr:cNvSpPr txBox="1">
          <a:spLocks noChangeArrowheads="1"/>
        </xdr:cNvSpPr>
      </xdr:nvSpPr>
      <xdr:spPr bwMode="auto">
        <a:xfrm>
          <a:off x="3438525" y="409575"/>
          <a:ext cx="2028825" cy="238125"/>
        </a:xfrm>
        <a:prstGeom prst="rect">
          <a:avLst/>
        </a:prstGeom>
        <a:noFill/>
        <a:ln w="9525">
          <a:noFill/>
          <a:miter lim="800000"/>
          <a:headEnd/>
          <a:tailEnd/>
        </a:ln>
      </xdr:spPr>
      <xdr:txBody>
        <a:bodyPr vertOverflow="clip" wrap="square" lIns="27432" tIns="27432" rIns="0" bIns="0" anchor="t" upright="1"/>
        <a:lstStyle/>
        <a:p>
          <a:pPr algn="l" rtl="0">
            <a:defRPr sz="1000"/>
          </a:pPr>
          <a:r>
            <a:rPr lang="en-AU" sz="1100" b="1" i="0" u="none" strike="noStrike" baseline="0">
              <a:solidFill>
                <a:srgbClr val="FFFFFF"/>
              </a:solidFill>
              <a:latin typeface="Arial"/>
            </a:rPr>
            <a:t>Product - Family Guarantee</a:t>
          </a:r>
        </a:p>
      </xdr:txBody>
    </xdr:sp>
    <xdr:clientData/>
  </xdr:twoCellAnchor>
  <xdr:twoCellAnchor>
    <xdr:from>
      <xdr:col>4</xdr:col>
      <xdr:colOff>342900</xdr:colOff>
      <xdr:row>2</xdr:row>
      <xdr:rowOff>57150</xdr:rowOff>
    </xdr:from>
    <xdr:to>
      <xdr:col>5</xdr:col>
      <xdr:colOff>85725</xdr:colOff>
      <xdr:row>2</xdr:row>
      <xdr:rowOff>247650</xdr:rowOff>
    </xdr:to>
    <xdr:sp macro="" textlink="">
      <xdr:nvSpPr>
        <xdr:cNvPr id="18437" name="Text Box 5" hidden="1">
          <a:extLst>
            <a:ext uri="{FF2B5EF4-FFF2-40B4-BE49-F238E27FC236}">
              <a16:creationId xmlns:a16="http://schemas.microsoft.com/office/drawing/2014/main" id="{00000000-0008-0000-0100-000005480000}"/>
            </a:ext>
          </a:extLst>
        </xdr:cNvPr>
        <xdr:cNvSpPr txBox="1">
          <a:spLocks noChangeArrowheads="1"/>
        </xdr:cNvSpPr>
      </xdr:nvSpPr>
      <xdr:spPr bwMode="auto">
        <a:xfrm>
          <a:off x="3419475" y="619125"/>
          <a:ext cx="723900" cy="171450"/>
        </a:xfrm>
        <a:prstGeom prst="rect">
          <a:avLst/>
        </a:prstGeom>
        <a:noFill/>
        <a:ln w="9525">
          <a:noFill/>
          <a:miter lim="800000"/>
          <a:headEnd/>
          <a:tailEnd/>
        </a:ln>
      </xdr:spPr>
      <xdr:txBody>
        <a:bodyPr vertOverflow="clip" wrap="square" lIns="27432" tIns="22860" rIns="0" bIns="0" anchor="t" upright="1"/>
        <a:lstStyle/>
        <a:p>
          <a:pPr algn="l" rtl="0">
            <a:defRPr sz="1000"/>
          </a:pPr>
          <a:r>
            <a:rPr lang="en-AU" sz="900" b="1" i="0" u="none" strike="noStrike" baseline="0">
              <a:solidFill>
                <a:srgbClr val="FFFFFF"/>
              </a:solidFill>
              <a:latin typeface="Arial"/>
              <a:cs typeface="Arial"/>
            </a:rPr>
            <a:t>Loan Type</a:t>
          </a:r>
          <a:endParaRPr lang="en-AU" sz="1000" b="1" i="0" u="none" strike="noStrike" baseline="0">
            <a:solidFill>
              <a:srgbClr val="FFFFFF"/>
            </a:solidFill>
            <a:latin typeface="Arial"/>
            <a:cs typeface="Arial"/>
          </a:endParaRPr>
        </a:p>
        <a:p>
          <a:pPr algn="l" rtl="0">
            <a:defRPr sz="1000"/>
          </a:pPr>
          <a:endParaRPr lang="en-AU" sz="1000" b="1" i="0" u="none" strike="noStrike" baseline="0">
            <a:solidFill>
              <a:srgbClr val="FFFFFF"/>
            </a:solidFill>
            <a:latin typeface="Arial"/>
            <a:cs typeface="Arial"/>
          </a:endParaRPr>
        </a:p>
      </xdr:txBody>
    </xdr:sp>
    <xdr:clientData/>
  </xdr:twoCellAnchor>
  <mc:AlternateContent xmlns:mc="http://schemas.openxmlformats.org/markup-compatibility/2006">
    <mc:Choice xmlns:a14="http://schemas.microsoft.com/office/drawing/2010/main" Requires="a14">
      <xdr:twoCellAnchor editAs="oneCell">
        <xdr:from>
          <xdr:col>5</xdr:col>
          <xdr:colOff>104775</xdr:colOff>
          <xdr:row>2</xdr:row>
          <xdr:rowOff>28575</xdr:rowOff>
        </xdr:from>
        <xdr:to>
          <xdr:col>6</xdr:col>
          <xdr:colOff>904875</xdr:colOff>
          <xdr:row>2</xdr:row>
          <xdr:rowOff>219075</xdr:rowOff>
        </xdr:to>
        <xdr:sp macro="" textlink="">
          <xdr:nvSpPr>
            <xdr:cNvPr id="18435" name="Drop Down 3" hidden="1">
              <a:extLst>
                <a:ext uri="{63B3BB69-23CF-44E3-9099-C40C66FF867C}">
                  <a14:compatExt spid="_x0000_s18435"/>
                </a:ext>
                <a:ext uri="{FF2B5EF4-FFF2-40B4-BE49-F238E27FC236}">
                  <a16:creationId xmlns:a16="http://schemas.microsoft.com/office/drawing/2014/main" id="{00000000-0008-0000-0100-000003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28575</xdr:colOff>
          <xdr:row>1</xdr:row>
          <xdr:rowOff>142875</xdr:rowOff>
        </xdr:from>
        <xdr:to>
          <xdr:col>13</xdr:col>
          <xdr:colOff>904875</xdr:colOff>
          <xdr:row>2</xdr:row>
          <xdr:rowOff>28575</xdr:rowOff>
        </xdr:to>
        <xdr:sp macro="" textlink="">
          <xdr:nvSpPr>
            <xdr:cNvPr id="18506" name="GtrResetButton" hidden="1">
              <a:extLst>
                <a:ext uri="{63B3BB69-23CF-44E3-9099-C40C66FF867C}">
                  <a14:compatExt spid="_x0000_s18506"/>
                </a:ext>
                <a:ext uri="{FF2B5EF4-FFF2-40B4-BE49-F238E27FC236}">
                  <a16:creationId xmlns:a16="http://schemas.microsoft.com/office/drawing/2014/main" id="{00000000-0008-0000-0100-00004A4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AU" sz="1000" b="1" i="0" u="none" strike="noStrike" baseline="0">
                  <a:solidFill>
                    <a:srgbClr val="000000"/>
                  </a:solidFill>
                  <a:latin typeface="Arial"/>
                  <a:cs typeface="Arial"/>
                </a:rPr>
                <a:t>Reset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333375</xdr:colOff>
          <xdr:row>1</xdr:row>
          <xdr:rowOff>66675</xdr:rowOff>
        </xdr:from>
        <xdr:to>
          <xdr:col>10</xdr:col>
          <xdr:colOff>266700</xdr:colOff>
          <xdr:row>2</xdr:row>
          <xdr:rowOff>180975</xdr:rowOff>
        </xdr:to>
        <xdr:sp macro="" textlink="">
          <xdr:nvSpPr>
            <xdr:cNvPr id="16392" name="BackButton" hidden="1">
              <a:extLst>
                <a:ext uri="{63B3BB69-23CF-44E3-9099-C40C66FF867C}">
                  <a14:compatExt spid="_x0000_s16392"/>
                </a:ext>
                <a:ext uri="{FF2B5EF4-FFF2-40B4-BE49-F238E27FC236}">
                  <a16:creationId xmlns:a16="http://schemas.microsoft.com/office/drawing/2014/main" id="{00000000-0008-0000-0200-000008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U" sz="800" b="1" i="0" u="none" strike="noStrike" baseline="0">
                  <a:solidFill>
                    <a:srgbClr val="000000"/>
                  </a:solidFill>
                  <a:latin typeface="Arial"/>
                  <a:cs typeface="Arial"/>
                </a:rPr>
                <a:t>Back to Serviceability Calculator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447675</xdr:colOff>
          <xdr:row>1</xdr:row>
          <xdr:rowOff>66675</xdr:rowOff>
        </xdr:from>
        <xdr:to>
          <xdr:col>10</xdr:col>
          <xdr:colOff>1066800</xdr:colOff>
          <xdr:row>2</xdr:row>
          <xdr:rowOff>180975</xdr:rowOff>
        </xdr:to>
        <xdr:sp macro="" textlink="">
          <xdr:nvSpPr>
            <xdr:cNvPr id="16393" name="SEResetButton" hidden="1">
              <a:extLst>
                <a:ext uri="{63B3BB69-23CF-44E3-9099-C40C66FF867C}">
                  <a14:compatExt spid="_x0000_s16393"/>
                </a:ext>
                <a:ext uri="{FF2B5EF4-FFF2-40B4-BE49-F238E27FC236}">
                  <a16:creationId xmlns:a16="http://schemas.microsoft.com/office/drawing/2014/main" id="{00000000-0008-0000-0200-000009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U" sz="800" b="1" i="0" u="none" strike="noStrike" baseline="0">
                  <a:solidFill>
                    <a:srgbClr val="000000"/>
                  </a:solidFill>
                  <a:latin typeface="Arial"/>
                  <a:cs typeface="Arial"/>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25</xdr:row>
          <xdr:rowOff>28575</xdr:rowOff>
        </xdr:from>
        <xdr:to>
          <xdr:col>5</xdr:col>
          <xdr:colOff>104775</xdr:colOff>
          <xdr:row>26</xdr:row>
          <xdr:rowOff>0</xdr:rowOff>
        </xdr:to>
        <xdr:sp macro="" textlink="">
          <xdr:nvSpPr>
            <xdr:cNvPr id="16394" name="SE1Checkbox" hidden="1">
              <a:extLst>
                <a:ext uri="{63B3BB69-23CF-44E3-9099-C40C66FF867C}">
                  <a14:compatExt spid="_x0000_s16394"/>
                </a:ext>
                <a:ext uri="{FF2B5EF4-FFF2-40B4-BE49-F238E27FC236}">
                  <a16:creationId xmlns:a16="http://schemas.microsoft.com/office/drawing/2014/main" id="{00000000-0008-0000-0200-00000A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808080" mc:Ignorable="a14" a14:legacySpreadsheetColorIndex="23"/>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27</xdr:row>
          <xdr:rowOff>28575</xdr:rowOff>
        </xdr:from>
        <xdr:to>
          <xdr:col>5</xdr:col>
          <xdr:colOff>104775</xdr:colOff>
          <xdr:row>27</xdr:row>
          <xdr:rowOff>228600</xdr:rowOff>
        </xdr:to>
        <xdr:sp macro="" textlink="">
          <xdr:nvSpPr>
            <xdr:cNvPr id="16395" name="SE1AdjCheckbox" hidden="1">
              <a:extLst>
                <a:ext uri="{63B3BB69-23CF-44E3-9099-C40C66FF867C}">
                  <a14:compatExt spid="_x0000_s16395"/>
                </a:ext>
                <a:ext uri="{FF2B5EF4-FFF2-40B4-BE49-F238E27FC236}">
                  <a16:creationId xmlns:a16="http://schemas.microsoft.com/office/drawing/2014/main" id="{00000000-0008-0000-0200-00000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57</xdr:row>
          <xdr:rowOff>28575</xdr:rowOff>
        </xdr:from>
        <xdr:to>
          <xdr:col>5</xdr:col>
          <xdr:colOff>104775</xdr:colOff>
          <xdr:row>58</xdr:row>
          <xdr:rowOff>28575</xdr:rowOff>
        </xdr:to>
        <xdr:sp macro="" textlink="">
          <xdr:nvSpPr>
            <xdr:cNvPr id="16396" name="SE2Checkbox" hidden="1">
              <a:extLst>
                <a:ext uri="{63B3BB69-23CF-44E3-9099-C40C66FF867C}">
                  <a14:compatExt spid="_x0000_s16396"/>
                </a:ext>
                <a:ext uri="{FF2B5EF4-FFF2-40B4-BE49-F238E27FC236}">
                  <a16:creationId xmlns:a16="http://schemas.microsoft.com/office/drawing/2014/main" id="{00000000-0008-0000-0200-00000C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59</xdr:row>
          <xdr:rowOff>28575</xdr:rowOff>
        </xdr:from>
        <xdr:to>
          <xdr:col>5</xdr:col>
          <xdr:colOff>104775</xdr:colOff>
          <xdr:row>60</xdr:row>
          <xdr:rowOff>28575</xdr:rowOff>
        </xdr:to>
        <xdr:sp macro="" textlink="">
          <xdr:nvSpPr>
            <xdr:cNvPr id="16397" name="SE2AdjCheckbox" hidden="1">
              <a:extLst>
                <a:ext uri="{63B3BB69-23CF-44E3-9099-C40C66FF867C}">
                  <a14:compatExt spid="_x0000_s16397"/>
                </a:ext>
                <a:ext uri="{FF2B5EF4-FFF2-40B4-BE49-F238E27FC236}">
                  <a16:creationId xmlns:a16="http://schemas.microsoft.com/office/drawing/2014/main" id="{00000000-0008-0000-0200-00000D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10</xdr:col>
      <xdr:colOff>609600</xdr:colOff>
      <xdr:row>1</xdr:row>
      <xdr:rowOff>38100</xdr:rowOff>
    </xdr:from>
    <xdr:to>
      <xdr:col>11</xdr:col>
      <xdr:colOff>28575</xdr:colOff>
      <xdr:row>3</xdr:row>
      <xdr:rowOff>352425</xdr:rowOff>
    </xdr:to>
    <xdr:pic>
      <xdr:nvPicPr>
        <xdr:cNvPr id="17885" name="Picture 2">
          <a:extLst>
            <a:ext uri="{FF2B5EF4-FFF2-40B4-BE49-F238E27FC236}">
              <a16:creationId xmlns:a16="http://schemas.microsoft.com/office/drawing/2014/main" id="{00000000-0008-0000-0300-0000DD45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6629400" y="219075"/>
          <a:ext cx="771525" cy="733425"/>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10</xdr:col>
          <xdr:colOff>714375</xdr:colOff>
          <xdr:row>7</xdr:row>
          <xdr:rowOff>28575</xdr:rowOff>
        </xdr:from>
        <xdr:to>
          <xdr:col>11</xdr:col>
          <xdr:colOff>66675</xdr:colOff>
          <xdr:row>8</xdr:row>
          <xdr:rowOff>123825</xdr:rowOff>
        </xdr:to>
        <xdr:sp macro="" textlink="">
          <xdr:nvSpPr>
            <xdr:cNvPr id="17409" name="Reset_EIVCalc" hidden="1">
              <a:extLst>
                <a:ext uri="{63B3BB69-23CF-44E3-9099-C40C66FF867C}">
                  <a14:compatExt spid="_x0000_s17409"/>
                </a:ext>
                <a:ext uri="{FF2B5EF4-FFF2-40B4-BE49-F238E27FC236}">
                  <a16:creationId xmlns:a16="http://schemas.microsoft.com/office/drawing/2014/main" id="{00000000-0008-0000-03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657225</xdr:colOff>
      <xdr:row>62</xdr:row>
      <xdr:rowOff>19050</xdr:rowOff>
    </xdr:from>
    <xdr:to>
      <xdr:col>4</xdr:col>
      <xdr:colOff>895350</xdr:colOff>
      <xdr:row>63</xdr:row>
      <xdr:rowOff>38100</xdr:rowOff>
    </xdr:to>
    <xdr:pic>
      <xdr:nvPicPr>
        <xdr:cNvPr id="29120" name="Picture 28">
          <a:extLst>
            <a:ext uri="{FF2B5EF4-FFF2-40B4-BE49-F238E27FC236}">
              <a16:creationId xmlns:a16="http://schemas.microsoft.com/office/drawing/2014/main" id="{00000000-0008-0000-0400-0000C071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066800" y="9334500"/>
          <a:ext cx="2181225" cy="0"/>
        </a:xfrm>
        <a:prstGeom prst="rect">
          <a:avLst/>
        </a:prstGeom>
        <a:noFill/>
        <a:ln w="9525">
          <a:noFill/>
          <a:miter lim="800000"/>
          <a:headEnd/>
          <a:tailEnd/>
        </a:ln>
      </xdr:spPr>
    </xdr:pic>
    <xdr:clientData/>
  </xdr:twoCellAnchor>
  <xdr:twoCellAnchor editAs="oneCell">
    <xdr:from>
      <xdr:col>2</xdr:col>
      <xdr:colOff>771525</xdr:colOff>
      <xdr:row>49</xdr:row>
      <xdr:rowOff>9525</xdr:rowOff>
    </xdr:from>
    <xdr:to>
      <xdr:col>4</xdr:col>
      <xdr:colOff>876300</xdr:colOff>
      <xdr:row>50</xdr:row>
      <xdr:rowOff>19050</xdr:rowOff>
    </xdr:to>
    <xdr:pic>
      <xdr:nvPicPr>
        <xdr:cNvPr id="29121" name="Picture 165">
          <a:extLst>
            <a:ext uri="{FF2B5EF4-FFF2-40B4-BE49-F238E27FC236}">
              <a16:creationId xmlns:a16="http://schemas.microsoft.com/office/drawing/2014/main" id="{00000000-0008-0000-0400-0000C171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1181100" y="7705725"/>
          <a:ext cx="2047875" cy="190500"/>
        </a:xfrm>
        <a:prstGeom prst="rect">
          <a:avLst/>
        </a:prstGeom>
        <a:noFill/>
        <a:ln w="9525">
          <a:noFill/>
          <a:miter lim="800000"/>
          <a:headEnd/>
          <a:tailEnd/>
        </a:ln>
      </xdr:spPr>
    </xdr:pic>
    <xdr:clientData/>
  </xdr:twoCellAnchor>
  <xdr:twoCellAnchor editAs="oneCell">
    <xdr:from>
      <xdr:col>8</xdr:col>
      <xdr:colOff>76200</xdr:colOff>
      <xdr:row>50</xdr:row>
      <xdr:rowOff>9525</xdr:rowOff>
    </xdr:from>
    <xdr:to>
      <xdr:col>10</xdr:col>
      <xdr:colOff>495300</xdr:colOff>
      <xdr:row>51</xdr:row>
      <xdr:rowOff>38100</xdr:rowOff>
    </xdr:to>
    <xdr:pic>
      <xdr:nvPicPr>
        <xdr:cNvPr id="29122" name="Picture 169">
          <a:extLst>
            <a:ext uri="{FF2B5EF4-FFF2-40B4-BE49-F238E27FC236}">
              <a16:creationId xmlns:a16="http://schemas.microsoft.com/office/drawing/2014/main" id="{00000000-0008-0000-0400-0000C27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5048250" y="7886700"/>
          <a:ext cx="1619250" cy="238125"/>
        </a:xfrm>
        <a:prstGeom prst="rect">
          <a:avLst/>
        </a:prstGeom>
        <a:noFill/>
        <a:ln w="9525">
          <a:noFill/>
          <a:miter lim="800000"/>
          <a:headEnd/>
          <a:tailEnd/>
        </a:ln>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28575</xdr:colOff>
          <xdr:row>4</xdr:row>
          <xdr:rowOff>38100</xdr:rowOff>
        </xdr:from>
        <xdr:to>
          <xdr:col>10</xdr:col>
          <xdr:colOff>866775</xdr:colOff>
          <xdr:row>4</xdr:row>
          <xdr:rowOff>257175</xdr:rowOff>
        </xdr:to>
        <xdr:sp macro="" textlink="">
          <xdr:nvSpPr>
            <xdr:cNvPr id="14339" name="PledgeResetButton" hidden="1">
              <a:extLst>
                <a:ext uri="{63B3BB69-23CF-44E3-9099-C40C66FF867C}">
                  <a14:compatExt spid="_x0000_s14339"/>
                </a:ext>
                <a:ext uri="{FF2B5EF4-FFF2-40B4-BE49-F238E27FC236}">
                  <a16:creationId xmlns:a16="http://schemas.microsoft.com/office/drawing/2014/main" id="{00000000-0008-0000-0500-0000033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AU" sz="900" b="1" i="0" u="none" strike="noStrike" baseline="0">
                  <a:solidFill>
                    <a:srgbClr val="000000"/>
                  </a:solidFill>
                  <a:latin typeface="Arial"/>
                  <a:cs typeface="Arial"/>
                </a:rPr>
                <a:t>Reset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28575</xdr:colOff>
          <xdr:row>0</xdr:row>
          <xdr:rowOff>381000</xdr:rowOff>
        </xdr:from>
        <xdr:to>
          <xdr:col>8</xdr:col>
          <xdr:colOff>914400</xdr:colOff>
          <xdr:row>2</xdr:row>
          <xdr:rowOff>28575</xdr:rowOff>
        </xdr:to>
        <xdr:sp macro="" textlink="">
          <xdr:nvSpPr>
            <xdr:cNvPr id="23561" name="Drop Down 9" hidden="1">
              <a:extLst>
                <a:ext uri="{63B3BB69-23CF-44E3-9099-C40C66FF867C}">
                  <a14:compatExt spid="_x0000_s23561"/>
                </a:ext>
                <a:ext uri="{FF2B5EF4-FFF2-40B4-BE49-F238E27FC236}">
                  <a16:creationId xmlns:a16="http://schemas.microsoft.com/office/drawing/2014/main" id="{00000000-0008-0000-0600-000009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14</xdr:col>
      <xdr:colOff>542925</xdr:colOff>
      <xdr:row>99</xdr:row>
      <xdr:rowOff>154081</xdr:rowOff>
    </xdr:from>
    <xdr:to>
      <xdr:col>15</xdr:col>
      <xdr:colOff>828675</xdr:colOff>
      <xdr:row>115</xdr:row>
      <xdr:rowOff>118222</xdr:rowOff>
    </xdr:to>
    <xdr:sp macro="" textlink="">
      <xdr:nvSpPr>
        <xdr:cNvPr id="25601" name="AutoShape 206">
          <a:extLst>
            <a:ext uri="{FF2B5EF4-FFF2-40B4-BE49-F238E27FC236}">
              <a16:creationId xmlns:a16="http://schemas.microsoft.com/office/drawing/2014/main" id="{00000000-0008-0000-0800-000001640000}"/>
            </a:ext>
          </a:extLst>
        </xdr:cNvPr>
        <xdr:cNvSpPr>
          <a:spLocks noChangeArrowheads="1"/>
        </xdr:cNvSpPr>
      </xdr:nvSpPr>
      <xdr:spPr bwMode="auto">
        <a:xfrm>
          <a:off x="12028954" y="6272493"/>
          <a:ext cx="1664074" cy="2552700"/>
        </a:xfrm>
        <a:prstGeom prst="roundRect">
          <a:avLst>
            <a:gd name="adj" fmla="val 16667"/>
          </a:avLst>
        </a:prstGeom>
        <a:solidFill>
          <a:srgbClr val="FFFFFF"/>
        </a:solidFill>
        <a:ln w="9525">
          <a:solidFill>
            <a:srgbClr val="000000"/>
          </a:solidFill>
          <a:round/>
          <a:headEnd/>
          <a:tailEnd/>
        </a:ln>
      </xdr:spPr>
      <xdr:txBody>
        <a:bodyPr vertOverflow="clip" wrap="square" lIns="27432" tIns="22860" rIns="0" bIns="0" anchor="t" upright="1"/>
        <a:lstStyle/>
        <a:p>
          <a:pPr algn="l" rtl="0">
            <a:defRPr sz="1000"/>
          </a:pPr>
          <a:r>
            <a:rPr lang="en-AU" sz="900" b="0" i="0" u="none" strike="noStrike" baseline="0">
              <a:solidFill>
                <a:srgbClr val="000000"/>
              </a:solidFill>
              <a:latin typeface="Arial"/>
            </a:rPr>
            <a:t>Test PC's   </a:t>
          </a:r>
        </a:p>
        <a:p>
          <a:pPr algn="l" rtl="0">
            <a:defRPr sz="1000"/>
          </a:pPr>
          <a:r>
            <a:rPr lang="en-AU" sz="900" b="0" i="0" u="none" strike="noStrike" baseline="0">
              <a:solidFill>
                <a:srgbClr val="000000"/>
              </a:solidFill>
              <a:latin typeface="Arial"/>
            </a:rPr>
            <a:t>NSW cat 1 &gt;450-750   2282</a:t>
          </a:r>
        </a:p>
        <a:p>
          <a:pPr algn="l" rtl="0">
            <a:defRPr sz="1000"/>
          </a:pPr>
          <a:r>
            <a:rPr lang="en-AU" sz="900" b="0" i="0" u="none" strike="noStrike" baseline="0">
              <a:solidFill>
                <a:srgbClr val="000000"/>
              </a:solidFill>
              <a:latin typeface="Arial"/>
            </a:rPr>
            <a:t>NSW cat 1 &gt;=750-900 2018</a:t>
          </a:r>
        </a:p>
        <a:p>
          <a:pPr algn="l" rtl="0">
            <a:defRPr sz="1000"/>
          </a:pPr>
          <a:r>
            <a:rPr lang="en-AU" sz="900" b="0" i="0" u="none" strike="noStrike" baseline="0">
              <a:solidFill>
                <a:srgbClr val="000000"/>
              </a:solidFill>
              <a:latin typeface="Arial"/>
            </a:rPr>
            <a:t>NSW cat 1 &lt;450         2322</a:t>
          </a:r>
        </a:p>
        <a:p>
          <a:pPr algn="l" rtl="0">
            <a:defRPr sz="1000"/>
          </a:pPr>
          <a:r>
            <a:rPr lang="en-AU" sz="900" b="0" i="0" u="none" strike="noStrike" baseline="0">
              <a:solidFill>
                <a:srgbClr val="000000"/>
              </a:solidFill>
              <a:latin typeface="Arial"/>
            </a:rPr>
            <a:t>NSW cat 1 &lt;300         2319</a:t>
          </a:r>
        </a:p>
        <a:p>
          <a:pPr algn="l" rtl="0">
            <a:defRPr sz="1000"/>
          </a:pPr>
          <a:r>
            <a:rPr lang="en-AU" sz="900" b="0" i="0" u="none" strike="noStrike" baseline="0">
              <a:solidFill>
                <a:srgbClr val="000000"/>
              </a:solidFill>
              <a:latin typeface="Arial"/>
            </a:rPr>
            <a:t>NSW cat 1 &gt;=900       2026</a:t>
          </a:r>
        </a:p>
        <a:p>
          <a:pPr algn="l" rtl="0">
            <a:defRPr sz="1000"/>
          </a:pPr>
          <a:r>
            <a:rPr lang="en-AU" sz="900" b="0" i="0" u="none" strike="noStrike" baseline="0">
              <a:solidFill>
                <a:srgbClr val="000000"/>
              </a:solidFill>
              <a:latin typeface="Arial"/>
            </a:rPr>
            <a:t>NSW Cat 2                 2350</a:t>
          </a:r>
        </a:p>
        <a:p>
          <a:pPr algn="l" rtl="0">
            <a:defRPr sz="1000"/>
          </a:pPr>
          <a:r>
            <a:rPr lang="en-AU" sz="900" b="0" i="0" u="none" strike="noStrike" baseline="0">
              <a:solidFill>
                <a:srgbClr val="000000"/>
              </a:solidFill>
              <a:latin typeface="Arial"/>
            </a:rPr>
            <a:t>NSW Cat 3                 2380</a:t>
          </a:r>
        </a:p>
        <a:p>
          <a:pPr algn="l" rtl="0">
            <a:defRPr sz="1000"/>
          </a:pPr>
          <a:r>
            <a:rPr lang="en-AU" sz="900" b="0" i="0" u="none" strike="noStrike" baseline="0">
              <a:solidFill>
                <a:srgbClr val="000000"/>
              </a:solidFill>
              <a:latin typeface="Arial"/>
            </a:rPr>
            <a:t>NSW Cat 4                 2379</a:t>
          </a:r>
        </a:p>
        <a:p>
          <a:pPr algn="l" rtl="0">
            <a:defRPr sz="1000"/>
          </a:pPr>
          <a:r>
            <a:rPr lang="en-AU" sz="900" b="0" i="0" u="none" strike="noStrike" baseline="0">
              <a:solidFill>
                <a:srgbClr val="000000"/>
              </a:solidFill>
              <a:latin typeface="Arial"/>
            </a:rPr>
            <a:t>NT cat 1 &gt;=900            828</a:t>
          </a:r>
        </a:p>
        <a:p>
          <a:pPr algn="l" rtl="0">
            <a:defRPr sz="1000"/>
          </a:pPr>
          <a:r>
            <a:rPr lang="en-AU" sz="900" b="0" i="0" u="none" strike="noStrike" baseline="0">
              <a:solidFill>
                <a:srgbClr val="000000"/>
              </a:solidFill>
              <a:latin typeface="Arial"/>
            </a:rPr>
            <a:t>NT Cat1 &gt;450-750         812</a:t>
          </a:r>
        </a:p>
        <a:p>
          <a:pPr algn="l" rtl="0">
            <a:defRPr sz="1000"/>
          </a:pPr>
          <a:r>
            <a:rPr lang="en-AU" sz="900" b="0" i="0" u="none" strike="noStrike" baseline="0">
              <a:solidFill>
                <a:srgbClr val="000000"/>
              </a:solidFill>
              <a:latin typeface="Arial"/>
            </a:rPr>
            <a:t>NT Cat1 &gt;=750-900       820</a:t>
          </a:r>
        </a:p>
        <a:p>
          <a:pPr algn="l" rtl="0">
            <a:defRPr sz="1000"/>
          </a:pPr>
          <a:r>
            <a:rPr lang="en-AU" sz="900" b="0" i="0" u="none" strike="noStrike" baseline="0">
              <a:solidFill>
                <a:srgbClr val="000000"/>
              </a:solidFill>
              <a:latin typeface="Arial"/>
            </a:rPr>
            <a:t>NSW invalid PC          2383</a:t>
          </a:r>
          <a:endParaRPr lang="en-AU" sz="1000" b="0" i="0" u="none" strike="noStrike" baseline="0">
            <a:solidFill>
              <a:srgbClr val="000000"/>
            </a:solidFill>
            <a:latin typeface="Arial"/>
          </a:endParaRPr>
        </a:p>
        <a:p>
          <a:pPr algn="l" rtl="0">
            <a:defRPr sz="1000"/>
          </a:pPr>
          <a:endParaRPr lang="en-AU" sz="1000" b="0" i="0" u="none" strike="noStrike" baseline="0">
            <a:solidFill>
              <a:srgbClr val="000000"/>
            </a:solidFill>
            <a:latin typeface="Aria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CBG\MSL\MSL%20Credit\Mortgages\Servicability\Recent%20serv%20calcs\New%20Folder\Serviceability_MBMS_2012_05_09.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bfsportal.pc.internal.macquarie.com/sites/MortgagesAustra/Shared%20Documents/MA%20-%20Calculators/MA%20-%20Serviceability%20Calculators/Serviceability_MBMS_2013_09_02.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E:\CBG\MSL\MSL%20Credit\Mortgages\Servicability\Recent%20serv%20calcs\New%20Folder\Serviceability_MBMS_Options_2011_05_17(WIP%20with%20s_e)2.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erviceability Worksheet"/>
      <sheetName val="Guarantor Serviceability"/>
      <sheetName val="Pledge Calculator"/>
      <sheetName val="Self Employed Calculator"/>
      <sheetName val="EIV Income Calculator"/>
      <sheetName val="Notes and Guidelines"/>
      <sheetName val="Pledge Notes and Guidelines"/>
      <sheetName val="Dialog2"/>
      <sheetName val="Serviceability_Worksheet"/>
      <sheetName val="Guarantor_Serviceability"/>
      <sheetName val="Pledge_Calculator"/>
      <sheetName val="Self_Employed_Calculator"/>
      <sheetName val="EIV_Income_Calculator"/>
      <sheetName val="Notes_and_Guidelines"/>
      <sheetName val="Pledge_Notes_and_Guidelines"/>
      <sheetName val="Serviceability_Worksheet1"/>
      <sheetName val="Guarantor_Serviceability1"/>
      <sheetName val="Pledge_Calculator1"/>
      <sheetName val="Self_Employed_Calculator1"/>
      <sheetName val="EIV_Income_Calculator1"/>
      <sheetName val="Notes_and_Guidelines1"/>
      <sheetName val="Pledge_Notes_and_Guidelines1"/>
    </sheetNames>
    <sheetDataSet>
      <sheetData sheetId="0">
        <row r="40">
          <cell r="K40">
            <v>0</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row r="40">
          <cell r="K40">
            <v>0</v>
          </cell>
        </row>
      </sheetData>
      <sheetData sheetId="16"/>
      <sheetData sheetId="17"/>
      <sheetData sheetId="18"/>
      <sheetData sheetId="19"/>
      <sheetData sheetId="20"/>
      <sheetData sheetId="2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erviceability Worksheet"/>
      <sheetName val="Guarantor Serviceability"/>
      <sheetName val="Self Employed Calculator"/>
      <sheetName val="EIV Income Calculator"/>
      <sheetName val="Notes and Guidelines"/>
      <sheetName val="Pledge Calculator"/>
      <sheetName val="References"/>
      <sheetName val="Large loan workings"/>
      <sheetName val="Pledge Notes and Guidelines"/>
      <sheetName val="Serviceability_Worksheet"/>
      <sheetName val="Guarantor_Serviceability"/>
      <sheetName val="Self_Employed_Calculator"/>
      <sheetName val="EIV_Income_Calculator"/>
      <sheetName val="Notes_and_Guidelines"/>
      <sheetName val="Pledge_Calculator"/>
      <sheetName val="Large_loan_workings"/>
      <sheetName val="Pledge_Notes_and_Guidelines"/>
      <sheetName val="Serviceability_Worksheet1"/>
      <sheetName val="Guarantor_Serviceability1"/>
      <sheetName val="Self_Employed_Calculator1"/>
      <sheetName val="EIV_Income_Calculator1"/>
      <sheetName val="Notes_and_Guidelines1"/>
      <sheetName val="Pledge_Calculator1"/>
      <sheetName val="Large_loan_workings1"/>
      <sheetName val="Pledge_Notes_and_Guidelines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erviceability Worksheet"/>
      <sheetName val="Self Employed Calculator"/>
      <sheetName val="Notes and Guidelines"/>
      <sheetName val="Dialog2"/>
      <sheetName val="Serviceability_Worksheet"/>
      <sheetName val="Self_Employed_Calculator"/>
      <sheetName val="Notes_and_Guidelines"/>
      <sheetName val="Serviceability_Worksheet1"/>
      <sheetName val="Self_Employed_Calculator1"/>
      <sheetName val="Notes_and_Guidelines1"/>
    </sheetNames>
    <sheetDataSet>
      <sheetData sheetId="0"/>
      <sheetData sheetId="1" refreshError="1"/>
      <sheetData sheetId="2"/>
      <sheetData sheetId="3" refreshError="1"/>
      <sheetData sheetId="4"/>
      <sheetData sheetId="5"/>
      <sheetData sheetId="6"/>
      <sheetData sheetId="7"/>
      <sheetData sheetId="8"/>
      <sheetData sheetId="9"/>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4.xml"/><Relationship Id="rId18" Type="http://schemas.openxmlformats.org/officeDocument/2006/relationships/ctrlProp" Target="../ctrlProps/ctrlProp9.xml"/><Relationship Id="rId3" Type="http://schemas.openxmlformats.org/officeDocument/2006/relationships/vmlDrawing" Target="../drawings/vmlDrawing1.vml"/><Relationship Id="rId21" Type="http://schemas.openxmlformats.org/officeDocument/2006/relationships/comments" Target="../comments1.xml"/><Relationship Id="rId7" Type="http://schemas.openxmlformats.org/officeDocument/2006/relationships/image" Target="../media/image2.emf"/><Relationship Id="rId12" Type="http://schemas.openxmlformats.org/officeDocument/2006/relationships/ctrlProp" Target="../ctrlProps/ctrlProp3.xml"/><Relationship Id="rId17" Type="http://schemas.openxmlformats.org/officeDocument/2006/relationships/ctrlProp" Target="../ctrlProps/ctrlProp8.xml"/><Relationship Id="rId2" Type="http://schemas.openxmlformats.org/officeDocument/2006/relationships/drawing" Target="../drawings/drawing1.xml"/><Relationship Id="rId16" Type="http://schemas.openxmlformats.org/officeDocument/2006/relationships/ctrlProp" Target="../ctrlProps/ctrlProp7.xml"/><Relationship Id="rId20" Type="http://schemas.openxmlformats.org/officeDocument/2006/relationships/ctrlProp" Target="../ctrlProps/ctrlProp1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ctrlProp" Target="../ctrlProps/ctrlProp2.xml"/><Relationship Id="rId5" Type="http://schemas.openxmlformats.org/officeDocument/2006/relationships/image" Target="../media/image1.emf"/><Relationship Id="rId15" Type="http://schemas.openxmlformats.org/officeDocument/2006/relationships/ctrlProp" Target="../ctrlProps/ctrlProp6.xml"/><Relationship Id="rId10" Type="http://schemas.openxmlformats.org/officeDocument/2006/relationships/ctrlProp" Target="../ctrlProps/ctrlProp1.xml"/><Relationship Id="rId19" Type="http://schemas.openxmlformats.org/officeDocument/2006/relationships/ctrlProp" Target="../ctrlProps/ctrlProp10.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trlProp" Target="../ctrlProps/ctrlProp5.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8.xml"/><Relationship Id="rId3" Type="http://schemas.openxmlformats.org/officeDocument/2006/relationships/vmlDrawing" Target="../drawings/vmlDrawing3.vml"/><Relationship Id="rId7" Type="http://schemas.openxmlformats.org/officeDocument/2006/relationships/ctrlProp" Target="../ctrlProps/ctrlProp17.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 Id="rId9" Type="http://schemas.openxmlformats.org/officeDocument/2006/relationships/ctrlProp" Target="../ctrlProps/ctrlProp19.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5.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trlProp" Target="../ctrlProps/ctrlProp20.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trlProp" Target="../ctrlProps/ctrlProp2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autoPageBreaks="0" fitToPage="1"/>
  </sheetPr>
  <dimension ref="A1:AW398"/>
  <sheetViews>
    <sheetView showGridLines="0" showRowColHeaders="0" tabSelected="1" topLeftCell="A223" zoomScale="145" zoomScaleNormal="145" zoomScalePageLayoutView="110" workbookViewId="0">
      <selection activeCell="C188" sqref="C188"/>
    </sheetView>
  </sheetViews>
  <sheetFormatPr defaultColWidth="9.265625" defaultRowHeight="12.75" x14ac:dyDescent="0.35"/>
  <cols>
    <col min="1" max="1" width="4.3984375" style="4" customWidth="1"/>
    <col min="2" max="2" width="33.265625" style="4" customWidth="1"/>
    <col min="3" max="3" width="14" style="4" customWidth="1"/>
    <col min="4" max="4" width="1.73046875" style="4" customWidth="1"/>
    <col min="5" max="5" width="14.73046875" style="4" customWidth="1"/>
    <col min="6" max="6" width="1.73046875" style="4" customWidth="1"/>
    <col min="7" max="7" width="14.265625" style="4" customWidth="1"/>
    <col min="8" max="8" width="1.73046875" style="4" customWidth="1"/>
    <col min="9" max="9" width="16.265625" style="4" customWidth="1"/>
    <col min="10" max="10" width="1.73046875" style="4" customWidth="1"/>
    <col min="11" max="11" width="15.265625" style="4" customWidth="1"/>
    <col min="12" max="12" width="1.73046875" style="5" customWidth="1"/>
    <col min="13" max="13" width="2.59765625" style="1107" customWidth="1"/>
    <col min="14" max="14" width="36" style="1112" customWidth="1"/>
    <col min="15" max="15" width="20.73046875" style="4" hidden="1" customWidth="1"/>
    <col min="16" max="16" width="16.59765625" style="4" hidden="1" customWidth="1"/>
    <col min="17" max="17" width="15.59765625" style="4" hidden="1" customWidth="1"/>
    <col min="18" max="18" width="11.73046875" style="4" hidden="1" customWidth="1"/>
    <col min="19" max="19" width="13.265625" style="4" hidden="1" customWidth="1"/>
    <col min="20" max="20" width="23.265625" style="4" hidden="1" customWidth="1"/>
    <col min="21" max="23" width="11.59765625" style="4" hidden="1" customWidth="1"/>
    <col min="24" max="24" width="16.265625" style="4" hidden="1" customWidth="1"/>
    <col min="25" max="25" width="15.265625" style="4" hidden="1" customWidth="1"/>
    <col min="26" max="26" width="15" style="4" hidden="1" customWidth="1"/>
    <col min="27" max="27" width="11.59765625" style="4" hidden="1" customWidth="1"/>
    <col min="28" max="28" width="12.59765625" style="4" hidden="1" customWidth="1"/>
    <col min="29" max="29" width="11.59765625" style="4" hidden="1" customWidth="1"/>
    <col min="30" max="30" width="13.265625" style="4" hidden="1" customWidth="1"/>
    <col min="31" max="31" width="13.3984375" style="4" customWidth="1"/>
    <col min="32" max="33" width="11.59765625" style="4" customWidth="1"/>
    <col min="34" max="34" width="14.59765625" style="4" customWidth="1"/>
    <col min="35" max="35" width="11.3984375" style="4" customWidth="1"/>
    <col min="36" max="38" width="16" style="4" customWidth="1"/>
    <col min="39" max="44" width="12.3984375" style="4" customWidth="1"/>
    <col min="45" max="45" width="9.265625" style="4" customWidth="1"/>
    <col min="46" max="16384" width="9.265625" style="4"/>
  </cols>
  <sheetData>
    <row r="1" spans="2:30" ht="13.15" thickBot="1" x14ac:dyDescent="0.4">
      <c r="B1" s="371"/>
      <c r="C1" s="372"/>
    </row>
    <row r="2" spans="2:30" ht="80.25" customHeight="1" x14ac:dyDescent="0.9">
      <c r="B2" s="881"/>
      <c r="C2" s="882"/>
      <c r="D2" s="883"/>
      <c r="E2" s="882"/>
      <c r="F2" s="884"/>
      <c r="G2" s="884"/>
      <c r="H2" s="883"/>
      <c r="I2" s="885"/>
      <c r="J2" s="883"/>
      <c r="K2" s="883"/>
      <c r="L2" s="886"/>
    </row>
    <row r="3" spans="2:30" ht="9" customHeight="1" x14ac:dyDescent="0.45">
      <c r="B3" s="1251"/>
      <c r="C3" s="1252"/>
      <c r="D3" s="1252"/>
      <c r="E3" s="347"/>
      <c r="F3" s="347"/>
      <c r="G3" s="347"/>
      <c r="H3" s="347"/>
      <c r="J3" s="492"/>
      <c r="K3" s="491"/>
      <c r="L3" s="887"/>
    </row>
    <row r="4" spans="2:30" ht="14.25" customHeight="1" x14ac:dyDescent="0.35">
      <c r="B4" s="1265" t="s">
        <v>0</v>
      </c>
      <c r="C4" s="1266"/>
      <c r="D4" s="1266"/>
      <c r="E4" s="1266"/>
      <c r="F4" s="1266"/>
      <c r="G4" s="1266"/>
      <c r="H4" s="494"/>
      <c r="I4" s="495" t="s">
        <v>784</v>
      </c>
      <c r="J4" s="394"/>
      <c r="K4" s="395"/>
      <c r="L4" s="493"/>
      <c r="O4" s="853"/>
    </row>
    <row r="5" spans="2:30" ht="23.25" customHeight="1" x14ac:dyDescent="0.35">
      <c r="B5" s="432" t="s">
        <v>1</v>
      </c>
      <c r="C5" s="396"/>
      <c r="D5" s="397"/>
      <c r="E5" s="398"/>
      <c r="F5" s="396"/>
      <c r="G5" s="1257"/>
      <c r="H5" s="1257"/>
      <c r="I5" s="1257"/>
      <c r="J5" s="1257"/>
      <c r="K5" s="1257"/>
      <c r="L5" s="1258"/>
      <c r="O5"/>
      <c r="P5"/>
      <c r="Q5"/>
      <c r="R5"/>
      <c r="S5"/>
      <c r="T5"/>
      <c r="U5"/>
      <c r="V5"/>
      <c r="W5"/>
      <c r="X5"/>
      <c r="Y5"/>
      <c r="Z5"/>
      <c r="AA5"/>
      <c r="AB5"/>
      <c r="AC5"/>
      <c r="AD5"/>
    </row>
    <row r="6" spans="2:30" ht="3" customHeight="1" x14ac:dyDescent="0.35">
      <c r="B6" s="433"/>
      <c r="C6" s="64"/>
      <c r="D6" s="65"/>
      <c r="E6" s="64"/>
      <c r="F6" s="64"/>
      <c r="G6" s="64"/>
      <c r="H6" s="64"/>
      <c r="I6" s="64"/>
      <c r="J6" s="64"/>
      <c r="K6" s="66"/>
      <c r="L6" s="434"/>
      <c r="O6"/>
      <c r="P6"/>
      <c r="Q6"/>
      <c r="R6"/>
      <c r="S6"/>
      <c r="T6"/>
      <c r="U6"/>
      <c r="V6"/>
      <c r="W6"/>
      <c r="X6"/>
      <c r="Y6"/>
      <c r="Z6"/>
      <c r="AA6"/>
      <c r="AB6"/>
      <c r="AC6"/>
      <c r="AD6"/>
    </row>
    <row r="7" spans="2:30" ht="15.75" customHeight="1" x14ac:dyDescent="0.4">
      <c r="B7" s="435" t="s">
        <v>2</v>
      </c>
      <c r="C7" s="1277" t="s">
        <v>787</v>
      </c>
      <c r="D7" s="1278"/>
      <c r="E7" s="1278"/>
      <c r="F7" s="1278"/>
      <c r="G7" s="1278"/>
      <c r="H7" s="1278"/>
      <c r="I7" s="1278"/>
      <c r="J7" s="1278"/>
      <c r="K7" s="1279"/>
      <c r="L7" s="862"/>
      <c r="N7" s="1113" t="str">
        <f>IF(App_names="bwhittin","Awesome Brett","")</f>
        <v/>
      </c>
      <c r="O7"/>
      <c r="P7"/>
      <c r="Q7"/>
      <c r="R7"/>
      <c r="S7"/>
      <c r="T7"/>
      <c r="U7"/>
      <c r="V7"/>
      <c r="W7"/>
      <c r="X7"/>
      <c r="Y7"/>
      <c r="Z7"/>
      <c r="AA7"/>
      <c r="AB7"/>
      <c r="AC7"/>
      <c r="AD7"/>
    </row>
    <row r="8" spans="2:30" ht="1.5" customHeight="1" x14ac:dyDescent="0.35">
      <c r="B8" s="435"/>
      <c r="C8" s="64"/>
      <c r="D8" s="65"/>
      <c r="E8" s="64"/>
      <c r="F8" s="64"/>
      <c r="G8" s="64"/>
      <c r="H8" s="64"/>
      <c r="I8" s="64"/>
      <c r="J8" s="64"/>
      <c r="K8" s="66"/>
      <c r="L8" s="496" t="str">
        <f>IF(K177&gt;0,"",".")</f>
        <v>.</v>
      </c>
      <c r="O8"/>
      <c r="P8"/>
      <c r="Q8"/>
      <c r="R8"/>
      <c r="S8"/>
      <c r="T8"/>
      <c r="U8"/>
      <c r="V8"/>
      <c r="W8"/>
      <c r="X8"/>
      <c r="Y8"/>
      <c r="Z8"/>
      <c r="AA8"/>
      <c r="AB8"/>
      <c r="AC8"/>
      <c r="AD8"/>
    </row>
    <row r="9" spans="2:30" x14ac:dyDescent="0.35">
      <c r="B9" s="436"/>
      <c r="C9" s="951" t="s">
        <v>3</v>
      </c>
      <c r="D9" s="64"/>
      <c r="E9" s="951" t="s">
        <v>4</v>
      </c>
      <c r="F9" s="64"/>
      <c r="G9" s="951" t="s">
        <v>5</v>
      </c>
      <c r="H9" s="64"/>
      <c r="I9" s="951" t="s">
        <v>6</v>
      </c>
      <c r="J9" s="64"/>
      <c r="K9" s="66"/>
      <c r="L9" s="496"/>
      <c r="O9"/>
      <c r="P9"/>
      <c r="Q9"/>
      <c r="R9"/>
      <c r="S9"/>
      <c r="T9"/>
      <c r="U9"/>
      <c r="V9"/>
      <c r="W9"/>
      <c r="X9"/>
      <c r="Y9"/>
      <c r="Z9"/>
      <c r="AA9"/>
      <c r="AB9"/>
      <c r="AC9"/>
      <c r="AD9"/>
    </row>
    <row r="10" spans="2:30" ht="1.5" customHeight="1" x14ac:dyDescent="0.35">
      <c r="B10" s="436"/>
      <c r="C10" s="64"/>
      <c r="D10" s="65"/>
      <c r="E10" s="64"/>
      <c r="F10" s="64"/>
      <c r="G10" s="64"/>
      <c r="H10" s="64"/>
      <c r="I10" s="64"/>
      <c r="J10" s="64"/>
      <c r="K10" s="66"/>
      <c r="L10" s="496" t="str">
        <f>IF(K179&gt;0,"",".")</f>
        <v>.</v>
      </c>
      <c r="O10"/>
      <c r="P10"/>
      <c r="Q10"/>
      <c r="R10"/>
      <c r="S10"/>
      <c r="T10"/>
      <c r="U10"/>
      <c r="V10"/>
      <c r="W10"/>
      <c r="X10"/>
      <c r="Y10"/>
      <c r="Z10"/>
      <c r="AA10"/>
      <c r="AB10"/>
      <c r="AC10"/>
      <c r="AD10"/>
    </row>
    <row r="11" spans="2:30" x14ac:dyDescent="0.35">
      <c r="B11" s="436" t="s">
        <v>7</v>
      </c>
      <c r="C11" s="832" t="s">
        <v>8</v>
      </c>
      <c r="D11" s="64"/>
      <c r="E11" s="832" t="s">
        <v>8</v>
      </c>
      <c r="F11" s="64"/>
      <c r="G11" s="832"/>
      <c r="H11" s="64"/>
      <c r="I11" s="832"/>
      <c r="J11" s="64"/>
      <c r="K11" s="1246" t="str">
        <f>IF(AND(Loanamt&gt;0,Bwr_rate=""),"Please enter maximum borrower rate","")</f>
        <v/>
      </c>
      <c r="L11" s="496"/>
      <c r="O11"/>
      <c r="P11"/>
      <c r="Q11"/>
      <c r="R11"/>
      <c r="S11"/>
      <c r="T11"/>
      <c r="U11"/>
      <c r="V11"/>
      <c r="W11"/>
      <c r="X11"/>
      <c r="Y11"/>
      <c r="Z11"/>
      <c r="AA11"/>
      <c r="AB11"/>
      <c r="AC11"/>
      <c r="AD11"/>
    </row>
    <row r="12" spans="2:30" ht="1.5" customHeight="1" x14ac:dyDescent="0.35">
      <c r="B12" s="436"/>
      <c r="C12" s="64"/>
      <c r="D12" s="64"/>
      <c r="E12" s="64"/>
      <c r="F12" s="64"/>
      <c r="G12" s="64"/>
      <c r="H12" s="64"/>
      <c r="I12" s="64"/>
      <c r="J12" s="64"/>
      <c r="K12" s="1246"/>
      <c r="L12" s="496" t="str">
        <f>IF(K181&gt;0,"",".")</f>
        <v/>
      </c>
      <c r="O12"/>
      <c r="P12"/>
      <c r="Q12"/>
      <c r="R12"/>
      <c r="S12"/>
      <c r="T12"/>
      <c r="U12"/>
      <c r="V12"/>
      <c r="W12"/>
      <c r="X12"/>
      <c r="Y12"/>
      <c r="Z12"/>
      <c r="AA12"/>
      <c r="AB12"/>
      <c r="AC12"/>
      <c r="AD12"/>
    </row>
    <row r="13" spans="2:30" x14ac:dyDescent="0.35">
      <c r="B13" s="436" t="s">
        <v>9</v>
      </c>
      <c r="C13" s="954">
        <v>2</v>
      </c>
      <c r="D13" s="64" t="str">
        <f>IF(Status1="Couple","",".")</f>
        <v/>
      </c>
      <c r="E13" s="954">
        <v>1</v>
      </c>
      <c r="F13" s="64" t="str">
        <f>IF(Status2="Couple","",".")</f>
        <v/>
      </c>
      <c r="G13" s="954"/>
      <c r="H13" s="64" t="str">
        <f>IF(Status3="Couple","",".")</f>
        <v>.</v>
      </c>
      <c r="I13" s="954"/>
      <c r="J13" s="64"/>
      <c r="K13" s="1246"/>
      <c r="L13" s="496"/>
      <c r="O13"/>
      <c r="P13"/>
      <c r="Q13"/>
      <c r="R13"/>
      <c r="S13"/>
      <c r="T13"/>
      <c r="U13"/>
      <c r="V13"/>
      <c r="W13"/>
      <c r="X13"/>
      <c r="Y13"/>
      <c r="Z13"/>
      <c r="AA13"/>
      <c r="AB13"/>
      <c r="AC13"/>
      <c r="AD13"/>
    </row>
    <row r="14" spans="2:30" ht="1.5" customHeight="1" x14ac:dyDescent="0.35">
      <c r="B14" s="436"/>
      <c r="C14" s="64"/>
      <c r="D14" s="64"/>
      <c r="E14" s="64"/>
      <c r="F14" s="64"/>
      <c r="G14" s="64"/>
      <c r="H14" s="64"/>
      <c r="I14" s="64"/>
      <c r="J14" s="64"/>
      <c r="K14" s="1246"/>
      <c r="L14" s="496" t="str">
        <f>IF(K183&gt;0,"",".")</f>
        <v>.</v>
      </c>
      <c r="O14"/>
      <c r="P14"/>
      <c r="Q14"/>
      <c r="R14"/>
      <c r="S14"/>
      <c r="T14"/>
      <c r="U14"/>
      <c r="V14"/>
      <c r="W14"/>
      <c r="X14"/>
      <c r="Y14"/>
      <c r="Z14"/>
      <c r="AA14"/>
      <c r="AB14"/>
      <c r="AC14"/>
      <c r="AD14"/>
    </row>
    <row r="15" spans="2:30" x14ac:dyDescent="0.35">
      <c r="B15" s="436" t="s">
        <v>10</v>
      </c>
      <c r="C15" s="832">
        <v>2</v>
      </c>
      <c r="D15" s="64"/>
      <c r="E15" s="832">
        <v>0</v>
      </c>
      <c r="F15" s="64"/>
      <c r="G15" s="832"/>
      <c r="H15" s="64"/>
      <c r="I15" s="832"/>
      <c r="J15" s="64"/>
      <c r="K15" s="1246"/>
      <c r="L15" s="496"/>
      <c r="O15"/>
      <c r="P15"/>
      <c r="Q15"/>
      <c r="R15"/>
      <c r="S15"/>
      <c r="T15"/>
      <c r="U15"/>
      <c r="V15"/>
      <c r="W15"/>
      <c r="X15"/>
      <c r="Y15"/>
      <c r="Z15"/>
      <c r="AA15"/>
      <c r="AB15"/>
      <c r="AC15"/>
      <c r="AD15"/>
    </row>
    <row r="16" spans="2:30" ht="1.5" customHeight="1" x14ac:dyDescent="0.35">
      <c r="B16" s="435"/>
      <c r="C16" s="64"/>
      <c r="D16" s="65"/>
      <c r="E16" s="64"/>
      <c r="F16" s="64"/>
      <c r="G16" s="64"/>
      <c r="H16" s="64"/>
      <c r="I16" s="64"/>
      <c r="J16" s="64"/>
      <c r="K16" s="66"/>
      <c r="L16" s="496" t="str">
        <f>IF(K185&gt;0,"",".")</f>
        <v>.</v>
      </c>
      <c r="O16"/>
      <c r="P16"/>
      <c r="Q16"/>
      <c r="R16"/>
      <c r="S16"/>
      <c r="T16"/>
      <c r="U16"/>
      <c r="V16"/>
      <c r="W16"/>
      <c r="X16"/>
      <c r="Y16"/>
      <c r="Z16"/>
      <c r="AA16"/>
      <c r="AB16"/>
      <c r="AC16"/>
      <c r="AD16"/>
    </row>
    <row r="17" spans="2:30" ht="12.75" customHeight="1" x14ac:dyDescent="0.35">
      <c r="B17" s="874" t="s">
        <v>11</v>
      </c>
      <c r="C17" s="863"/>
      <c r="D17" s="65"/>
      <c r="E17" s="64"/>
      <c r="F17" s="64"/>
      <c r="G17" s="1283"/>
      <c r="H17" s="1283"/>
      <c r="I17" s="64"/>
      <c r="J17" s="64"/>
      <c r="K17" s="66"/>
      <c r="L17" s="496"/>
      <c r="O17"/>
      <c r="P17"/>
      <c r="Q17"/>
      <c r="R17"/>
      <c r="S17"/>
      <c r="T17"/>
      <c r="U17"/>
      <c r="V17"/>
      <c r="W17"/>
      <c r="X17"/>
      <c r="Y17"/>
      <c r="Z17"/>
      <c r="AA17"/>
      <c r="AB17"/>
      <c r="AC17"/>
      <c r="AD17"/>
    </row>
    <row r="18" spans="2:30" ht="1.5" customHeight="1" x14ac:dyDescent="0.35">
      <c r="B18" s="435"/>
      <c r="C18" s="64"/>
      <c r="D18" s="65"/>
      <c r="E18" s="64"/>
      <c r="F18" s="64"/>
      <c r="G18" s="64"/>
      <c r="H18" s="64"/>
      <c r="I18" s="64"/>
      <c r="J18" s="64"/>
      <c r="K18" s="66"/>
      <c r="L18" s="496" t="str">
        <f>IF(K185&gt;0,"",".")</f>
        <v>.</v>
      </c>
      <c r="O18"/>
      <c r="P18"/>
      <c r="Q18"/>
      <c r="R18"/>
      <c r="S18"/>
      <c r="T18"/>
      <c r="U18"/>
      <c r="V18"/>
      <c r="W18"/>
      <c r="X18"/>
      <c r="Y18"/>
      <c r="Z18"/>
      <c r="AA18"/>
      <c r="AB18"/>
      <c r="AC18"/>
      <c r="AD18"/>
    </row>
    <row r="19" spans="2:30" ht="1.5" customHeight="1" x14ac:dyDescent="0.35">
      <c r="B19" s="435"/>
      <c r="C19" s="64"/>
      <c r="D19" s="65"/>
      <c r="E19" s="64"/>
      <c r="F19" s="64"/>
      <c r="G19" s="64"/>
      <c r="H19" s="64"/>
      <c r="I19" s="64"/>
      <c r="J19" s="64"/>
      <c r="K19" s="66"/>
      <c r="L19" s="496"/>
      <c r="O19"/>
      <c r="P19"/>
      <c r="Q19"/>
      <c r="R19"/>
      <c r="S19"/>
      <c r="T19"/>
      <c r="U19"/>
      <c r="V19"/>
      <c r="W19"/>
      <c r="X19"/>
      <c r="Y19"/>
      <c r="Z19"/>
      <c r="AA19"/>
      <c r="AB19"/>
      <c r="AC19"/>
      <c r="AD19"/>
    </row>
    <row r="20" spans="2:30" ht="15" customHeight="1" x14ac:dyDescent="0.35">
      <c r="B20" s="432" t="s">
        <v>12</v>
      </c>
      <c r="C20" s="1072"/>
      <c r="D20" s="1073"/>
      <c r="E20" s="1072"/>
      <c r="F20" s="1072"/>
      <c r="G20" s="1072"/>
      <c r="H20" s="1072"/>
      <c r="I20" s="1073" t="s">
        <v>13</v>
      </c>
      <c r="J20" s="1072"/>
      <c r="K20" s="1074"/>
      <c r="L20" s="1082">
        <v>1</v>
      </c>
      <c r="O20"/>
      <c r="P20"/>
      <c r="Q20"/>
      <c r="R20"/>
      <c r="S20"/>
      <c r="T20"/>
      <c r="U20"/>
      <c r="V20"/>
      <c r="W20"/>
      <c r="X20"/>
      <c r="Y20"/>
      <c r="Z20"/>
      <c r="AA20"/>
      <c r="AB20"/>
      <c r="AC20"/>
      <c r="AD20"/>
    </row>
    <row r="21" spans="2:30" ht="15" customHeight="1" x14ac:dyDescent="0.35">
      <c r="B21" s="435"/>
      <c r="C21" s="864" t="s">
        <v>14</v>
      </c>
      <c r="D21" s="322"/>
      <c r="E21" s="864" t="s">
        <v>15</v>
      </c>
      <c r="F21" s="865"/>
      <c r="G21" s="1078" t="s">
        <v>16</v>
      </c>
      <c r="H21" s="61"/>
      <c r="I21" s="864" t="s">
        <v>17</v>
      </c>
      <c r="J21" s="64"/>
      <c r="K21" s="64"/>
      <c r="L21" s="496"/>
      <c r="O21"/>
      <c r="P21"/>
      <c r="Q21"/>
      <c r="R21"/>
      <c r="S21"/>
      <c r="T21"/>
      <c r="U21"/>
      <c r="V21"/>
      <c r="W21"/>
      <c r="X21"/>
      <c r="Y21"/>
      <c r="Z21"/>
      <c r="AA21"/>
      <c r="AB21"/>
      <c r="AC21"/>
      <c r="AD21"/>
    </row>
    <row r="22" spans="2:30" ht="1.5" customHeight="1" x14ac:dyDescent="0.35">
      <c r="B22" s="435"/>
      <c r="C22" s="64"/>
      <c r="D22" s="65"/>
      <c r="E22" s="64"/>
      <c r="F22" s="64"/>
      <c r="G22" s="64"/>
      <c r="H22" s="64"/>
      <c r="I22" s="64"/>
      <c r="J22" s="64"/>
      <c r="K22" s="66"/>
      <c r="L22" s="496" t="str">
        <f>IF(K187&gt;0,"",".")</f>
        <v/>
      </c>
      <c r="O22"/>
      <c r="P22"/>
      <c r="Q22"/>
      <c r="R22"/>
      <c r="S22"/>
      <c r="T22"/>
      <c r="U22"/>
      <c r="V22"/>
      <c r="W22"/>
      <c r="X22"/>
      <c r="Y22"/>
      <c r="Z22"/>
      <c r="AA22"/>
      <c r="AB22"/>
      <c r="AC22"/>
      <c r="AD22"/>
    </row>
    <row r="23" spans="2:30" ht="15" customHeight="1" x14ac:dyDescent="0.35">
      <c r="B23" s="463" t="s">
        <v>18</v>
      </c>
      <c r="C23" s="946">
        <v>4060000</v>
      </c>
      <c r="D23" s="65"/>
      <c r="E23" s="1086">
        <v>30</v>
      </c>
      <c r="F23" s="64"/>
      <c r="G23" s="835">
        <v>5</v>
      </c>
      <c r="H23" s="877"/>
      <c r="I23" s="1080">
        <v>6.2899999999999998E-2</v>
      </c>
      <c r="J23" s="64"/>
      <c r="K23" s="64"/>
      <c r="L23" s="496"/>
      <c r="O23"/>
      <c r="P23"/>
      <c r="Q23"/>
      <c r="R23"/>
      <c r="S23"/>
      <c r="T23"/>
      <c r="U23"/>
      <c r="V23"/>
      <c r="W23"/>
      <c r="X23"/>
      <c r="Y23"/>
      <c r="Z23"/>
      <c r="AA23"/>
      <c r="AB23"/>
      <c r="AC23"/>
      <c r="AD23"/>
    </row>
    <row r="24" spans="2:30" ht="1.5" customHeight="1" x14ac:dyDescent="0.35">
      <c r="B24" s="435"/>
      <c r="C24" s="64"/>
      <c r="D24" s="65"/>
      <c r="E24" s="1084"/>
      <c r="F24" s="64"/>
      <c r="G24" s="64"/>
      <c r="H24" s="64"/>
      <c r="I24" s="1079"/>
      <c r="J24" s="64"/>
      <c r="K24" s="64"/>
      <c r="L24" s="496" t="str">
        <f>IF(K189&gt;0,"",".")</f>
        <v/>
      </c>
      <c r="O24"/>
      <c r="P24"/>
      <c r="Q24"/>
      <c r="R24"/>
      <c r="S24"/>
      <c r="T24"/>
      <c r="U24"/>
      <c r="V24"/>
      <c r="W24"/>
      <c r="X24"/>
      <c r="Y24"/>
      <c r="Z24"/>
      <c r="AA24"/>
      <c r="AB24"/>
      <c r="AC24"/>
      <c r="AD24"/>
    </row>
    <row r="25" spans="2:30" ht="15" hidden="1" customHeight="1" x14ac:dyDescent="0.35">
      <c r="B25" s="463" t="s">
        <v>19</v>
      </c>
      <c r="C25" s="946"/>
      <c r="D25" s="65"/>
      <c r="E25" s="1085">
        <v>30</v>
      </c>
      <c r="F25" s="64"/>
      <c r="G25" s="835"/>
      <c r="H25" s="877"/>
      <c r="I25" s="1080"/>
      <c r="J25" s="64"/>
      <c r="K25" s="64"/>
      <c r="L25" s="496"/>
      <c r="O25"/>
      <c r="P25"/>
      <c r="Q25"/>
      <c r="R25"/>
      <c r="S25"/>
      <c r="T25"/>
      <c r="U25"/>
      <c r="V25"/>
      <c r="W25"/>
      <c r="X25"/>
      <c r="Y25"/>
      <c r="Z25"/>
      <c r="AA25"/>
      <c r="AB25"/>
      <c r="AC25"/>
      <c r="AD25"/>
    </row>
    <row r="26" spans="2:30" ht="1.5" customHeight="1" x14ac:dyDescent="0.35">
      <c r="B26" s="435"/>
      <c r="C26" s="64"/>
      <c r="D26" s="65"/>
      <c r="E26" s="64">
        <v>1</v>
      </c>
      <c r="F26" s="64"/>
      <c r="G26" s="64"/>
      <c r="H26" s="64"/>
      <c r="I26" s="64"/>
      <c r="J26" s="64"/>
      <c r="K26" s="64"/>
      <c r="L26" s="496"/>
      <c r="O26"/>
      <c r="P26"/>
      <c r="Q26"/>
      <c r="R26"/>
      <c r="S26"/>
      <c r="T26"/>
      <c r="U26"/>
      <c r="V26"/>
      <c r="W26"/>
      <c r="X26"/>
      <c r="Y26"/>
      <c r="Z26"/>
      <c r="AA26"/>
      <c r="AB26"/>
      <c r="AC26"/>
      <c r="AD26"/>
    </row>
    <row r="27" spans="2:30" ht="15" hidden="1" customHeight="1" x14ac:dyDescent="0.35">
      <c r="B27" s="463" t="s">
        <v>20</v>
      </c>
      <c r="C27" s="946"/>
      <c r="D27" s="65"/>
      <c r="E27" s="1085">
        <v>30</v>
      </c>
      <c r="F27" s="64"/>
      <c r="G27" s="835"/>
      <c r="H27" s="877"/>
      <c r="I27" s="1080"/>
      <c r="J27" s="64"/>
      <c r="K27" s="64"/>
      <c r="L27" s="496"/>
      <c r="O27"/>
      <c r="P27"/>
      <c r="Q27"/>
      <c r="R27"/>
      <c r="S27"/>
      <c r="T27"/>
      <c r="U27"/>
      <c r="V27"/>
      <c r="W27"/>
      <c r="X27"/>
      <c r="Y27"/>
      <c r="Z27"/>
      <c r="AA27"/>
      <c r="AB27"/>
      <c r="AC27"/>
      <c r="AD27"/>
    </row>
    <row r="28" spans="2:30" ht="1.5" customHeight="1" x14ac:dyDescent="0.35">
      <c r="B28" s="436"/>
      <c r="C28" s="64"/>
      <c r="D28" s="65"/>
      <c r="E28" s="64"/>
      <c r="F28" s="64"/>
      <c r="G28" s="64"/>
      <c r="H28" s="64"/>
      <c r="I28" s="64"/>
      <c r="J28" s="64"/>
      <c r="K28" s="64"/>
      <c r="L28" s="496"/>
      <c r="O28"/>
      <c r="P28"/>
      <c r="Q28"/>
      <c r="R28"/>
      <c r="S28"/>
      <c r="T28"/>
      <c r="U28"/>
      <c r="V28"/>
      <c r="W28"/>
      <c r="X28"/>
      <c r="Y28"/>
      <c r="Z28"/>
      <c r="AA28"/>
      <c r="AB28"/>
      <c r="AC28"/>
      <c r="AD28"/>
    </row>
    <row r="29" spans="2:30" ht="15" hidden="1" customHeight="1" x14ac:dyDescent="0.35">
      <c r="B29" s="463" t="s">
        <v>21</v>
      </c>
      <c r="C29" s="946"/>
      <c r="D29" s="65"/>
      <c r="E29" s="1085">
        <v>30</v>
      </c>
      <c r="F29" s="64"/>
      <c r="G29" s="835"/>
      <c r="H29" s="877"/>
      <c r="I29" s="1080"/>
      <c r="J29" s="64"/>
      <c r="K29" s="64"/>
      <c r="L29" s="496"/>
      <c r="O29"/>
      <c r="P29"/>
      <c r="Q29"/>
      <c r="R29"/>
      <c r="S29"/>
      <c r="T29"/>
      <c r="U29"/>
      <c r="V29"/>
      <c r="W29"/>
      <c r="X29"/>
      <c r="Y29"/>
      <c r="Z29"/>
      <c r="AA29"/>
      <c r="AB29"/>
      <c r="AC29"/>
      <c r="AD29"/>
    </row>
    <row r="30" spans="2:30" ht="1.5" customHeight="1" x14ac:dyDescent="0.35">
      <c r="B30" s="436"/>
      <c r="C30" s="64"/>
      <c r="D30" s="65"/>
      <c r="E30" s="64"/>
      <c r="F30" s="64"/>
      <c r="G30" s="64"/>
      <c r="H30" s="64"/>
      <c r="I30" s="64"/>
      <c r="J30" s="64"/>
      <c r="K30" s="64"/>
      <c r="L30" s="496"/>
      <c r="O30"/>
      <c r="P30"/>
      <c r="Q30"/>
      <c r="R30"/>
      <c r="S30"/>
      <c r="T30"/>
      <c r="U30"/>
      <c r="V30"/>
      <c r="W30"/>
      <c r="X30"/>
      <c r="Y30"/>
      <c r="Z30"/>
      <c r="AA30"/>
      <c r="AB30"/>
      <c r="AC30"/>
      <c r="AD30"/>
    </row>
    <row r="31" spans="2:30" ht="15" hidden="1" customHeight="1" x14ac:dyDescent="0.35">
      <c r="B31" s="463" t="s">
        <v>22</v>
      </c>
      <c r="C31" s="946"/>
      <c r="D31" s="65"/>
      <c r="E31" s="1083">
        <v>30</v>
      </c>
      <c r="F31" s="64"/>
      <c r="G31" s="835"/>
      <c r="H31" s="64"/>
      <c r="I31" s="1080"/>
      <c r="J31" s="64"/>
      <c r="K31" s="64"/>
      <c r="L31" s="496"/>
      <c r="O31"/>
      <c r="P31"/>
      <c r="Q31"/>
      <c r="R31"/>
      <c r="S31"/>
      <c r="T31"/>
      <c r="U31"/>
      <c r="V31"/>
      <c r="W31"/>
      <c r="X31"/>
      <c r="Y31"/>
      <c r="Z31"/>
      <c r="AA31"/>
      <c r="AB31"/>
      <c r="AC31"/>
      <c r="AD31"/>
    </row>
    <row r="32" spans="2:30" ht="1.5" customHeight="1" x14ac:dyDescent="0.35">
      <c r="B32" s="436"/>
      <c r="C32" s="64"/>
      <c r="D32" s="65"/>
      <c r="E32" s="64"/>
      <c r="F32" s="64"/>
      <c r="G32" s="64"/>
      <c r="H32" s="64"/>
      <c r="I32" s="64"/>
      <c r="J32" s="64"/>
      <c r="K32" s="64"/>
      <c r="L32" s="496"/>
      <c r="O32"/>
      <c r="P32"/>
      <c r="Q32"/>
      <c r="R32"/>
      <c r="S32"/>
      <c r="T32"/>
      <c r="U32"/>
      <c r="V32"/>
      <c r="W32"/>
      <c r="X32"/>
      <c r="Y32"/>
      <c r="Z32"/>
      <c r="AA32"/>
      <c r="AB32"/>
      <c r="AC32"/>
      <c r="AD32"/>
    </row>
    <row r="33" spans="1:49" ht="15" hidden="1" customHeight="1" x14ac:dyDescent="0.35">
      <c r="B33" s="463" t="s">
        <v>23</v>
      </c>
      <c r="C33" s="946"/>
      <c r="D33" s="65"/>
      <c r="E33" s="1083">
        <v>30</v>
      </c>
      <c r="F33" s="64"/>
      <c r="G33" s="835"/>
      <c r="H33" s="64"/>
      <c r="I33" s="1080"/>
      <c r="J33" s="64"/>
      <c r="K33" s="64"/>
      <c r="L33" s="496"/>
      <c r="O33"/>
      <c r="P33"/>
      <c r="Q33"/>
      <c r="R33"/>
      <c r="S33"/>
      <c r="T33"/>
      <c r="U33"/>
      <c r="V33"/>
      <c r="W33"/>
      <c r="X33"/>
      <c r="Y33"/>
      <c r="Z33"/>
      <c r="AA33"/>
      <c r="AB33"/>
      <c r="AC33"/>
      <c r="AD33"/>
    </row>
    <row r="34" spans="1:49" ht="1.5" customHeight="1" x14ac:dyDescent="0.35">
      <c r="B34" s="435"/>
      <c r="C34" s="64"/>
      <c r="D34" s="65"/>
      <c r="E34" s="64"/>
      <c r="F34" s="64"/>
      <c r="G34" s="64"/>
      <c r="H34" s="64"/>
      <c r="I34" s="64"/>
      <c r="J34" s="64"/>
      <c r="K34" s="64"/>
      <c r="L34" s="496"/>
      <c r="O34"/>
      <c r="P34"/>
      <c r="Q34"/>
      <c r="R34"/>
      <c r="S34"/>
      <c r="T34"/>
      <c r="U34"/>
      <c r="V34"/>
      <c r="W34"/>
      <c r="X34"/>
      <c r="Y34"/>
      <c r="Z34"/>
      <c r="AA34"/>
      <c r="AB34"/>
      <c r="AC34"/>
      <c r="AD34"/>
    </row>
    <row r="35" spans="1:49" ht="1.5" customHeight="1" x14ac:dyDescent="0.35">
      <c r="B35" s="436"/>
      <c r="C35" s="399"/>
      <c r="D35" s="399"/>
      <c r="E35" s="400"/>
      <c r="F35" s="400"/>
      <c r="G35" s="64"/>
      <c r="H35" s="1075" t="str">
        <f>IF(OR(AND(Acct1LoanAmt &gt;0,Acct1LoanIntRate=""),AND(Acct2LoanAmt &gt;0,Acct2LoanIntRate=""),AND(Acct3LoanAmt &gt;0,Acct3LoanIntRate=""),AND(Acct4LoanAmt &gt;0,Acct4LoanIntRate=""),AND(Acct5LoanAmt &gt;0,Acct5LoanIntRate=""),AND(Acct6LoanAmt &gt;0,Acct6LoanIntRate=""))," Please enter carded rate per account (For fixed rate accounts, enter higher of fixed or revert rate)","")</f>
        <v/>
      </c>
      <c r="I35" s="1075"/>
      <c r="J35" s="1075"/>
      <c r="K35" s="1075"/>
      <c r="L35" s="1076"/>
      <c r="O35"/>
      <c r="P35"/>
      <c r="Q35"/>
      <c r="R35"/>
      <c r="S35"/>
      <c r="T35"/>
      <c r="U35"/>
      <c r="V35"/>
      <c r="W35"/>
      <c r="X35"/>
      <c r="Y35"/>
      <c r="Z35"/>
      <c r="AA35"/>
      <c r="AB35"/>
      <c r="AC35"/>
      <c r="AD35"/>
    </row>
    <row r="36" spans="1:49" ht="15" customHeight="1" thickBot="1" x14ac:dyDescent="0.4">
      <c r="B36" s="435" t="s">
        <v>24</v>
      </c>
      <c r="C36" s="490">
        <f>C23+C25+C27+C29+C31+C33</f>
        <v>4060000</v>
      </c>
      <c r="E36" s="980">
        <f>IFERROR(ROUND((Acct1LoanAmt*Acct1LoanIntRate+Acct2LoanAmt*Acct2LoanIntRate+Acct3LoanAmt*Acct3LoanIntRate+Acct4LoanAmt*Acct4LoanIntRate+Acct5LoanAmt*Acct5LoanIntRate+Acct6LoanAmt*Acct6LoanIntRate)/(Loanamt),6),"")</f>
        <v>6.2899999999999998E-2</v>
      </c>
      <c r="G36" s="1281" t="str">
        <f>IF(OR(AND(Acct1LoanAmt &gt;0,Acct1LoanIntRate=""),AND(Acct2LoanAmt &gt;0,Acct2LoanIntRate=""),AND(Acct3LoanAmt &gt;0,Acct3LoanIntRate=""),AND(Acct4LoanAmt &gt;0,Acct4LoanIntRate=""),AND(Acct5LoanAmt &gt;0,Acct5LoanIntRate=""),AND(Acct6LoanAmt &gt;0,Acct6LoanIntRate=""))," Please enter carded rate per account (For fixed rate accounts, enter higher of fixed or revert rate)","")</f>
        <v/>
      </c>
      <c r="H36" s="1281"/>
      <c r="I36" s="1281"/>
      <c r="J36" s="1281"/>
      <c r="K36" s="1281"/>
      <c r="L36" s="1076"/>
      <c r="O36"/>
      <c r="P36"/>
      <c r="Q36"/>
      <c r="R36"/>
      <c r="S36"/>
      <c r="T36"/>
      <c r="U36"/>
      <c r="V36"/>
      <c r="W36"/>
      <c r="X36"/>
      <c r="Y36"/>
      <c r="Z36"/>
      <c r="AA36"/>
      <c r="AB36"/>
      <c r="AC36"/>
      <c r="AD36"/>
    </row>
    <row r="37" spans="1:49" ht="10.15" customHeight="1" thickTop="1" x14ac:dyDescent="0.35">
      <c r="B37" s="438"/>
      <c r="C37" s="64"/>
      <c r="D37" s="64"/>
      <c r="E37" s="10"/>
      <c r="F37" s="10"/>
      <c r="G37" s="1282"/>
      <c r="H37" s="1282"/>
      <c r="I37" s="1282"/>
      <c r="J37" s="1282"/>
      <c r="K37" s="1282"/>
      <c r="L37" s="1077"/>
      <c r="O37"/>
      <c r="P37"/>
      <c r="Q37"/>
      <c r="R37"/>
      <c r="S37"/>
      <c r="T37"/>
      <c r="U37"/>
      <c r="V37"/>
      <c r="W37"/>
      <c r="X37"/>
      <c r="Y37"/>
      <c r="Z37"/>
      <c r="AA37"/>
      <c r="AB37"/>
      <c r="AC37"/>
      <c r="AD37"/>
    </row>
    <row r="38" spans="1:49" ht="17.25" customHeight="1" x14ac:dyDescent="0.35">
      <c r="B38" s="432" t="s">
        <v>25</v>
      </c>
      <c r="C38" s="396"/>
      <c r="D38" s="397"/>
      <c r="E38" s="396"/>
      <c r="F38" s="396"/>
      <c r="G38" s="396"/>
      <c r="H38" s="498"/>
      <c r="I38" s="397" t="s">
        <v>26</v>
      </c>
      <c r="J38" s="498"/>
      <c r="K38" s="498"/>
      <c r="L38" s="499"/>
      <c r="O38"/>
      <c r="P38"/>
      <c r="Q38"/>
      <c r="R38"/>
      <c r="S38"/>
      <c r="T38"/>
      <c r="U38"/>
      <c r="V38"/>
      <c r="W38"/>
      <c r="X38"/>
      <c r="Y38"/>
      <c r="Z38"/>
      <c r="AA38"/>
      <c r="AB38"/>
      <c r="AC38"/>
      <c r="AD38"/>
    </row>
    <row r="39" spans="1:49" ht="26.25" customHeight="1" x14ac:dyDescent="0.35">
      <c r="B39" s="822"/>
      <c r="C39" s="1151" t="s">
        <v>27</v>
      </c>
      <c r="D39" s="1152"/>
      <c r="E39" s="1151" t="s">
        <v>28</v>
      </c>
      <c r="F39" s="956"/>
      <c r="G39" s="1153" t="s">
        <v>29</v>
      </c>
      <c r="H39" s="64"/>
      <c r="I39" s="1267" t="s">
        <v>30</v>
      </c>
      <c r="J39" s="1267"/>
      <c r="K39" s="1267"/>
      <c r="L39" s="751"/>
      <c r="O39"/>
      <c r="P39"/>
      <c r="Q39"/>
      <c r="R39"/>
      <c r="S39"/>
      <c r="T39"/>
      <c r="U39"/>
      <c r="V39"/>
      <c r="W39"/>
      <c r="X39"/>
      <c r="Y39"/>
      <c r="Z39"/>
      <c r="AA39"/>
      <c r="AB39"/>
      <c r="AC39"/>
      <c r="AD39"/>
    </row>
    <row r="40" spans="1:49" ht="15.75" customHeight="1" x14ac:dyDescent="0.35">
      <c r="A40" s="956"/>
      <c r="B40" s="436" t="s">
        <v>31</v>
      </c>
      <c r="C40" s="946">
        <v>5800000</v>
      </c>
      <c r="D40" s="949"/>
      <c r="E40" s="957">
        <v>2076</v>
      </c>
      <c r="G40" s="832" t="s">
        <v>200</v>
      </c>
      <c r="H40" s="855"/>
      <c r="I40" s="958" t="str">
        <f>IF(E40="","",IF(ISERROR(VLOOKUP(E40,References!Z:AA,2,0)),"Invalid postcode",VLOOKUP(E40,References!Z:AD,5,0)))</f>
        <v>NSW Cat 1</v>
      </c>
      <c r="J40" s="400"/>
      <c r="K40" s="839">
        <f ca="1">IFERROR(IF(SecVal1&gt;0,'Loan Workings'!Q40,SecVal1),0)</f>
        <v>4059999.9999999995</v>
      </c>
      <c r="L40" s="434"/>
      <c r="M40" s="1223" t="str">
        <f ca="1">IF(AND($K$48=2000000,AB40='Loan Workings'!$C$61),"Refer BDM for &gt;$2M loan","")</f>
        <v/>
      </c>
      <c r="N40" s="1224"/>
      <c r="O40"/>
      <c r="P40"/>
      <c r="Q40"/>
      <c r="R40"/>
      <c r="S40"/>
      <c r="T40"/>
      <c r="U40"/>
      <c r="V40"/>
      <c r="W40"/>
      <c r="X40"/>
      <c r="Y40"/>
      <c r="Z40"/>
      <c r="AA40"/>
      <c r="AB40"/>
      <c r="AC40"/>
      <c r="AD40"/>
      <c r="AE40" s="956"/>
      <c r="AF40" s="956"/>
      <c r="AG40" s="956"/>
      <c r="AH40" s="956"/>
      <c r="AI40" s="956"/>
      <c r="AJ40" s="956"/>
      <c r="AK40" s="956"/>
      <c r="AL40" s="956"/>
      <c r="AM40" s="956"/>
      <c r="AN40" s="956"/>
      <c r="AO40" s="956"/>
      <c r="AP40" s="956"/>
      <c r="AQ40" s="956"/>
      <c r="AR40" s="956"/>
      <c r="AS40" s="956"/>
      <c r="AT40" s="956"/>
      <c r="AU40" s="956"/>
      <c r="AV40" s="956"/>
      <c r="AW40" s="956"/>
    </row>
    <row r="41" spans="1:49" ht="15.75" hidden="1" customHeight="1" x14ac:dyDescent="0.35">
      <c r="A41" s="956"/>
      <c r="B41" s="436" t="s">
        <v>33</v>
      </c>
      <c r="C41" s="946"/>
      <c r="D41" s="949"/>
      <c r="E41" s="957"/>
      <c r="G41" s="832" t="s">
        <v>34</v>
      </c>
      <c r="H41" s="855"/>
      <c r="I41" s="958" t="str">
        <f>IF(E41="","",IF(ISERROR(VLOOKUP(E41,References!Z:AA,2,0)),"Invalid postcode",VLOOKUP(E41,References!Z:AD,5,0)))</f>
        <v/>
      </c>
      <c r="J41" s="400"/>
      <c r="K41" s="839">
        <f>IFERROR(IF(SecVal2&gt;0,'Loan Workings'!Q41,SecVal2),0)</f>
        <v>0</v>
      </c>
      <c r="L41" s="434"/>
      <c r="M41" s="1223" t="str">
        <f ca="1">IF(AND($K$48=2000000,AB41='Loan Workings'!$C$61),"Refer BDM for &gt;$2M loan","")</f>
        <v/>
      </c>
      <c r="N41" s="1224"/>
      <c r="O41"/>
      <c r="P41"/>
      <c r="Q41"/>
      <c r="R41"/>
      <c r="S41"/>
      <c r="T41"/>
      <c r="U41"/>
      <c r="V41"/>
      <c r="W41"/>
      <c r="X41"/>
      <c r="Y41"/>
      <c r="Z41"/>
      <c r="AA41"/>
      <c r="AB41"/>
      <c r="AC41"/>
      <c r="AD41"/>
      <c r="AE41" s="956"/>
      <c r="AF41" s="956"/>
      <c r="AG41" s="956"/>
      <c r="AH41" s="956"/>
      <c r="AI41" s="956"/>
      <c r="AJ41" s="956"/>
      <c r="AK41" s="956"/>
      <c r="AL41" s="956"/>
      <c r="AM41" s="956"/>
      <c r="AN41" s="956"/>
      <c r="AO41" s="956"/>
      <c r="AP41" s="956"/>
      <c r="AQ41" s="956"/>
      <c r="AR41" s="956"/>
      <c r="AS41" s="956"/>
      <c r="AT41" s="956"/>
      <c r="AU41" s="956"/>
      <c r="AV41" s="956"/>
      <c r="AW41" s="956"/>
    </row>
    <row r="42" spans="1:49" ht="15.75" hidden="1" customHeight="1" x14ac:dyDescent="0.35">
      <c r="A42" s="956"/>
      <c r="B42" s="436" t="s">
        <v>35</v>
      </c>
      <c r="C42" s="946"/>
      <c r="D42" s="949"/>
      <c r="E42" s="957"/>
      <c r="G42" s="832" t="s">
        <v>34</v>
      </c>
      <c r="H42" s="855"/>
      <c r="I42" s="958" t="str">
        <f>IF(E42="","",IF(ISERROR(VLOOKUP(E42,References!Z:AA,2,0)),"Invalid postcode",VLOOKUP(E42,References!Z:AD,5,0)))</f>
        <v/>
      </c>
      <c r="J42" s="400"/>
      <c r="K42" s="839">
        <f>IFERROR(IF(SecVal3&gt;0,'Loan Workings'!Q42,SecVal3),0)</f>
        <v>0</v>
      </c>
      <c r="L42" s="434"/>
      <c r="M42" s="1223" t="str">
        <f ca="1">IF(AND($K$48=2000000,AB42='Loan Workings'!$C$61),"Refer BDM for &gt;$2M loan","")</f>
        <v/>
      </c>
      <c r="N42" s="1224"/>
      <c r="O42"/>
      <c r="P42"/>
      <c r="Q42"/>
      <c r="R42"/>
      <c r="S42"/>
      <c r="T42"/>
      <c r="U42"/>
      <c r="V42"/>
      <c r="W42"/>
      <c r="X42"/>
      <c r="Y42"/>
      <c r="Z42"/>
      <c r="AA42"/>
      <c r="AB42"/>
      <c r="AC42"/>
      <c r="AD42"/>
      <c r="AE42" s="956"/>
      <c r="AF42" s="956"/>
      <c r="AG42" s="956"/>
      <c r="AH42" s="956"/>
      <c r="AI42" s="956"/>
      <c r="AJ42" s="956"/>
      <c r="AK42" s="956"/>
      <c r="AL42" s="956"/>
      <c r="AM42" s="956"/>
      <c r="AN42" s="956"/>
      <c r="AO42" s="956"/>
      <c r="AP42" s="956"/>
      <c r="AQ42" s="956"/>
      <c r="AR42" s="956"/>
      <c r="AS42" s="956"/>
      <c r="AT42" s="956"/>
      <c r="AU42" s="956"/>
      <c r="AV42" s="956"/>
      <c r="AW42" s="956"/>
    </row>
    <row r="43" spans="1:49" ht="15.75" hidden="1" customHeight="1" x14ac:dyDescent="0.35">
      <c r="A43" s="956"/>
      <c r="B43" s="436" t="s">
        <v>36</v>
      </c>
      <c r="C43" s="946"/>
      <c r="D43" s="949"/>
      <c r="E43" s="957"/>
      <c r="G43" s="832" t="s">
        <v>34</v>
      </c>
      <c r="H43" s="663"/>
      <c r="I43" s="958" t="str">
        <f>IF(E43="","",IF(ISERROR(VLOOKUP(E43,References!Z:AA,2,0)),"Invalid postcode",VLOOKUP(E43,References!Z:AD,5,0)))</f>
        <v/>
      </c>
      <c r="J43" s="400"/>
      <c r="K43" s="839">
        <f>IFERROR(IF(SecVal4&gt;0,'Loan Workings'!Q43,SecVal4),0)</f>
        <v>0</v>
      </c>
      <c r="L43" s="434"/>
      <c r="M43" s="1223" t="str">
        <f ca="1">IF(AND($K$48=2000000,AB43='Loan Workings'!$C$61),"Refer BDM for &gt;$2M loan","")</f>
        <v/>
      </c>
      <c r="N43" s="1224"/>
      <c r="O43"/>
      <c r="P43"/>
      <c r="Q43"/>
      <c r="R43"/>
      <c r="S43"/>
      <c r="T43"/>
      <c r="U43"/>
      <c r="V43"/>
      <c r="W43"/>
      <c r="X43"/>
      <c r="Y43"/>
      <c r="Z43"/>
      <c r="AA43"/>
      <c r="AB43"/>
      <c r="AC43"/>
      <c r="AD43"/>
      <c r="AE43" s="956"/>
      <c r="AF43" s="956"/>
      <c r="AG43" s="956"/>
      <c r="AH43" s="956"/>
      <c r="AI43" s="956"/>
      <c r="AJ43" s="956"/>
      <c r="AK43" s="956"/>
      <c r="AL43" s="956"/>
      <c r="AM43" s="956"/>
      <c r="AN43" s="956"/>
      <c r="AO43" s="956"/>
      <c r="AP43" s="956"/>
      <c r="AQ43" s="956"/>
      <c r="AR43" s="956"/>
      <c r="AS43" s="956"/>
      <c r="AT43" s="956"/>
      <c r="AU43" s="956"/>
      <c r="AV43" s="956"/>
      <c r="AW43" s="956"/>
    </row>
    <row r="44" spans="1:49" ht="15.75" hidden="1" customHeight="1" x14ac:dyDescent="0.35">
      <c r="A44" s="956"/>
      <c r="B44" s="436" t="s">
        <v>37</v>
      </c>
      <c r="C44" s="946"/>
      <c r="D44" s="949"/>
      <c r="E44" s="957"/>
      <c r="G44" s="832" t="s">
        <v>34</v>
      </c>
      <c r="H44" s="663"/>
      <c r="I44" s="958" t="str">
        <f>IF(E44="","",IF(ISERROR(VLOOKUP(E44,References!Z:AA,2,0)),"Invalid postcode",VLOOKUP(E44,References!Z:AD,5,0)))</f>
        <v/>
      </c>
      <c r="J44" s="400"/>
      <c r="K44" s="839">
        <f>IFERROR(IF(SecVal5&gt;0,'Loan Workings'!Q44,SecVal5),0)</f>
        <v>0</v>
      </c>
      <c r="L44" s="434"/>
      <c r="M44" s="1223" t="str">
        <f ca="1">IF(AND($K$48=2000000,AB44='Loan Workings'!$C$61),"Refer BDM for &gt;$2M loan","")</f>
        <v/>
      </c>
      <c r="N44" s="1224"/>
      <c r="O44"/>
      <c r="P44"/>
      <c r="Q44"/>
      <c r="R44"/>
      <c r="S44"/>
      <c r="T44"/>
      <c r="U44"/>
      <c r="V44"/>
      <c r="W44"/>
      <c r="X44"/>
      <c r="Y44"/>
      <c r="Z44"/>
      <c r="AA44"/>
      <c r="AB44"/>
      <c r="AC44"/>
      <c r="AD44"/>
      <c r="AE44" s="956"/>
      <c r="AF44" s="956"/>
      <c r="AG44" s="956"/>
      <c r="AH44" s="956"/>
      <c r="AI44" s="956"/>
      <c r="AJ44" s="956"/>
      <c r="AK44" s="956"/>
      <c r="AL44" s="956"/>
      <c r="AM44" s="956"/>
      <c r="AN44" s="956"/>
      <c r="AO44" s="956"/>
      <c r="AP44" s="956"/>
      <c r="AQ44" s="956"/>
      <c r="AR44" s="956"/>
      <c r="AS44" s="956"/>
      <c r="AT44" s="956"/>
      <c r="AU44" s="956"/>
      <c r="AV44" s="956"/>
      <c r="AW44" s="956"/>
    </row>
    <row r="45" spans="1:49" ht="15.75" hidden="1" customHeight="1" x14ac:dyDescent="0.35">
      <c r="A45" s="956"/>
      <c r="B45" s="436" t="s">
        <v>38</v>
      </c>
      <c r="C45" s="946"/>
      <c r="D45" s="949"/>
      <c r="E45" s="957"/>
      <c r="G45" s="832" t="s">
        <v>34</v>
      </c>
      <c r="H45" s="663"/>
      <c r="I45" s="958" t="str">
        <f>IF(E45="","",IF(ISERROR(VLOOKUP(E45,References!Z:AA,2,0)),"Invalid postcode",VLOOKUP(E45,References!Z:AD,5,0)))</f>
        <v/>
      </c>
      <c r="J45" s="400"/>
      <c r="K45" s="839">
        <f>IFERROR(IF(SecVal6&gt;0,'Loan Workings'!Q45,SecVal6),0)</f>
        <v>0</v>
      </c>
      <c r="L45" s="434"/>
      <c r="M45" s="1223" t="str">
        <f ca="1">IF(AND($K$48=2000000,AB45='Loan Workings'!$C$61),"Refer BDM for &gt;$2M loan","")</f>
        <v/>
      </c>
      <c r="N45" s="1224"/>
      <c r="O45"/>
      <c r="P45"/>
      <c r="Q45"/>
      <c r="R45"/>
      <c r="S45"/>
      <c r="T45"/>
      <c r="U45"/>
      <c r="V45"/>
      <c r="W45"/>
      <c r="X45"/>
      <c r="Y45"/>
      <c r="Z45"/>
      <c r="AA45"/>
      <c r="AB45"/>
      <c r="AC45"/>
      <c r="AD45"/>
      <c r="AE45" s="956"/>
      <c r="AF45" s="956"/>
      <c r="AG45" s="956"/>
      <c r="AH45" s="956"/>
      <c r="AI45" s="956"/>
      <c r="AJ45" s="956"/>
      <c r="AK45" s="956"/>
      <c r="AL45" s="956"/>
      <c r="AM45" s="956"/>
      <c r="AN45" s="956"/>
      <c r="AO45" s="956"/>
      <c r="AP45" s="956"/>
      <c r="AQ45" s="956"/>
      <c r="AR45" s="956"/>
      <c r="AS45" s="956"/>
      <c r="AT45" s="956"/>
      <c r="AU45" s="956"/>
      <c r="AV45" s="956"/>
      <c r="AW45" s="956"/>
    </row>
    <row r="46" spans="1:49" ht="14.25" hidden="1" customHeight="1" thickBot="1" x14ac:dyDescent="0.4">
      <c r="A46" s="956"/>
      <c r="B46" s="442" t="s">
        <v>39</v>
      </c>
      <c r="C46" s="368"/>
      <c r="D46" s="368"/>
      <c r="E46" s="959"/>
      <c r="F46" s="959"/>
      <c r="G46" s="959"/>
      <c r="H46" s="959"/>
      <c r="I46" s="1081">
        <v>1</v>
      </c>
      <c r="J46" s="400"/>
      <c r="K46" s="823">
        <v>1</v>
      </c>
      <c r="L46" s="443"/>
      <c r="O46"/>
      <c r="P46"/>
      <c r="Q46"/>
      <c r="R46"/>
      <c r="S46"/>
      <c r="T46"/>
      <c r="U46"/>
      <c r="V46"/>
      <c r="W46"/>
      <c r="X46"/>
      <c r="Y46"/>
      <c r="Z46"/>
      <c r="AA46"/>
      <c r="AB46"/>
      <c r="AC46"/>
      <c r="AD46"/>
      <c r="AE46" s="956"/>
      <c r="AF46" s="956"/>
      <c r="AG46" s="956"/>
      <c r="AH46" s="956"/>
      <c r="AI46" s="956"/>
      <c r="AJ46" s="956"/>
      <c r="AK46" s="956"/>
      <c r="AL46" s="956"/>
      <c r="AM46" s="956"/>
      <c r="AN46" s="956"/>
      <c r="AO46" s="956"/>
      <c r="AP46" s="956"/>
      <c r="AQ46" s="956"/>
      <c r="AR46" s="956"/>
      <c r="AS46" s="956"/>
      <c r="AT46" s="956"/>
      <c r="AU46" s="956"/>
      <c r="AV46" s="956"/>
      <c r="AW46" s="956"/>
    </row>
    <row r="47" spans="1:49" ht="3.75" customHeight="1" thickBot="1" x14ac:dyDescent="0.4">
      <c r="A47" s="956"/>
      <c r="B47" s="438"/>
      <c r="C47" s="1155"/>
      <c r="D47" s="1155"/>
      <c r="E47" s="1155"/>
      <c r="F47" s="1155"/>
      <c r="G47" s="1155"/>
      <c r="I47" s="500"/>
      <c r="J47" s="400"/>
      <c r="K47" s="400"/>
      <c r="L47" s="434"/>
      <c r="O47"/>
      <c r="P47"/>
      <c r="Q47"/>
      <c r="R47"/>
      <c r="S47"/>
      <c r="T47"/>
      <c r="U47"/>
      <c r="V47"/>
      <c r="W47"/>
      <c r="X47"/>
      <c r="Y47"/>
      <c r="Z47"/>
      <c r="AA47"/>
      <c r="AB47"/>
      <c r="AC47"/>
      <c r="AD47"/>
      <c r="AE47" s="956"/>
      <c r="AF47" s="956"/>
      <c r="AG47" s="956"/>
      <c r="AH47" s="956"/>
      <c r="AI47" s="956"/>
      <c r="AJ47" s="956"/>
      <c r="AK47" s="956"/>
      <c r="AL47" s="956"/>
      <c r="AM47" s="956"/>
      <c r="AN47" s="956"/>
      <c r="AO47" s="956"/>
      <c r="AP47" s="956"/>
      <c r="AQ47" s="956"/>
      <c r="AR47" s="956"/>
      <c r="AS47" s="956"/>
      <c r="AT47" s="956"/>
      <c r="AU47" s="956"/>
      <c r="AV47" s="956"/>
      <c r="AW47" s="956"/>
    </row>
    <row r="48" spans="1:49" ht="15.75" customHeight="1" thickBot="1" x14ac:dyDescent="0.4">
      <c r="A48" s="956"/>
      <c r="B48" s="752" t="s">
        <v>40</v>
      </c>
      <c r="C48" s="490">
        <f>MIN(SecVal1)+MIN(SecVal2)+MIN(SecVal3)+MIN(SecVal4)+MIN(SecVal5)+MIN(SecVal6)</f>
        <v>5800000</v>
      </c>
      <c r="D48" s="323"/>
      <c r="E48" s="956"/>
      <c r="F48" s="956"/>
      <c r="G48" s="1231" t="s">
        <v>41</v>
      </c>
      <c r="H48" s="1231"/>
      <c r="I48" s="1231"/>
      <c r="J48" s="400"/>
      <c r="K48" s="838">
        <f ca="1">SUM(K40:K45)</f>
        <v>4059999.9999999995</v>
      </c>
      <c r="L48" s="434"/>
      <c r="N48" s="1114"/>
      <c r="O48"/>
      <c r="P48"/>
      <c r="Q48"/>
      <c r="R48"/>
      <c r="S48"/>
      <c r="T48"/>
      <c r="U48"/>
      <c r="V48"/>
      <c r="W48"/>
      <c r="X48"/>
      <c r="Y48"/>
      <c r="Z48"/>
      <c r="AA48"/>
      <c r="AB48"/>
      <c r="AC48"/>
      <c r="AD48"/>
      <c r="AE48" s="956"/>
      <c r="AF48" s="956"/>
      <c r="AG48" s="956"/>
      <c r="AH48" s="956"/>
      <c r="AI48" s="956"/>
      <c r="AJ48" s="956"/>
      <c r="AK48" s="956"/>
      <c r="AL48" s="956"/>
      <c r="AM48" s="956"/>
      <c r="AN48" s="956"/>
      <c r="AO48" s="956"/>
      <c r="AP48" s="956"/>
      <c r="AQ48" s="956"/>
      <c r="AR48" s="956"/>
      <c r="AS48" s="956"/>
      <c r="AT48" s="956"/>
      <c r="AU48" s="956"/>
      <c r="AV48" s="956"/>
      <c r="AW48" s="956"/>
    </row>
    <row r="49" spans="1:49" ht="3" customHeight="1" thickTop="1" thickBot="1" x14ac:dyDescent="0.4">
      <c r="A49" s="956"/>
      <c r="B49" s="752"/>
      <c r="C49" s="598"/>
      <c r="D49" s="323"/>
      <c r="G49" s="960"/>
      <c r="H49" s="960"/>
      <c r="I49" s="960"/>
      <c r="J49" s="960"/>
      <c r="K49" s="960"/>
      <c r="L49" s="434"/>
      <c r="N49" s="1115"/>
      <c r="O49"/>
      <c r="P49"/>
      <c r="Q49"/>
      <c r="R49"/>
      <c r="S49"/>
      <c r="T49"/>
      <c r="U49"/>
      <c r="V49"/>
      <c r="W49"/>
      <c r="X49"/>
      <c r="Y49"/>
      <c r="Z49"/>
      <c r="AA49"/>
      <c r="AB49"/>
      <c r="AC49"/>
      <c r="AD49"/>
      <c r="AE49" s="956"/>
      <c r="AF49" s="956"/>
      <c r="AG49" s="956"/>
      <c r="AH49" s="956"/>
      <c r="AI49" s="956"/>
      <c r="AJ49" s="956"/>
      <c r="AK49" s="956"/>
      <c r="AL49" s="956"/>
      <c r="AM49" s="956"/>
      <c r="AN49" s="956"/>
      <c r="AO49" s="956"/>
      <c r="AP49" s="956"/>
      <c r="AQ49" s="956"/>
      <c r="AR49" s="956"/>
      <c r="AS49" s="956"/>
      <c r="AT49" s="956"/>
      <c r="AU49" s="956"/>
      <c r="AV49" s="956"/>
      <c r="AW49" s="956"/>
    </row>
    <row r="50" spans="1:49" ht="15.75" customHeight="1" thickBot="1" x14ac:dyDescent="0.45">
      <c r="A50" s="956"/>
      <c r="B50" s="756" t="s">
        <v>42</v>
      </c>
      <c r="C50" s="832" t="s">
        <v>34</v>
      </c>
      <c r="D50" s="323"/>
      <c r="G50" s="1071" t="s">
        <v>43</v>
      </c>
      <c r="H50" s="960"/>
      <c r="I50" s="492" t="str">
        <f>IF(LVR="","LVR",IF(AND(product=3,LVR&gt;'Notes and Guidelines'!F26),"LVR Exceeded",IF((LVR&gt;StandardMAXlvr),"LVR Exceeded","LVR")))</f>
        <v>LVR</v>
      </c>
      <c r="J50" s="399"/>
      <c r="K50" s="403">
        <f>IF(C48&gt;0,ROUNDUP(C36/C48,4),"")</f>
        <v>0.7</v>
      </c>
      <c r="L50" s="434"/>
      <c r="N50" s="1115"/>
      <c r="O50"/>
      <c r="P50"/>
      <c r="Q50"/>
      <c r="R50"/>
      <c r="S50"/>
      <c r="T50"/>
      <c r="U50"/>
      <c r="V50"/>
      <c r="W50"/>
      <c r="X50"/>
      <c r="Y50"/>
      <c r="Z50"/>
      <c r="AA50"/>
      <c r="AB50"/>
      <c r="AC50"/>
      <c r="AD50"/>
      <c r="AE50" s="956"/>
      <c r="AF50" s="956"/>
      <c r="AG50" s="956"/>
      <c r="AH50" s="956"/>
      <c r="AI50" s="956"/>
      <c r="AJ50" s="956"/>
      <c r="AK50" s="956"/>
      <c r="AL50" s="956"/>
      <c r="AM50" s="956"/>
      <c r="AN50" s="956"/>
      <c r="AO50" s="956"/>
      <c r="AP50" s="956"/>
      <c r="AQ50" s="956"/>
      <c r="AR50" s="956"/>
      <c r="AS50" s="956"/>
      <c r="AT50" s="956"/>
      <c r="AU50" s="956"/>
      <c r="AV50" s="956"/>
      <c r="AW50" s="956"/>
    </row>
    <row r="51" spans="1:49" ht="3" customHeight="1" x14ac:dyDescent="0.35">
      <c r="A51" s="956"/>
      <c r="B51" s="439"/>
      <c r="C51" s="323"/>
      <c r="D51" s="323"/>
      <c r="J51" s="961"/>
      <c r="K51" s="849"/>
      <c r="L51" s="434"/>
      <c r="N51" s="1115"/>
      <c r="O51"/>
      <c r="P51"/>
      <c r="Q51"/>
      <c r="R51"/>
      <c r="S51"/>
      <c r="T51"/>
      <c r="U51"/>
      <c r="V51"/>
      <c r="W51"/>
      <c r="X51"/>
      <c r="Y51"/>
      <c r="Z51"/>
      <c r="AA51"/>
      <c r="AB51"/>
      <c r="AC51"/>
      <c r="AD51"/>
      <c r="AE51" s="956"/>
      <c r="AF51" s="956"/>
      <c r="AG51" s="956"/>
      <c r="AH51" s="956"/>
      <c r="AI51" s="956"/>
      <c r="AJ51" s="956"/>
      <c r="AK51" s="956"/>
      <c r="AL51" s="956"/>
      <c r="AM51" s="956"/>
      <c r="AN51" s="956"/>
      <c r="AO51" s="956"/>
      <c r="AP51" s="956"/>
      <c r="AQ51" s="956"/>
      <c r="AR51" s="956"/>
      <c r="AS51" s="956"/>
      <c r="AT51" s="956"/>
      <c r="AU51" s="956"/>
      <c r="AV51" s="956"/>
      <c r="AW51" s="956"/>
    </row>
    <row r="52" spans="1:49" ht="14.25" hidden="1" customHeight="1" x14ac:dyDescent="0.35">
      <c r="A52" s="956"/>
      <c r="B52" s="453" t="s">
        <v>44</v>
      </c>
      <c r="C52" s="1228" t="str">
        <f>IF('LMI Rates'!B84="",IF(OR(LMI_purpose="[Please select]", LMI_selfEmployed="[Please select]"),"Please complete below fields for correct LMI premium calculation",""),'LMI Rates'!B84)</f>
        <v>Please complete below fields for correct LMI premium calculation</v>
      </c>
      <c r="D52" s="1228"/>
      <c r="E52" s="1228"/>
      <c r="F52" s="1228"/>
      <c r="G52" s="1228"/>
      <c r="H52" s="1228"/>
      <c r="I52" s="1228"/>
      <c r="J52" s="1228"/>
      <c r="K52" s="1228"/>
      <c r="L52" s="805"/>
      <c r="N52" s="1115"/>
      <c r="O52"/>
      <c r="P52"/>
      <c r="Q52"/>
      <c r="R52"/>
      <c r="S52"/>
      <c r="T52"/>
      <c r="U52"/>
      <c r="V52"/>
      <c r="W52"/>
      <c r="X52"/>
      <c r="Y52"/>
      <c r="Z52"/>
      <c r="AA52"/>
      <c r="AB52"/>
      <c r="AC52"/>
      <c r="AD52"/>
      <c r="AE52" s="956"/>
      <c r="AF52" s="956"/>
      <c r="AG52" s="956"/>
      <c r="AH52" s="956"/>
      <c r="AI52" s="956"/>
      <c r="AJ52" s="956"/>
      <c r="AK52" s="956"/>
      <c r="AL52" s="956"/>
      <c r="AM52" s="956"/>
      <c r="AN52" s="956"/>
      <c r="AO52" s="956"/>
      <c r="AP52" s="956"/>
      <c r="AQ52" s="956"/>
      <c r="AR52" s="956"/>
      <c r="AS52" s="956"/>
      <c r="AT52" s="956"/>
      <c r="AU52" s="956"/>
      <c r="AV52" s="956"/>
      <c r="AW52" s="956"/>
    </row>
    <row r="53" spans="1:49" ht="2.65" hidden="1" customHeight="1" x14ac:dyDescent="0.35">
      <c r="A53" s="956"/>
      <c r="B53" s="1156"/>
      <c r="C53" s="64"/>
      <c r="D53" s="65"/>
      <c r="E53" s="962"/>
      <c r="F53" s="64"/>
      <c r="G53" s="750"/>
      <c r="H53" s="750"/>
      <c r="I53" s="65"/>
      <c r="J53" s="750"/>
      <c r="K53" s="750"/>
      <c r="L53" s="751"/>
      <c r="N53" s="1115"/>
      <c r="O53"/>
      <c r="P53"/>
      <c r="Q53"/>
      <c r="R53"/>
      <c r="S53"/>
      <c r="T53"/>
      <c r="U53"/>
      <c r="V53"/>
      <c r="W53"/>
      <c r="X53"/>
      <c r="Y53"/>
      <c r="Z53"/>
      <c r="AA53"/>
      <c r="AB53"/>
      <c r="AC53"/>
      <c r="AD53"/>
      <c r="AE53" s="956"/>
      <c r="AF53" s="956"/>
      <c r="AG53" s="956"/>
      <c r="AH53" s="956"/>
      <c r="AI53" s="956"/>
      <c r="AJ53" s="956"/>
      <c r="AK53" s="956"/>
      <c r="AL53" s="956"/>
      <c r="AM53" s="956"/>
      <c r="AN53" s="956"/>
      <c r="AO53" s="956"/>
      <c r="AP53" s="956"/>
      <c r="AQ53" s="956"/>
      <c r="AR53" s="956"/>
      <c r="AS53" s="956"/>
      <c r="AT53" s="956"/>
      <c r="AU53" s="956"/>
      <c r="AV53" s="956"/>
      <c r="AW53" s="956"/>
    </row>
    <row r="54" spans="1:49" ht="15" hidden="1" customHeight="1" x14ac:dyDescent="0.35">
      <c r="B54" s="756" t="s">
        <v>45</v>
      </c>
      <c r="C54" s="28"/>
      <c r="D54" s="754"/>
      <c r="E54" s="28"/>
      <c r="F54" s="753"/>
      <c r="G54" s="832" t="s">
        <v>34</v>
      </c>
      <c r="H54" s="755"/>
      <c r="I54" s="963" t="s">
        <v>44</v>
      </c>
      <c r="J54" s="750"/>
      <c r="K54" s="797">
        <f>IF(ISERROR(IF(LVR&gt;80%,'LMI Rates'!D72,0)),"N/A",IF(AND(product&lt;&gt;4,LVR&gt;80%),'LMI Rates'!D72,0))</f>
        <v>0</v>
      </c>
      <c r="L54" s="751"/>
      <c r="N54" s="1116"/>
      <c r="O54"/>
      <c r="P54"/>
      <c r="Q54"/>
      <c r="R54"/>
      <c r="S54"/>
      <c r="T54"/>
      <c r="U54"/>
      <c r="V54"/>
      <c r="W54"/>
      <c r="X54"/>
      <c r="Y54"/>
      <c r="Z54"/>
      <c r="AA54"/>
      <c r="AB54"/>
      <c r="AC54"/>
      <c r="AD54"/>
    </row>
    <row r="55" spans="1:49" ht="2.65" hidden="1" customHeight="1" thickBot="1" x14ac:dyDescent="0.4">
      <c r="B55" s="759"/>
      <c r="C55" s="753"/>
      <c r="D55" s="754"/>
      <c r="E55" s="964"/>
      <c r="F55" s="753"/>
      <c r="H55" s="755"/>
      <c r="I55" s="853"/>
      <c r="J55" s="750"/>
      <c r="K55" s="758"/>
      <c r="L55" s="751"/>
      <c r="O55"/>
      <c r="P55"/>
      <c r="Q55"/>
      <c r="R55"/>
      <c r="S55"/>
      <c r="T55"/>
      <c r="U55"/>
      <c r="V55"/>
      <c r="W55"/>
      <c r="X55"/>
      <c r="Y55"/>
      <c r="Z55"/>
      <c r="AA55"/>
      <c r="AB55"/>
      <c r="AC55"/>
      <c r="AD55"/>
    </row>
    <row r="56" spans="1:49" ht="15" hidden="1" customHeight="1" thickBot="1" x14ac:dyDescent="0.4">
      <c r="B56" s="756" t="s">
        <v>46</v>
      </c>
      <c r="C56" s="832" t="s">
        <v>34</v>
      </c>
      <c r="D56" s="754"/>
      <c r="E56" s="965" t="s">
        <v>47</v>
      </c>
      <c r="F56" s="753"/>
      <c r="G56" s="760">
        <f>IF(ISERROR(Loanamt+K54),Loanamt,Loanamt+(IF(LMIcap_flag="Y",K54,0)))</f>
        <v>4060000</v>
      </c>
      <c r="H56" s="755"/>
      <c r="I56" s="492" t="str">
        <f>IF(FinalLVR="","Final LVR",IF(FinalLVR&gt;95%,"LVR Exceeded","Final LVR"))</f>
        <v>Final LVR</v>
      </c>
      <c r="J56" s="750"/>
      <c r="K56" s="403">
        <f>IF(SecValue&gt;0,IF(ISERROR(Final_Loan/SecValue),0,ROUNDUP(Final_Loan/SecValue,4)),0)</f>
        <v>0.7</v>
      </c>
      <c r="L56" s="751"/>
      <c r="O56"/>
      <c r="P56"/>
      <c r="Q56"/>
      <c r="R56"/>
      <c r="S56"/>
      <c r="T56"/>
      <c r="U56"/>
      <c r="V56"/>
      <c r="W56"/>
      <c r="X56"/>
      <c r="Y56"/>
      <c r="Z56"/>
      <c r="AA56"/>
      <c r="AB56"/>
      <c r="AC56"/>
      <c r="AD56"/>
    </row>
    <row r="57" spans="1:49" ht="2.65" hidden="1" customHeight="1" x14ac:dyDescent="0.35">
      <c r="B57" s="1156"/>
      <c r="C57" s="753"/>
      <c r="D57" s="754"/>
      <c r="E57" s="962"/>
      <c r="F57" s="753"/>
      <c r="H57" s="755"/>
      <c r="J57" s="750"/>
      <c r="L57" s="751"/>
      <c r="O57"/>
      <c r="P57"/>
      <c r="Q57"/>
      <c r="R57"/>
      <c r="S57"/>
      <c r="T57"/>
      <c r="U57"/>
      <c r="V57"/>
      <c r="W57"/>
      <c r="X57"/>
      <c r="Y57"/>
      <c r="Z57"/>
      <c r="AA57"/>
      <c r="AB57"/>
      <c r="AC57"/>
      <c r="AD57"/>
    </row>
    <row r="58" spans="1:49" ht="17.25" hidden="1" customHeight="1" x14ac:dyDescent="0.35">
      <c r="B58" s="432" t="s">
        <v>48</v>
      </c>
      <c r="C58" s="396"/>
      <c r="D58" s="397"/>
      <c r="E58" s="398"/>
      <c r="F58" s="396"/>
      <c r="G58" s="498"/>
      <c r="H58" s="498"/>
      <c r="I58" s="397" t="s">
        <v>26</v>
      </c>
      <c r="J58" s="498"/>
      <c r="K58" s="498"/>
      <c r="L58" s="499"/>
      <c r="O58"/>
      <c r="P58"/>
      <c r="Q58"/>
      <c r="R58"/>
      <c r="S58"/>
      <c r="T58"/>
      <c r="U58"/>
      <c r="V58"/>
      <c r="W58"/>
      <c r="X58"/>
      <c r="Y58"/>
      <c r="Z58"/>
      <c r="AA58"/>
      <c r="AB58"/>
      <c r="AC58"/>
      <c r="AD58"/>
    </row>
    <row r="59" spans="1:49" ht="2.25" hidden="1" customHeight="1" x14ac:dyDescent="0.35">
      <c r="B59" s="433"/>
      <c r="C59" s="64"/>
      <c r="D59" s="65"/>
      <c r="E59" s="347"/>
      <c r="F59" s="64"/>
      <c r="G59" s="348"/>
      <c r="H59" s="348"/>
      <c r="I59" s="348"/>
      <c r="J59" s="348"/>
      <c r="K59" s="348"/>
      <c r="L59" s="497"/>
      <c r="O59"/>
      <c r="P59"/>
      <c r="Q59"/>
      <c r="R59"/>
      <c r="S59"/>
      <c r="T59"/>
      <c r="U59"/>
      <c r="V59"/>
      <c r="W59"/>
      <c r="X59"/>
      <c r="Y59"/>
      <c r="Z59"/>
      <c r="AA59"/>
      <c r="AB59"/>
      <c r="AC59"/>
      <c r="AD59"/>
    </row>
    <row r="60" spans="1:49" ht="13.5" hidden="1" customHeight="1" x14ac:dyDescent="0.35">
      <c r="B60" s="435"/>
      <c r="C60" s="400" t="s">
        <v>27</v>
      </c>
      <c r="D60" s="400"/>
      <c r="E60" s="400" t="s">
        <v>28</v>
      </c>
      <c r="F60" s="400"/>
      <c r="G60" s="821" t="s">
        <v>49</v>
      </c>
      <c r="H60" s="663"/>
      <c r="I60" s="1227" t="s">
        <v>50</v>
      </c>
      <c r="J60" s="1227"/>
      <c r="K60" s="1227"/>
      <c r="L60" s="434"/>
      <c r="O60"/>
      <c r="P60"/>
      <c r="Q60"/>
      <c r="R60"/>
      <c r="S60"/>
      <c r="T60"/>
      <c r="U60"/>
      <c r="V60"/>
      <c r="W60"/>
      <c r="X60"/>
      <c r="Y60"/>
      <c r="Z60"/>
      <c r="AA60"/>
      <c r="AB60"/>
      <c r="AC60"/>
      <c r="AD60"/>
    </row>
    <row r="61" spans="1:49" ht="15.75" hidden="1" customHeight="1" x14ac:dyDescent="0.35">
      <c r="B61" s="436" t="s">
        <v>31</v>
      </c>
      <c r="C61" s="946"/>
      <c r="D61" s="501"/>
      <c r="E61" s="832"/>
      <c r="F61" s="855"/>
      <c r="G61" s="832" t="s">
        <v>34</v>
      </c>
      <c r="H61" s="663"/>
      <c r="I61" s="958" t="str">
        <f>IF(E61="","",IF(ISERROR(VLOOKUP(E61,References!Z:AA,2,0)),"Invalid postcode",VLOOKUP(E61,References!Z:AD,5,0)))</f>
        <v/>
      </c>
      <c r="J61" s="834"/>
      <c r="K61" s="824" t="str">
        <f>IF(I61="","",'Loan Workings'!Z72)</f>
        <v/>
      </c>
      <c r="L61" s="434"/>
      <c r="N61" s="1117"/>
      <c r="O61"/>
      <c r="P61"/>
      <c r="Q61"/>
      <c r="R61"/>
      <c r="S61"/>
      <c r="T61"/>
      <c r="U61"/>
      <c r="V61"/>
      <c r="W61"/>
      <c r="X61"/>
      <c r="Y61"/>
      <c r="Z61"/>
      <c r="AA61"/>
      <c r="AB61"/>
      <c r="AC61"/>
      <c r="AD61"/>
    </row>
    <row r="62" spans="1:49" ht="15.75" hidden="1" customHeight="1" x14ac:dyDescent="0.35">
      <c r="B62" s="436" t="s">
        <v>33</v>
      </c>
      <c r="C62" s="946"/>
      <c r="D62" s="501"/>
      <c r="E62" s="832"/>
      <c r="F62" s="855"/>
      <c r="G62" s="832" t="s">
        <v>34</v>
      </c>
      <c r="H62" s="663"/>
      <c r="I62" s="958" t="str">
        <f>IF(E62="","",IF(ISERROR(VLOOKUP(E62,References!Z:AA,2,0)),"Invalid postcode",VLOOKUP(E62,References!Z:AD,5,0)))</f>
        <v/>
      </c>
      <c r="J62" s="834"/>
      <c r="K62" s="824" t="str">
        <f>IF(I62="","",'Loan Workings'!Z73)</f>
        <v/>
      </c>
      <c r="L62" s="434"/>
      <c r="N62" s="1117"/>
      <c r="O62"/>
      <c r="P62"/>
      <c r="Q62"/>
      <c r="R62"/>
      <c r="S62"/>
      <c r="T62"/>
      <c r="U62"/>
      <c r="V62"/>
      <c r="W62"/>
      <c r="X62"/>
      <c r="Y62"/>
      <c r="Z62"/>
      <c r="AA62"/>
      <c r="AB62"/>
      <c r="AC62"/>
      <c r="AD62"/>
    </row>
    <row r="63" spans="1:49" ht="15.75" hidden="1" customHeight="1" x14ac:dyDescent="0.35">
      <c r="B63" s="436" t="s">
        <v>35</v>
      </c>
      <c r="C63" s="946"/>
      <c r="D63" s="966"/>
      <c r="E63" s="832"/>
      <c r="F63" s="855"/>
      <c r="G63" s="832" t="s">
        <v>34</v>
      </c>
      <c r="H63" s="663"/>
      <c r="I63" s="958" t="str">
        <f>IF(E63="","",IF(ISERROR(VLOOKUP(E63,References!Z:AA,2,0)),"Invalid postcode",VLOOKUP(E63,References!Z:AD,5,0)))</f>
        <v/>
      </c>
      <c r="J63" s="834"/>
      <c r="K63" s="824" t="str">
        <f>IF(I63="","",'Loan Workings'!Z74)</f>
        <v/>
      </c>
      <c r="L63" s="434"/>
      <c r="N63" s="1117"/>
      <c r="O63"/>
      <c r="P63"/>
      <c r="Q63"/>
      <c r="R63"/>
      <c r="S63"/>
      <c r="T63"/>
      <c r="U63"/>
      <c r="V63"/>
      <c r="W63"/>
      <c r="X63"/>
      <c r="Y63"/>
      <c r="Z63"/>
      <c r="AA63"/>
      <c r="AB63"/>
      <c r="AC63"/>
      <c r="AD63"/>
    </row>
    <row r="64" spans="1:49" ht="15.75" hidden="1" customHeight="1" x14ac:dyDescent="0.4">
      <c r="B64" s="436" t="s">
        <v>36</v>
      </c>
      <c r="C64" s="946"/>
      <c r="D64" s="660"/>
      <c r="E64" s="832"/>
      <c r="F64" s="663"/>
      <c r="G64" s="832" t="s">
        <v>34</v>
      </c>
      <c r="H64" s="663"/>
      <c r="I64" s="958" t="str">
        <f>IF(E64="","",IF(ISERROR(VLOOKUP(E64,References!Z:AA,2,0)),"Invalid postcode",VLOOKUP(E64,References!Z:AD,5,0)))</f>
        <v/>
      </c>
      <c r="J64" s="834"/>
      <c r="K64" s="824" t="str">
        <f>IF(I64="","",'Loan Workings'!Z75)</f>
        <v/>
      </c>
      <c r="L64" s="434"/>
      <c r="N64" s="1117"/>
      <c r="O64"/>
      <c r="P64"/>
      <c r="Q64"/>
      <c r="R64"/>
      <c r="S64"/>
      <c r="T64"/>
      <c r="U64"/>
      <c r="V64"/>
      <c r="W64"/>
      <c r="X64"/>
      <c r="Y64"/>
      <c r="Z64"/>
      <c r="AA64"/>
      <c r="AB64"/>
      <c r="AC64"/>
      <c r="AD64"/>
    </row>
    <row r="65" spans="1:49" ht="15.75" hidden="1" customHeight="1" x14ac:dyDescent="0.35">
      <c r="B65" s="436" t="s">
        <v>37</v>
      </c>
      <c r="C65" s="946"/>
      <c r="D65" s="400"/>
      <c r="E65" s="832"/>
      <c r="F65" s="663"/>
      <c r="G65" s="832" t="s">
        <v>34</v>
      </c>
      <c r="H65" s="663"/>
      <c r="I65" s="958" t="str">
        <f>IF(E65="","",IF(ISERROR(VLOOKUP(E65,References!Z:AA,2,0)),"Invalid postcode",VLOOKUP(E65,References!Z:AD,5,0)))</f>
        <v/>
      </c>
      <c r="J65" s="834"/>
      <c r="K65" s="824" t="str">
        <f>IF(I65="","",'Loan Workings'!Z76)</f>
        <v/>
      </c>
      <c r="L65" s="434"/>
      <c r="N65" s="1117"/>
      <c r="O65"/>
      <c r="P65"/>
      <c r="Q65"/>
      <c r="R65"/>
      <c r="S65"/>
      <c r="T65"/>
      <c r="U65"/>
      <c r="V65"/>
      <c r="W65"/>
      <c r="X65"/>
      <c r="Y65"/>
      <c r="Z65"/>
      <c r="AA65"/>
      <c r="AB65"/>
      <c r="AC65"/>
      <c r="AD65"/>
    </row>
    <row r="66" spans="1:49" ht="15.75" hidden="1" customHeight="1" x14ac:dyDescent="0.35">
      <c r="B66" s="436" t="s">
        <v>38</v>
      </c>
      <c r="C66" s="946"/>
      <c r="D66" s="400"/>
      <c r="E66" s="832"/>
      <c r="F66" s="663"/>
      <c r="G66" s="832" t="s">
        <v>34</v>
      </c>
      <c r="H66" s="663"/>
      <c r="I66" s="958" t="str">
        <f>IF(E66="","",IF(ISERROR(VLOOKUP(E66,References!Z:AA,2,0)),"Invalid postcode",VLOOKUP(E66,References!Z:AD,5,0)))</f>
        <v/>
      </c>
      <c r="J66" s="834"/>
      <c r="K66" s="824" t="str">
        <f>IF(I66="","",'Loan Workings'!Z77)</f>
        <v/>
      </c>
      <c r="L66" s="434"/>
      <c r="N66" s="1117"/>
      <c r="O66"/>
      <c r="P66"/>
      <c r="Q66"/>
      <c r="R66"/>
      <c r="S66"/>
      <c r="T66"/>
      <c r="U66"/>
      <c r="V66"/>
      <c r="W66"/>
      <c r="X66"/>
      <c r="Y66"/>
      <c r="Z66"/>
      <c r="AA66"/>
      <c r="AB66"/>
      <c r="AC66"/>
      <c r="AD66"/>
    </row>
    <row r="67" spans="1:49" ht="3" hidden="1" customHeight="1" thickBot="1" x14ac:dyDescent="0.4">
      <c r="B67" s="438"/>
      <c r="C67" s="1155"/>
      <c r="D67" s="1155"/>
      <c r="E67" s="1155"/>
      <c r="F67" s="1155"/>
      <c r="G67" s="1155"/>
      <c r="I67" s="349"/>
      <c r="J67" s="349"/>
      <c r="K67" s="349"/>
      <c r="L67" s="434"/>
      <c r="O67"/>
      <c r="P67"/>
      <c r="Q67"/>
      <c r="R67"/>
      <c r="S67"/>
      <c r="T67"/>
      <c r="U67"/>
      <c r="V67"/>
      <c r="W67"/>
      <c r="X67"/>
      <c r="Y67"/>
      <c r="Z67"/>
      <c r="AA67"/>
      <c r="AB67"/>
      <c r="AC67"/>
      <c r="AD67"/>
    </row>
    <row r="68" spans="1:49" s="956" customFormat="1" ht="16.5" hidden="1" customHeight="1" thickBot="1" x14ac:dyDescent="0.4">
      <c r="B68" s="502" t="s">
        <v>40</v>
      </c>
      <c r="C68" s="490">
        <f>SUM(C61:C66)</f>
        <v>0</v>
      </c>
      <c r="D68" s="501"/>
      <c r="F68" s="757"/>
      <c r="G68" s="743" t="s">
        <v>51</v>
      </c>
      <c r="H68" s="757"/>
      <c r="J68" s="833"/>
      <c r="K68" s="825">
        <f>IF(ISERROR(MATCH('Loan Workings'!C105,#REF!,0)),MIN(SUM(K61:K66),StandardMAXloan),'Loan Workings'!C105)</f>
        <v>0</v>
      </c>
      <c r="L68" s="441"/>
      <c r="M68" s="1108"/>
      <c r="N68" s="1115"/>
      <c r="O68"/>
      <c r="P68"/>
      <c r="Q68"/>
      <c r="R68"/>
      <c r="S68"/>
      <c r="T68"/>
      <c r="U68"/>
      <c r="V68"/>
      <c r="W68"/>
      <c r="X68"/>
      <c r="Y68"/>
      <c r="Z68"/>
      <c r="AA68"/>
      <c r="AB68"/>
      <c r="AC68"/>
      <c r="AD68"/>
    </row>
    <row r="69" spans="1:49" s="956" customFormat="1" ht="3" hidden="1" customHeight="1" thickTop="1" thickBot="1" x14ac:dyDescent="0.4">
      <c r="B69" s="502"/>
      <c r="C69" s="598"/>
      <c r="D69" s="501"/>
      <c r="F69" s="757"/>
      <c r="G69" s="743"/>
      <c r="H69" s="743"/>
      <c r="I69" s="743"/>
      <c r="J69" s="743"/>
      <c r="K69" s="743"/>
      <c r="L69" s="441"/>
      <c r="M69" s="1108"/>
      <c r="N69" s="1115"/>
      <c r="O69"/>
      <c r="P69"/>
      <c r="Q69"/>
      <c r="R69"/>
      <c r="S69"/>
      <c r="T69"/>
      <c r="U69"/>
      <c r="V69"/>
      <c r="W69"/>
      <c r="X69"/>
      <c r="Y69"/>
      <c r="Z69"/>
      <c r="AA69"/>
      <c r="AB69"/>
      <c r="AC69"/>
      <c r="AD69"/>
    </row>
    <row r="70" spans="1:49" s="956" customFormat="1" ht="15" hidden="1" customHeight="1" thickBot="1" x14ac:dyDescent="0.4">
      <c r="B70" s="502"/>
      <c r="C70" s="598"/>
      <c r="D70" s="501"/>
      <c r="F70" s="757"/>
      <c r="H70" s="743"/>
      <c r="I70" s="743" t="s">
        <v>52</v>
      </c>
      <c r="K70" s="816">
        <f>IF(C48&gt;0,C36/C48,"")</f>
        <v>0.7</v>
      </c>
      <c r="L70" s="441"/>
      <c r="M70" s="1108"/>
      <c r="N70" s="1115"/>
      <c r="O70"/>
      <c r="P70"/>
      <c r="Q70"/>
      <c r="R70"/>
      <c r="S70"/>
      <c r="T70"/>
      <c r="U70"/>
      <c r="V70"/>
      <c r="W70"/>
      <c r="X70"/>
      <c r="Y70"/>
      <c r="Z70"/>
      <c r="AA70"/>
      <c r="AB70"/>
      <c r="AC70"/>
      <c r="AD70"/>
    </row>
    <row r="71" spans="1:49" ht="3" hidden="1" customHeight="1" thickBot="1" x14ac:dyDescent="0.4">
      <c r="A71" s="956"/>
      <c r="B71" s="440"/>
      <c r="C71" s="346"/>
      <c r="D71" s="345"/>
      <c r="E71" s="956"/>
      <c r="F71" s="956"/>
      <c r="G71" s="956"/>
      <c r="H71" s="956"/>
      <c r="I71" s="345"/>
      <c r="J71" s="345"/>
      <c r="K71" s="345"/>
      <c r="L71" s="441"/>
      <c r="O71"/>
      <c r="P71"/>
      <c r="Q71"/>
      <c r="R71"/>
      <c r="S71"/>
      <c r="T71"/>
      <c r="U71"/>
      <c r="V71"/>
      <c r="W71"/>
      <c r="X71"/>
      <c r="Y71"/>
      <c r="Z71"/>
      <c r="AA71"/>
      <c r="AB71"/>
      <c r="AC71"/>
      <c r="AD71"/>
    </row>
    <row r="72" spans="1:49" ht="16.5" hidden="1" customHeight="1" thickBot="1" x14ac:dyDescent="0.4">
      <c r="A72" s="956"/>
      <c r="B72" s="442" t="s">
        <v>39</v>
      </c>
      <c r="C72" s="368"/>
      <c r="D72" s="368"/>
      <c r="E72" s="959"/>
      <c r="F72" s="959"/>
      <c r="G72" s="959"/>
      <c r="H72" s="959"/>
      <c r="I72" s="959"/>
      <c r="J72" s="967" t="s">
        <v>53</v>
      </c>
      <c r="K72" s="968">
        <v>1</v>
      </c>
      <c r="L72" s="443"/>
      <c r="N72" s="1115"/>
      <c r="O72"/>
      <c r="P72"/>
      <c r="Q72"/>
      <c r="R72"/>
      <c r="S72"/>
      <c r="T72"/>
      <c r="U72"/>
      <c r="V72"/>
      <c r="W72"/>
      <c r="X72"/>
      <c r="Y72"/>
      <c r="Z72"/>
      <c r="AA72"/>
      <c r="AB72"/>
      <c r="AC72"/>
      <c r="AD72"/>
      <c r="AE72" s="956"/>
      <c r="AF72" s="956"/>
      <c r="AG72" s="956"/>
      <c r="AH72" s="956"/>
      <c r="AI72" s="956"/>
      <c r="AJ72" s="956"/>
      <c r="AK72" s="956"/>
      <c r="AL72" s="956"/>
      <c r="AM72" s="956"/>
      <c r="AN72" s="956"/>
      <c r="AO72" s="956"/>
      <c r="AP72" s="956"/>
      <c r="AQ72" s="956"/>
      <c r="AR72" s="956"/>
      <c r="AS72" s="956"/>
      <c r="AT72" s="956"/>
      <c r="AU72" s="956"/>
      <c r="AV72" s="956"/>
      <c r="AW72" s="956"/>
    </row>
    <row r="73" spans="1:49" ht="5.25" hidden="1" customHeight="1" x14ac:dyDescent="0.35">
      <c r="B73" s="444"/>
      <c r="C73" s="969"/>
      <c r="D73" s="969"/>
      <c r="E73" s="969"/>
      <c r="F73" s="969"/>
      <c r="G73" s="969"/>
      <c r="H73" s="969"/>
      <c r="I73" s="969"/>
      <c r="J73" s="969"/>
      <c r="K73" s="969"/>
      <c r="L73" s="446"/>
      <c r="O73"/>
      <c r="P73"/>
      <c r="Q73"/>
      <c r="R73"/>
      <c r="S73"/>
      <c r="T73"/>
      <c r="U73"/>
      <c r="V73"/>
      <c r="W73"/>
      <c r="X73"/>
      <c r="Y73"/>
      <c r="Z73"/>
      <c r="AA73"/>
      <c r="AB73"/>
      <c r="AC73"/>
      <c r="AD73"/>
    </row>
    <row r="74" spans="1:49" ht="14.25" hidden="1" customHeight="1" x14ac:dyDescent="0.35">
      <c r="B74" s="444"/>
      <c r="C74" s="969"/>
      <c r="D74" s="969"/>
      <c r="E74" s="1157" t="s">
        <v>54</v>
      </c>
      <c r="F74" s="970"/>
      <c r="G74" s="365"/>
      <c r="H74" s="350"/>
      <c r="I74" s="1158" t="s">
        <v>55</v>
      </c>
      <c r="J74" s="350"/>
      <c r="K74" s="365"/>
      <c r="L74" s="446"/>
      <c r="O74"/>
      <c r="P74"/>
      <c r="Q74"/>
      <c r="R74"/>
      <c r="S74"/>
      <c r="T74"/>
      <c r="U74"/>
      <c r="V74"/>
      <c r="W74"/>
      <c r="X74"/>
      <c r="Y74"/>
      <c r="Z74"/>
      <c r="AA74"/>
      <c r="AB74"/>
      <c r="AC74"/>
      <c r="AD74"/>
    </row>
    <row r="75" spans="1:49" ht="5.25" hidden="1" customHeight="1" x14ac:dyDescent="0.35">
      <c r="B75" s="444"/>
      <c r="C75" s="969"/>
      <c r="D75" s="969"/>
      <c r="E75" s="969"/>
      <c r="F75" s="969"/>
      <c r="G75" s="969"/>
      <c r="H75" s="969"/>
      <c r="I75" s="969"/>
      <c r="J75" s="969"/>
      <c r="K75" s="969"/>
      <c r="L75" s="446"/>
      <c r="O75"/>
      <c r="P75"/>
      <c r="Q75"/>
      <c r="R75"/>
      <c r="S75"/>
      <c r="T75"/>
      <c r="U75"/>
      <c r="V75"/>
      <c r="W75"/>
      <c r="X75"/>
      <c r="Y75"/>
      <c r="Z75"/>
      <c r="AA75"/>
      <c r="AB75"/>
      <c r="AC75"/>
      <c r="AD75"/>
    </row>
    <row r="76" spans="1:49" ht="14.25" hidden="1" customHeight="1" x14ac:dyDescent="0.35">
      <c r="B76" s="447"/>
      <c r="C76" s="129">
        <v>1</v>
      </c>
      <c r="D76" s="130"/>
      <c r="E76" s="129">
        <v>2</v>
      </c>
      <c r="F76" s="129"/>
      <c r="G76" s="129">
        <v>3</v>
      </c>
      <c r="H76" s="129"/>
      <c r="I76" s="129">
        <v>4</v>
      </c>
      <c r="J76" s="350"/>
      <c r="K76" s="351"/>
      <c r="L76" s="446"/>
      <c r="O76"/>
      <c r="P76"/>
      <c r="Q76"/>
      <c r="R76"/>
      <c r="S76"/>
      <c r="T76"/>
      <c r="U76"/>
      <c r="V76"/>
      <c r="W76"/>
      <c r="X76"/>
      <c r="Y76"/>
      <c r="Z76"/>
      <c r="AA76"/>
      <c r="AB76"/>
      <c r="AC76"/>
      <c r="AD76"/>
    </row>
    <row r="77" spans="1:49" ht="15" hidden="1" customHeight="1" x14ac:dyDescent="0.35">
      <c r="B77" s="448" t="s">
        <v>56</v>
      </c>
      <c r="C77" s="373"/>
      <c r="D77" s="352"/>
      <c r="E77" s="366"/>
      <c r="F77" s="352"/>
      <c r="G77" s="366"/>
      <c r="H77" s="352"/>
      <c r="I77" s="366"/>
      <c r="J77" s="63"/>
      <c r="K77" s="969"/>
      <c r="L77" s="449"/>
      <c r="O77"/>
      <c r="P77"/>
      <c r="Q77"/>
      <c r="R77"/>
      <c r="S77"/>
      <c r="T77"/>
      <c r="U77"/>
      <c r="V77"/>
      <c r="W77"/>
      <c r="X77"/>
      <c r="Y77"/>
      <c r="Z77"/>
      <c r="AA77"/>
      <c r="AB77"/>
      <c r="AC77"/>
      <c r="AD77"/>
    </row>
    <row r="78" spans="1:49" ht="15.75" hidden="1" customHeight="1" x14ac:dyDescent="0.35">
      <c r="B78" s="444" t="s">
        <v>7</v>
      </c>
      <c r="C78" s="366" t="str">
        <f>C11</f>
        <v>Couple</v>
      </c>
      <c r="D78" s="352"/>
      <c r="E78" s="366" t="str">
        <f>E11</f>
        <v>Couple</v>
      </c>
      <c r="F78" s="352"/>
      <c r="G78" s="366">
        <f>G11</f>
        <v>0</v>
      </c>
      <c r="H78" s="352"/>
      <c r="I78" s="366">
        <f>I11</f>
        <v>0</v>
      </c>
      <c r="J78" s="353" t="str">
        <f>IF(SUMIF(C251:I251,"&gt;0",C251:I251)&lt;4,"Please complete status","")</f>
        <v/>
      </c>
      <c r="K78" s="354"/>
      <c r="L78" s="449"/>
      <c r="O78"/>
      <c r="P78"/>
      <c r="Q78"/>
      <c r="R78"/>
      <c r="S78"/>
      <c r="T78"/>
      <c r="U78"/>
      <c r="V78"/>
      <c r="W78"/>
      <c r="X78"/>
      <c r="Y78"/>
      <c r="Z78"/>
      <c r="AA78"/>
      <c r="AB78"/>
      <c r="AC78"/>
      <c r="AD78"/>
    </row>
    <row r="79" spans="1:49" ht="15.75" hidden="1" customHeight="1" x14ac:dyDescent="0.35">
      <c r="B79" s="444" t="s">
        <v>57</v>
      </c>
      <c r="C79" s="367">
        <f>C13</f>
        <v>2</v>
      </c>
      <c r="D79" s="355" t="str">
        <f>IF(Status1="Couple","",".")</f>
        <v/>
      </c>
      <c r="E79" s="367">
        <f>E13</f>
        <v>1</v>
      </c>
      <c r="F79" s="355" t="str">
        <f>IF(Status2="Couple","",".")</f>
        <v/>
      </c>
      <c r="G79" s="367">
        <f>G13</f>
        <v>0</v>
      </c>
      <c r="H79" s="355" t="str">
        <f>IF(Status3="Couple","",".")</f>
        <v>.</v>
      </c>
      <c r="I79" s="367">
        <f>I13</f>
        <v>0</v>
      </c>
      <c r="J79" s="356" t="str">
        <f>IF(Status4="Couple","",".")</f>
        <v>.</v>
      </c>
      <c r="K79" s="357" t="str">
        <f>IF(OR(Status1="Couple",Status2="Couple",Status3="Couple",Status4="Couple"),"Please select","")</f>
        <v>Please select</v>
      </c>
      <c r="L79" s="450"/>
      <c r="O79"/>
      <c r="P79"/>
      <c r="Q79"/>
      <c r="R79"/>
      <c r="S79"/>
      <c r="T79"/>
      <c r="U79"/>
      <c r="V79"/>
      <c r="W79"/>
      <c r="X79"/>
      <c r="Y79"/>
      <c r="Z79"/>
      <c r="AA79"/>
      <c r="AB79"/>
      <c r="AC79"/>
      <c r="AD79"/>
    </row>
    <row r="80" spans="1:49" ht="15.75" hidden="1" customHeight="1" x14ac:dyDescent="0.35">
      <c r="B80" s="444" t="s">
        <v>58</v>
      </c>
      <c r="C80" s="366">
        <f>C15</f>
        <v>2</v>
      </c>
      <c r="D80" s="352"/>
      <c r="E80" s="366">
        <f>E15</f>
        <v>0</v>
      </c>
      <c r="F80" s="352"/>
      <c r="G80" s="366">
        <f>G15</f>
        <v>0</v>
      </c>
      <c r="H80" s="352"/>
      <c r="I80" s="366">
        <f>I15</f>
        <v>0</v>
      </c>
      <c r="J80" s="358"/>
      <c r="K80" s="359"/>
      <c r="L80" s="450"/>
      <c r="O80"/>
      <c r="P80"/>
      <c r="Q80"/>
      <c r="R80"/>
      <c r="S80"/>
      <c r="T80"/>
      <c r="U80"/>
      <c r="V80"/>
      <c r="W80"/>
      <c r="X80"/>
      <c r="Y80"/>
      <c r="Z80"/>
      <c r="AA80"/>
      <c r="AB80"/>
      <c r="AC80"/>
      <c r="AD80"/>
    </row>
    <row r="81" spans="2:30" ht="15.75" hidden="1" customHeight="1" x14ac:dyDescent="0.35">
      <c r="B81" s="448" t="s">
        <v>59</v>
      </c>
      <c r="C81" s="63"/>
      <c r="D81" s="63"/>
      <c r="E81" s="63"/>
      <c r="F81" s="63"/>
      <c r="G81" s="63"/>
      <c r="H81" s="63"/>
      <c r="I81" s="63"/>
      <c r="J81" s="63"/>
      <c r="K81" s="63"/>
      <c r="L81" s="449"/>
      <c r="O81"/>
      <c r="P81"/>
      <c r="Q81"/>
      <c r="R81"/>
      <c r="S81"/>
      <c r="T81"/>
      <c r="U81"/>
      <c r="V81"/>
      <c r="W81"/>
      <c r="X81"/>
      <c r="Y81"/>
      <c r="Z81"/>
      <c r="AA81"/>
      <c r="AB81"/>
      <c r="AC81"/>
      <c r="AD81"/>
    </row>
    <row r="82" spans="2:30" ht="15.75" hidden="1" customHeight="1" x14ac:dyDescent="0.35">
      <c r="B82" s="444" t="s">
        <v>60</v>
      </c>
      <c r="C82" s="132">
        <f>C178</f>
        <v>1692350</v>
      </c>
      <c r="D82" s="63"/>
      <c r="E82" s="132">
        <f>E178</f>
        <v>282884.40000000002</v>
      </c>
      <c r="F82" s="63"/>
      <c r="G82" s="132">
        <f>G178</f>
        <v>0</v>
      </c>
      <c r="H82" s="63"/>
      <c r="I82" s="132">
        <f>I178</f>
        <v>0</v>
      </c>
      <c r="J82" s="63"/>
      <c r="K82" s="63"/>
      <c r="L82" s="449"/>
      <c r="O82"/>
      <c r="P82"/>
      <c r="Q82"/>
      <c r="R82"/>
      <c r="S82"/>
      <c r="T82"/>
      <c r="U82"/>
      <c r="V82"/>
      <c r="W82"/>
      <c r="X82"/>
      <c r="Y82"/>
      <c r="Z82"/>
      <c r="AA82"/>
      <c r="AB82"/>
      <c r="AC82"/>
      <c r="AD82"/>
    </row>
    <row r="83" spans="2:30" ht="15.75" hidden="1" customHeight="1" x14ac:dyDescent="0.35">
      <c r="B83" s="444" t="s">
        <v>61</v>
      </c>
      <c r="C83" s="1069">
        <f>SUM(C171:C176)+(SUM(C181:C182)*0.8)+C243+C244-C246</f>
        <v>1553456</v>
      </c>
      <c r="D83" s="1069"/>
      <c r="E83" s="1069">
        <f>SUM(E171:E176)+(SUM(E181:E182)*0.8)+E243+E244-E246</f>
        <v>282884.40000000002</v>
      </c>
      <c r="F83" s="1069"/>
      <c r="G83" s="1069">
        <f>SUM(G171:G176)+(SUM(G181:G182)*0.8)+G243+G244-G246</f>
        <v>0</v>
      </c>
      <c r="H83" s="1069"/>
      <c r="I83" s="1069">
        <f>SUM(I171:I176)+(SUM(I181:I182)*0.8)+I243+I244-I246</f>
        <v>0</v>
      </c>
      <c r="J83" s="63"/>
      <c r="K83" s="63"/>
      <c r="L83" s="449"/>
      <c r="O83"/>
      <c r="P83"/>
      <c r="Q83"/>
      <c r="R83"/>
      <c r="S83"/>
      <c r="T83"/>
      <c r="U83"/>
      <c r="V83"/>
      <c r="W83"/>
      <c r="X83"/>
      <c r="Y83"/>
      <c r="Z83"/>
      <c r="AA83"/>
      <c r="AB83"/>
      <c r="AC83"/>
      <c r="AD83"/>
    </row>
    <row r="84" spans="2:30" ht="15.75" hidden="1" customHeight="1" x14ac:dyDescent="0.35">
      <c r="B84" s="444" t="s">
        <v>62</v>
      </c>
      <c r="C84" s="1070">
        <f>IFERROR(HLOOKUP(C13,$C$76:$I$83,8,0),0)</f>
        <v>282884.40000000002</v>
      </c>
      <c r="D84" s="1070"/>
      <c r="E84" s="1070">
        <f>IFERROR(HLOOKUP(E13,$C$76:$I$83,8,0),0)</f>
        <v>1553456</v>
      </c>
      <c r="F84" s="1070"/>
      <c r="G84" s="1070">
        <f>IFERROR(HLOOKUP(G13,$C$76:$I$83,8,0),0)</f>
        <v>0</v>
      </c>
      <c r="H84" s="1070"/>
      <c r="I84" s="1070">
        <f>IFERROR(HLOOKUP(I13,$C$76:$I$83,8,0),0)</f>
        <v>0</v>
      </c>
      <c r="J84" s="63"/>
      <c r="K84" s="63"/>
      <c r="L84" s="449"/>
      <c r="O84"/>
      <c r="P84"/>
      <c r="Q84"/>
      <c r="R84"/>
      <c r="S84"/>
      <c r="T84"/>
      <c r="U84"/>
      <c r="V84"/>
      <c r="W84"/>
      <c r="X84"/>
      <c r="Y84"/>
      <c r="Z84"/>
      <c r="AA84"/>
      <c r="AB84"/>
      <c r="AC84"/>
      <c r="AD84"/>
    </row>
    <row r="85" spans="2:30" ht="15.75" hidden="1" customHeight="1" x14ac:dyDescent="0.35">
      <c r="B85" s="444" t="s">
        <v>63</v>
      </c>
      <c r="C85" s="132">
        <f>SUMIF(C83:C84,"&gt;0")</f>
        <v>1836340.4</v>
      </c>
      <c r="D85" s="63"/>
      <c r="E85" s="132">
        <f>SUMIF(E83:E84,"&gt;0")</f>
        <v>1836340.4</v>
      </c>
      <c r="F85" s="132">
        <f t="shared" ref="F85:I85" si="0">SUMIF(F83:F84,"&gt;0")</f>
        <v>0</v>
      </c>
      <c r="G85" s="132">
        <f t="shared" si="0"/>
        <v>0</v>
      </c>
      <c r="H85" s="132">
        <f t="shared" si="0"/>
        <v>0</v>
      </c>
      <c r="I85" s="132">
        <f t="shared" si="0"/>
        <v>0</v>
      </c>
      <c r="J85" s="63"/>
      <c r="K85" s="63"/>
      <c r="L85" s="449"/>
      <c r="O85"/>
      <c r="P85"/>
      <c r="Q85"/>
      <c r="R85"/>
      <c r="S85"/>
      <c r="T85"/>
      <c r="U85"/>
      <c r="V85"/>
      <c r="W85"/>
      <c r="X85"/>
      <c r="Y85"/>
      <c r="Z85"/>
      <c r="AA85"/>
      <c r="AB85"/>
      <c r="AC85"/>
      <c r="AD85"/>
    </row>
    <row r="86" spans="2:30" ht="15.75" hidden="1" customHeight="1" x14ac:dyDescent="0.35">
      <c r="B86" s="444" t="s">
        <v>64</v>
      </c>
      <c r="C86" s="132">
        <f>SUM(C83:C84)</f>
        <v>1836340.4</v>
      </c>
      <c r="D86" s="132">
        <f t="shared" ref="D86:H86" si="1">SUMIF(D83:D84,"&gt;0")</f>
        <v>0</v>
      </c>
      <c r="E86" s="132">
        <f>SUM(E83:E84)</f>
        <v>1836340.4</v>
      </c>
      <c r="F86" s="132">
        <f t="shared" si="1"/>
        <v>0</v>
      </c>
      <c r="G86" s="132">
        <f>SUM(G83:G84)</f>
        <v>0</v>
      </c>
      <c r="H86" s="132">
        <f t="shared" si="1"/>
        <v>0</v>
      </c>
      <c r="I86" s="132">
        <f>SUM(I83:I84)</f>
        <v>0</v>
      </c>
      <c r="J86" s="63"/>
      <c r="K86" s="63"/>
      <c r="L86" s="449"/>
      <c r="O86"/>
      <c r="P86"/>
      <c r="Q86"/>
      <c r="R86"/>
      <c r="S86"/>
      <c r="T86"/>
      <c r="U86"/>
      <c r="V86"/>
      <c r="W86"/>
      <c r="X86"/>
      <c r="Y86"/>
      <c r="Z86"/>
      <c r="AA86"/>
      <c r="AB86"/>
      <c r="AC86"/>
      <c r="AD86"/>
    </row>
    <row r="87" spans="2:30" ht="15.75" hidden="1" customHeight="1" x14ac:dyDescent="0.35">
      <c r="B87" s="444" t="s">
        <v>65</v>
      </c>
      <c r="C87" s="132" t="b">
        <v>0</v>
      </c>
      <c r="D87" s="63"/>
      <c r="E87" s="132" t="b">
        <f>E76=C13</f>
        <v>1</v>
      </c>
      <c r="F87" s="63"/>
      <c r="G87" s="132" t="b">
        <f>OR(G76=E13,G76=C13)</f>
        <v>0</v>
      </c>
      <c r="H87" s="63"/>
      <c r="I87" s="132" t="b">
        <f>OR(I76=G13,I76=E13,I76=C13)</f>
        <v>0</v>
      </c>
      <c r="J87" s="63"/>
      <c r="K87" s="63"/>
      <c r="L87" s="449"/>
      <c r="O87"/>
      <c r="P87"/>
      <c r="Q87"/>
      <c r="R87"/>
      <c r="S87"/>
      <c r="T87"/>
      <c r="U87"/>
      <c r="V87"/>
      <c r="W87"/>
      <c r="X87"/>
      <c r="Y87"/>
      <c r="Z87"/>
      <c r="AA87"/>
      <c r="AB87"/>
      <c r="AC87"/>
      <c r="AD87"/>
    </row>
    <row r="88" spans="2:30" ht="15.75" hidden="1" customHeight="1" x14ac:dyDescent="0.35">
      <c r="B88" s="444" t="s">
        <v>66</v>
      </c>
      <c r="C88" s="62">
        <f>C15</f>
        <v>2</v>
      </c>
      <c r="D88" s="62"/>
      <c r="E88" s="62">
        <f>E15</f>
        <v>0</v>
      </c>
      <c r="F88" s="62"/>
      <c r="G88" s="62">
        <f>G15</f>
        <v>0</v>
      </c>
      <c r="H88" s="62"/>
      <c r="I88" s="62">
        <f>I15</f>
        <v>0</v>
      </c>
      <c r="J88" s="63"/>
      <c r="K88" s="63"/>
      <c r="L88" s="449"/>
      <c r="O88"/>
      <c r="P88"/>
      <c r="Q88"/>
      <c r="R88"/>
      <c r="S88"/>
      <c r="T88"/>
      <c r="U88"/>
      <c r="V88"/>
      <c r="W88"/>
      <c r="X88"/>
      <c r="Y88"/>
      <c r="Z88"/>
      <c r="AA88"/>
      <c r="AB88"/>
      <c r="AC88"/>
      <c r="AD88"/>
    </row>
    <row r="89" spans="2:30" ht="15.75" hidden="1" customHeight="1" x14ac:dyDescent="0.35">
      <c r="B89" s="444" t="s">
        <v>67</v>
      </c>
      <c r="C89" s="62">
        <f>HLOOKUP(C13,$C$76:$I$80,5,0)</f>
        <v>0</v>
      </c>
      <c r="D89" s="62"/>
      <c r="E89" s="62">
        <f>HLOOKUP(E13,$C$76:$I$80,5,0)</f>
        <v>2</v>
      </c>
      <c r="F89" s="62"/>
      <c r="G89" s="62" t="e">
        <f>HLOOKUP(G13,$C$76:$I$80,5,0)</f>
        <v>#N/A</v>
      </c>
      <c r="H89" s="62"/>
      <c r="I89" s="62" t="e">
        <f>HLOOKUP(I13,$C$76:$I$80,5,0)</f>
        <v>#N/A</v>
      </c>
      <c r="J89" s="63"/>
      <c r="K89" s="63"/>
      <c r="L89" s="449"/>
      <c r="O89"/>
      <c r="P89"/>
      <c r="Q89"/>
      <c r="R89"/>
      <c r="S89"/>
      <c r="T89"/>
      <c r="U89"/>
      <c r="V89"/>
      <c r="W89"/>
      <c r="X89"/>
      <c r="Y89"/>
      <c r="Z89"/>
      <c r="AA89"/>
      <c r="AB89"/>
      <c r="AC89"/>
      <c r="AD89"/>
    </row>
    <row r="90" spans="2:30" ht="15.75" hidden="1" customHeight="1" x14ac:dyDescent="0.35">
      <c r="B90" s="444" t="s">
        <v>68</v>
      </c>
      <c r="C90" s="62">
        <f>SUMIF(C88:C89,"&gt;0")</f>
        <v>2</v>
      </c>
      <c r="D90" s="62"/>
      <c r="E90" s="62">
        <f>SUMIF(E88:E89,"&gt;0")</f>
        <v>2</v>
      </c>
      <c r="F90" s="62"/>
      <c r="G90" s="62">
        <f>SUMIF(G88:G89,"&gt;0")</f>
        <v>0</v>
      </c>
      <c r="H90" s="62"/>
      <c r="I90" s="62">
        <f>SUMIF(I88:I89,"&gt;0")</f>
        <v>0</v>
      </c>
      <c r="J90" s="63"/>
      <c r="K90" s="63"/>
      <c r="L90" s="449"/>
      <c r="O90"/>
      <c r="P90"/>
      <c r="Q90"/>
      <c r="R90"/>
      <c r="S90"/>
      <c r="T90"/>
      <c r="U90"/>
      <c r="V90"/>
      <c r="W90"/>
      <c r="X90"/>
      <c r="Y90"/>
      <c r="Z90"/>
      <c r="AA90"/>
      <c r="AB90"/>
      <c r="AC90"/>
      <c r="AD90"/>
    </row>
    <row r="91" spans="2:30" ht="15.75" hidden="1" customHeight="1" x14ac:dyDescent="0.35">
      <c r="B91" s="444" t="s">
        <v>69</v>
      </c>
      <c r="C91" s="62" t="str">
        <f>IF(C87=FALSE,IF(AND(C78="",C77&lt;&gt;""),"S",LEFT(C78))&amp;MIN(C90,20),"")</f>
        <v>C2</v>
      </c>
      <c r="D91" s="62"/>
      <c r="E91" s="62" t="str">
        <f>IF(E87=FALSE,IF(AND(E78="",E77&lt;&gt;""),"S",LEFT(E78))&amp;MIN(E90,20),"")</f>
        <v/>
      </c>
      <c r="F91" s="62"/>
      <c r="G91" s="62" t="str">
        <f>IF(G87=FALSE,IF(AND(G78="",G77&lt;&gt;""),"S",LEFT(G78))&amp;MIN(G90,20),"")</f>
        <v>00</v>
      </c>
      <c r="H91" s="62"/>
      <c r="I91" s="62" t="str">
        <f>IF(I87=FALSE,IF(AND(I78="",I77&lt;&gt;""),"S",LEFT(I78))&amp;MIN(I90,20),"")</f>
        <v>00</v>
      </c>
      <c r="J91" s="63"/>
      <c r="K91" s="63"/>
      <c r="L91" s="449"/>
      <c r="O91"/>
      <c r="P91"/>
      <c r="Q91"/>
      <c r="R91"/>
      <c r="S91"/>
      <c r="T91"/>
      <c r="U91"/>
      <c r="V91"/>
      <c r="W91"/>
      <c r="X91"/>
      <c r="Y91"/>
      <c r="Z91"/>
      <c r="AA91"/>
      <c r="AB91"/>
      <c r="AC91"/>
      <c r="AD91"/>
    </row>
    <row r="92" spans="2:30" ht="15.75" hidden="1" customHeight="1" x14ac:dyDescent="0.35">
      <c r="B92" s="444" t="s">
        <v>70</v>
      </c>
      <c r="C92" s="872">
        <f>IF(C86&lt;0,VLOOKUP(C91,'HEM Table'!B8:C30,2,TRUE)*52,HLOOKUP(C86, 'HEM Table'!$C$7:$W$30, MATCH(C91, 'HEM Table'!$B$7:$B$30, 0),TRUE)*52)</f>
        <v>83720.851140499508</v>
      </c>
      <c r="D92" s="872"/>
      <c r="E92" s="872" t="e">
        <f>IF(E86&lt;0,VLOOKUP(E91,'HEM Table'!B8:C30,2,TRUE)*52,HLOOKUP(E86, 'HEM Table'!$C$7:$W$30, MATCH(E91, 'HEM Table'!$B$7:$B$30, 0),TRUE)*52)</f>
        <v>#N/A</v>
      </c>
      <c r="F92" s="872"/>
      <c r="G92" s="872" t="e">
        <f>IF(G86&lt;0,VLOOKUP(G91,'HEM Table'!B8:C30,2,TRUE)*52,HLOOKUP(G86, 'HEM Table'!$C$7:$W$30, MATCH(G91, 'HEM Table'!$B$7:$B$30, 0),TRUE)*52)</f>
        <v>#N/A</v>
      </c>
      <c r="H92" s="872"/>
      <c r="I92" s="872" t="e">
        <f>IF(I86&lt;0,VLOOKUP(I91,'HEM Table'!B8:C30,2,TRUE)*52,HLOOKUP(I86, 'HEM Table'!$C$7:$W$30, MATCH(I91, 'HEM Table'!$B$7:$B$30, 0),TRUE)*52)</f>
        <v>#N/A</v>
      </c>
      <c r="J92" s="63"/>
      <c r="K92" s="131">
        <f>IF(Inc_Tier="Y",SUMIF(C92:I92,"&gt;0"),($P$11*LE_Couple+$P$13*LE_Single+IF(No_couples=0,$P$15*LE_Single_Child,$P$15*LE_Couple_Child))*52)</f>
        <v>83720.851140499508</v>
      </c>
      <c r="L92" s="449"/>
      <c r="O92"/>
      <c r="P92"/>
      <c r="Q92"/>
      <c r="R92"/>
      <c r="S92"/>
      <c r="T92"/>
      <c r="U92"/>
      <c r="V92"/>
      <c r="W92"/>
      <c r="X92"/>
      <c r="Y92"/>
      <c r="Z92"/>
      <c r="AA92"/>
      <c r="AB92"/>
      <c r="AC92"/>
      <c r="AD92"/>
    </row>
    <row r="93" spans="2:30" ht="15.75" hidden="1" customHeight="1" x14ac:dyDescent="0.35">
      <c r="B93" s="444" t="s">
        <v>71</v>
      </c>
      <c r="C93" s="63" t="b">
        <f>OR(C77&lt;&gt;"",C78&lt;&gt;0,C249&gt;0)</f>
        <v>1</v>
      </c>
      <c r="D93" s="63"/>
      <c r="E93" s="63" t="b">
        <f>OR(E77&lt;&gt;"",E78&lt;&gt;0,E249&gt;0)</f>
        <v>1</v>
      </c>
      <c r="F93" s="63"/>
      <c r="G93" s="63" t="b">
        <f>OR(G77&lt;&gt;"",G78&lt;&gt;0,G249&gt;0)</f>
        <v>0</v>
      </c>
      <c r="H93" s="63"/>
      <c r="I93" s="63" t="b">
        <f>OR(I77&lt;&gt;"",I78&lt;&gt;0,I249&gt;0)</f>
        <v>0</v>
      </c>
      <c r="J93" s="63"/>
      <c r="K93" s="139">
        <f>COUNTIF(C93:I93,TRUE)</f>
        <v>2</v>
      </c>
      <c r="L93" s="449"/>
      <c r="O93"/>
      <c r="P93"/>
      <c r="Q93"/>
      <c r="R93"/>
      <c r="S93"/>
      <c r="T93"/>
      <c r="U93"/>
      <c r="V93"/>
      <c r="W93"/>
      <c r="X93"/>
      <c r="Y93"/>
      <c r="Z93"/>
      <c r="AA93"/>
      <c r="AB93"/>
      <c r="AC93"/>
      <c r="AD93"/>
    </row>
    <row r="94" spans="2:30" ht="15.75" hidden="1" customHeight="1" thickBot="1" x14ac:dyDescent="0.4">
      <c r="B94" s="444"/>
      <c r="C94" s="63"/>
      <c r="D94" s="63"/>
      <c r="E94" s="63"/>
      <c r="F94" s="63"/>
      <c r="G94" s="63"/>
      <c r="H94" s="63"/>
      <c r="I94" s="63"/>
      <c r="J94" s="63"/>
      <c r="K94" s="63"/>
      <c r="L94" s="449"/>
      <c r="O94"/>
      <c r="P94"/>
      <c r="Q94"/>
      <c r="R94"/>
      <c r="S94"/>
      <c r="T94"/>
      <c r="U94"/>
      <c r="V94"/>
      <c r="W94"/>
      <c r="X94"/>
      <c r="Y94"/>
      <c r="Z94"/>
      <c r="AA94"/>
      <c r="AB94"/>
      <c r="AC94"/>
      <c r="AD94"/>
    </row>
    <row r="95" spans="2:30" ht="15.75" hidden="1" customHeight="1" x14ac:dyDescent="0.35">
      <c r="B95" s="451" t="s">
        <v>72</v>
      </c>
      <c r="C95" s="360" t="s">
        <v>73</v>
      </c>
      <c r="D95" s="361"/>
      <c r="E95" s="362">
        <f>O321</f>
        <v>1</v>
      </c>
      <c r="F95" s="361"/>
      <c r="G95" s="361"/>
      <c r="H95" s="361"/>
      <c r="I95" s="361"/>
      <c r="J95" s="361"/>
      <c r="K95" s="361"/>
      <c r="L95" s="452"/>
      <c r="O95"/>
      <c r="P95"/>
      <c r="Q95"/>
      <c r="R95"/>
      <c r="S95"/>
      <c r="T95"/>
      <c r="U95"/>
      <c r="V95"/>
      <c r="W95"/>
      <c r="X95"/>
      <c r="Y95"/>
      <c r="Z95"/>
      <c r="AA95"/>
      <c r="AB95"/>
      <c r="AC95"/>
      <c r="AD95"/>
    </row>
    <row r="96" spans="2:30" ht="15.75" hidden="1" customHeight="1" x14ac:dyDescent="0.35">
      <c r="B96" s="448" t="s">
        <v>74</v>
      </c>
      <c r="C96" s="129">
        <v>1</v>
      </c>
      <c r="D96" s="130"/>
      <c r="E96" s="129">
        <v>2</v>
      </c>
      <c r="F96" s="129"/>
      <c r="G96" s="129">
        <v>3</v>
      </c>
      <c r="H96" s="129"/>
      <c r="I96" s="129">
        <v>4</v>
      </c>
      <c r="J96" s="63"/>
      <c r="K96" s="63"/>
      <c r="L96" s="449"/>
      <c r="O96"/>
      <c r="P96"/>
      <c r="Q96"/>
      <c r="R96"/>
      <c r="S96"/>
      <c r="T96"/>
      <c r="U96"/>
      <c r="V96"/>
      <c r="W96"/>
      <c r="X96"/>
      <c r="Y96"/>
      <c r="Z96"/>
      <c r="AA96"/>
      <c r="AB96"/>
      <c r="AC96"/>
      <c r="AD96"/>
    </row>
    <row r="97" spans="2:30" ht="15.75" hidden="1" customHeight="1" x14ac:dyDescent="0.35">
      <c r="B97" s="444" t="s">
        <v>60</v>
      </c>
      <c r="C97" s="330">
        <f>Q287-C278</f>
        <v>1692350</v>
      </c>
      <c r="D97" s="331"/>
      <c r="E97" s="332">
        <f>Q292-E278</f>
        <v>282884.40000000002</v>
      </c>
      <c r="F97" s="331"/>
      <c r="G97" s="331">
        <f>Q297-G278</f>
        <v>0</v>
      </c>
      <c r="H97" s="331"/>
      <c r="I97" s="331">
        <f>Q302-I278</f>
        <v>0</v>
      </c>
      <c r="J97" s="63"/>
      <c r="K97" s="63"/>
      <c r="L97" s="449"/>
      <c r="O97"/>
      <c r="P97"/>
      <c r="Q97"/>
      <c r="R97"/>
      <c r="S97"/>
      <c r="T97"/>
      <c r="U97"/>
      <c r="V97"/>
      <c r="W97"/>
      <c r="X97"/>
      <c r="Y97"/>
      <c r="Z97"/>
      <c r="AA97"/>
      <c r="AB97"/>
      <c r="AC97"/>
      <c r="AD97"/>
    </row>
    <row r="98" spans="2:30" ht="15.75" hidden="1" customHeight="1" x14ac:dyDescent="0.35">
      <c r="B98" s="444" t="s">
        <v>75</v>
      </c>
      <c r="C98" s="330">
        <f>HLOOKUP(C$79,$C96:$I97,2,0)</f>
        <v>282884.40000000002</v>
      </c>
      <c r="D98" s="331"/>
      <c r="E98" s="330">
        <f>HLOOKUP(E$79,$C96:$I97,2,0)</f>
        <v>1692350</v>
      </c>
      <c r="F98" s="331"/>
      <c r="G98" s="330" t="e">
        <f>HLOOKUP(G$79,$C96:$I97,2,0)</f>
        <v>#N/A</v>
      </c>
      <c r="H98" s="331"/>
      <c r="I98" s="330" t="e">
        <f>HLOOKUP(I$79,$C96:$I97,2,0)</f>
        <v>#N/A</v>
      </c>
      <c r="J98" s="63"/>
      <c r="K98" s="63"/>
      <c r="L98" s="449"/>
      <c r="O98"/>
      <c r="P98"/>
      <c r="Q98"/>
      <c r="R98"/>
      <c r="S98"/>
      <c r="T98"/>
      <c r="U98"/>
      <c r="V98"/>
      <c r="W98"/>
      <c r="X98"/>
      <c r="Y98"/>
      <c r="Z98"/>
      <c r="AA98"/>
      <c r="AB98"/>
      <c r="AC98"/>
      <c r="AD98"/>
    </row>
    <row r="99" spans="2:30" ht="15.75" hidden="1" customHeight="1" x14ac:dyDescent="0.35">
      <c r="B99" s="444" t="s">
        <v>63</v>
      </c>
      <c r="C99" s="331">
        <f>SUMIF(C97:C98,"&gt;0")</f>
        <v>1975234.4</v>
      </c>
      <c r="D99" s="331"/>
      <c r="E99" s="331">
        <f>SUMIF(E97:E98,"&gt;0")</f>
        <v>1975234.4</v>
      </c>
      <c r="F99" s="331"/>
      <c r="G99" s="331">
        <f>SUMIF(G97:G98,"&gt;0")</f>
        <v>0</v>
      </c>
      <c r="H99" s="331"/>
      <c r="I99" s="331">
        <f>SUMIF(I97:I98,"&gt;0")</f>
        <v>0</v>
      </c>
      <c r="J99" s="63"/>
      <c r="K99" s="63"/>
      <c r="L99" s="449"/>
      <c r="O99"/>
      <c r="P99"/>
      <c r="Q99"/>
      <c r="R99"/>
      <c r="S99"/>
      <c r="T99"/>
      <c r="U99"/>
      <c r="V99"/>
      <c r="W99"/>
      <c r="X99"/>
      <c r="Y99"/>
      <c r="Z99"/>
      <c r="AA99"/>
      <c r="AB99"/>
      <c r="AC99"/>
      <c r="AD99"/>
    </row>
    <row r="100" spans="2:30" ht="15.75" hidden="1" customHeight="1" x14ac:dyDescent="0.35">
      <c r="B100" s="444" t="s">
        <v>70</v>
      </c>
      <c r="C100" s="919">
        <f>HLOOKUP(C99, 'HEM Table'!$C$7:$W$30, MATCH(C$91, 'HEM Table'!$B$7:$B$30, 0),TRUE)*52</f>
        <v>83720.851140499508</v>
      </c>
      <c r="D100" s="333"/>
      <c r="E100" s="131" t="e">
        <f>HLOOKUP(E99, 'HEM Table'!$C$7:$W$30, MATCH(E91, 'HEM Table'!$B$7:$B$30, 0),TRUE)*52</f>
        <v>#N/A</v>
      </c>
      <c r="F100" s="333"/>
      <c r="G100" s="131" t="e">
        <f>HLOOKUP(G99, 'HEM Table'!$C$7:$W$30, MATCH(G91, 'HEM Table'!$B$7:$B$30, 0),TRUE)*52</f>
        <v>#N/A</v>
      </c>
      <c r="H100" s="333"/>
      <c r="I100" s="131" t="e">
        <f>HLOOKUP(I99, 'HEM Table'!$C$7:$W$30, MATCH(I91, 'HEM Table'!$B$7:$B$30, 0),TRUE)*52</f>
        <v>#N/A</v>
      </c>
      <c r="J100" s="63"/>
      <c r="K100" s="131">
        <f>IF(Inc_Tier="Y",MAX(SUMIF(C100:I100,"&gt;0"),$K$237),MAX($K$237,($P$11*LE_Couple+$P$13*LE_Single+IF(No_couples=0,$P$15*LE_Single_Child,$P$15*LE_Couple_Child))*52))</f>
        <v>122880</v>
      </c>
      <c r="L100" s="449"/>
      <c r="O100"/>
      <c r="P100"/>
      <c r="Q100"/>
      <c r="R100"/>
      <c r="S100"/>
      <c r="T100"/>
      <c r="U100"/>
      <c r="V100"/>
      <c r="W100"/>
      <c r="X100"/>
      <c r="Y100"/>
      <c r="Z100"/>
      <c r="AA100"/>
      <c r="AB100"/>
      <c r="AC100"/>
      <c r="AD100"/>
    </row>
    <row r="101" spans="2:30" ht="15.75" hidden="1" customHeight="1" x14ac:dyDescent="0.35">
      <c r="B101" s="448" t="s">
        <v>76</v>
      </c>
      <c r="C101" s="129">
        <v>1</v>
      </c>
      <c r="D101" s="130"/>
      <c r="E101" s="129">
        <v>2</v>
      </c>
      <c r="F101" s="129"/>
      <c r="G101" s="129">
        <v>3</v>
      </c>
      <c r="H101" s="129"/>
      <c r="I101" s="129">
        <v>4</v>
      </c>
      <c r="J101" s="63"/>
      <c r="K101" s="63"/>
      <c r="L101" s="449"/>
      <c r="O101"/>
      <c r="P101"/>
      <c r="Q101"/>
      <c r="R101"/>
      <c r="S101"/>
      <c r="T101"/>
      <c r="U101"/>
      <c r="V101"/>
      <c r="W101"/>
      <c r="X101"/>
      <c r="Y101"/>
      <c r="Z101"/>
      <c r="AA101"/>
      <c r="AB101"/>
      <c r="AC101"/>
      <c r="AD101"/>
    </row>
    <row r="102" spans="2:30" ht="15.75" hidden="1" customHeight="1" x14ac:dyDescent="0.35">
      <c r="B102" s="444" t="s">
        <v>60</v>
      </c>
      <c r="C102" s="331">
        <f>R287-C278</f>
        <v>1692350</v>
      </c>
      <c r="D102" s="333"/>
      <c r="E102" s="332">
        <f>R292-E278</f>
        <v>282884.40000000002</v>
      </c>
      <c r="F102" s="333"/>
      <c r="G102" s="331">
        <f>R297-G278</f>
        <v>0</v>
      </c>
      <c r="H102" s="333"/>
      <c r="I102" s="331">
        <f>R302-I278</f>
        <v>0</v>
      </c>
      <c r="J102" s="63"/>
      <c r="K102" s="63"/>
      <c r="L102" s="449"/>
      <c r="O102"/>
      <c r="P102"/>
      <c r="Q102"/>
      <c r="R102"/>
      <c r="S102"/>
      <c r="T102"/>
      <c r="U102"/>
      <c r="V102"/>
      <c r="W102"/>
      <c r="X102"/>
      <c r="Y102"/>
      <c r="Z102"/>
      <c r="AA102"/>
      <c r="AB102"/>
      <c r="AC102"/>
      <c r="AD102"/>
    </row>
    <row r="103" spans="2:30" ht="15.75" hidden="1" customHeight="1" x14ac:dyDescent="0.35">
      <c r="B103" s="444" t="s">
        <v>75</v>
      </c>
      <c r="C103" s="330">
        <f>HLOOKUP(C$79,$C101:$I102,2,0)</f>
        <v>282884.40000000002</v>
      </c>
      <c r="D103" s="333"/>
      <c r="E103" s="330">
        <f>HLOOKUP(E$79,$C101:$I102,2,0)</f>
        <v>1692350</v>
      </c>
      <c r="F103" s="333"/>
      <c r="G103" s="330" t="e">
        <f>HLOOKUP(G$79,$C101:$I102,2,0)</f>
        <v>#N/A</v>
      </c>
      <c r="H103" s="333"/>
      <c r="I103" s="330" t="e">
        <f>HLOOKUP(I$79,$C101:$I102,2,0)</f>
        <v>#N/A</v>
      </c>
      <c r="J103" s="63"/>
      <c r="K103" s="63"/>
      <c r="L103" s="449"/>
      <c r="O103"/>
      <c r="P103"/>
      <c r="Q103"/>
      <c r="R103"/>
      <c r="S103"/>
      <c r="T103"/>
      <c r="U103"/>
      <c r="V103"/>
      <c r="W103"/>
      <c r="X103"/>
      <c r="Y103"/>
      <c r="Z103"/>
      <c r="AA103"/>
      <c r="AB103"/>
      <c r="AC103"/>
      <c r="AD103"/>
    </row>
    <row r="104" spans="2:30" ht="15.75" hidden="1" customHeight="1" x14ac:dyDescent="0.35">
      <c r="B104" s="444" t="s">
        <v>63</v>
      </c>
      <c r="C104" s="331">
        <f>SUMIF(C102:C103,"&gt;0")</f>
        <v>1975234.4</v>
      </c>
      <c r="D104" s="333"/>
      <c r="E104" s="331">
        <f>SUMIF(E102:E103,"&gt;0")</f>
        <v>1975234.4</v>
      </c>
      <c r="F104" s="333"/>
      <c r="G104" s="331">
        <f>SUMIF(G102:G103,"&gt;0")</f>
        <v>0</v>
      </c>
      <c r="H104" s="333"/>
      <c r="I104" s="331">
        <f>SUMIF(I102:I103,"&gt;0")</f>
        <v>0</v>
      </c>
      <c r="J104" s="63"/>
      <c r="K104" s="63"/>
      <c r="L104" s="449"/>
      <c r="O104"/>
      <c r="P104"/>
      <c r="Q104"/>
      <c r="R104"/>
      <c r="S104"/>
      <c r="T104"/>
      <c r="U104"/>
      <c r="V104"/>
      <c r="W104"/>
      <c r="X104"/>
      <c r="Y104"/>
      <c r="Z104"/>
      <c r="AA104"/>
      <c r="AB104"/>
      <c r="AC104"/>
      <c r="AD104"/>
    </row>
    <row r="105" spans="2:30" ht="15.75" hidden="1" customHeight="1" x14ac:dyDescent="0.35">
      <c r="B105" s="444" t="s">
        <v>70</v>
      </c>
      <c r="C105" s="919">
        <f>HLOOKUP(C104, 'HEM Table'!$C$7:$W$30, MATCH(C$91, 'HEM Table'!$B$7:$B$30, 0),TRUE)*52</f>
        <v>83720.851140499508</v>
      </c>
      <c r="D105" s="333"/>
      <c r="E105" s="131" t="e">
        <f>HLOOKUP(E104, 'HEM Table'!$C$7:$W$30, MATCH(E91, 'HEM Table'!$B$7:$B$30, 0),TRUE)*52</f>
        <v>#N/A</v>
      </c>
      <c r="F105" s="333"/>
      <c r="G105" s="131" t="e">
        <f>HLOOKUP(G104, 'HEM Table'!$C$7:$W$30, MATCH(G91, 'HEM Table'!$B$7:$B$30, 0),TRUE)*52</f>
        <v>#N/A</v>
      </c>
      <c r="H105" s="333"/>
      <c r="I105" s="131" t="e">
        <f>HLOOKUP(I104, 'HEM Table'!$C$7:$W$30, MATCH(I91, 'HEM Table'!$B$7:$B$30, 0),TRUE)*52</f>
        <v>#N/A</v>
      </c>
      <c r="J105" s="63"/>
      <c r="K105" s="131">
        <f>IF(Inc_Tier="Y",MAX(SUMIF(C105:I105,"&gt;0"),$K$237),MAX($K$237,($P$11*LE_Couple+$P$13*LE_Single+IF(No_couples=0,$P$15*LE_Single_Child,$P$15*LE_Couple_Child))*52))</f>
        <v>122880</v>
      </c>
      <c r="L105" s="449"/>
      <c r="O105"/>
      <c r="P105"/>
      <c r="Q105"/>
      <c r="R105"/>
      <c r="S105"/>
      <c r="T105"/>
      <c r="U105"/>
      <c r="V105"/>
      <c r="W105"/>
      <c r="X105"/>
      <c r="Y105"/>
      <c r="Z105"/>
      <c r="AA105"/>
      <c r="AB105"/>
      <c r="AC105"/>
      <c r="AD105"/>
    </row>
    <row r="106" spans="2:30" ht="15.75" hidden="1" customHeight="1" x14ac:dyDescent="0.35">
      <c r="B106" s="448" t="s">
        <v>77</v>
      </c>
      <c r="C106" s="129">
        <v>1</v>
      </c>
      <c r="D106" s="130"/>
      <c r="E106" s="129">
        <v>2</v>
      </c>
      <c r="F106" s="129"/>
      <c r="G106" s="129">
        <v>3</v>
      </c>
      <c r="H106" s="129"/>
      <c r="I106" s="129">
        <v>4</v>
      </c>
      <c r="J106" s="63"/>
      <c r="K106" s="63"/>
      <c r="L106" s="449"/>
      <c r="O106"/>
      <c r="P106"/>
      <c r="Q106"/>
      <c r="R106"/>
      <c r="S106"/>
      <c r="T106"/>
      <c r="U106"/>
      <c r="V106"/>
      <c r="W106"/>
      <c r="X106"/>
      <c r="Y106"/>
      <c r="Z106"/>
      <c r="AA106"/>
      <c r="AB106"/>
      <c r="AC106"/>
      <c r="AD106"/>
    </row>
    <row r="107" spans="2:30" ht="15.75" hidden="1" customHeight="1" x14ac:dyDescent="0.35">
      <c r="B107" s="444" t="s">
        <v>60</v>
      </c>
      <c r="C107" s="331">
        <f>S287-C278</f>
        <v>1692350</v>
      </c>
      <c r="D107" s="333"/>
      <c r="E107" s="332">
        <f>S292-E278</f>
        <v>282884.40000000002</v>
      </c>
      <c r="F107" s="333"/>
      <c r="G107" s="331">
        <f>S297-G278</f>
        <v>0</v>
      </c>
      <c r="H107" s="333"/>
      <c r="I107" s="331">
        <f>S302-I278</f>
        <v>0</v>
      </c>
      <c r="J107" s="63"/>
      <c r="K107" s="63"/>
      <c r="L107" s="449"/>
      <c r="O107"/>
      <c r="P107"/>
      <c r="Q107"/>
      <c r="R107"/>
      <c r="S107"/>
      <c r="T107"/>
      <c r="U107"/>
      <c r="V107"/>
      <c r="W107"/>
      <c r="X107"/>
      <c r="Y107"/>
      <c r="Z107"/>
      <c r="AA107"/>
      <c r="AB107"/>
      <c r="AC107"/>
      <c r="AD107"/>
    </row>
    <row r="108" spans="2:30" ht="15.75" hidden="1" customHeight="1" x14ac:dyDescent="0.35">
      <c r="B108" s="444" t="s">
        <v>75</v>
      </c>
      <c r="C108" s="330">
        <f>HLOOKUP(C$79,$C106:$I107,2,0)</f>
        <v>282884.40000000002</v>
      </c>
      <c r="D108" s="333"/>
      <c r="E108" s="330">
        <f>HLOOKUP(E$79,$C106:$I107,2,0)</f>
        <v>1692350</v>
      </c>
      <c r="F108" s="333"/>
      <c r="G108" s="330" t="e">
        <f>HLOOKUP(G$79,$C106:$I107,2,0)</f>
        <v>#N/A</v>
      </c>
      <c r="H108" s="333"/>
      <c r="I108" s="330" t="e">
        <f>HLOOKUP(I$79,$C106:$I107,2,0)</f>
        <v>#N/A</v>
      </c>
      <c r="J108" s="63"/>
      <c r="K108" s="63"/>
      <c r="L108" s="449"/>
      <c r="O108"/>
      <c r="P108"/>
      <c r="Q108"/>
      <c r="R108"/>
      <c r="S108"/>
      <c r="T108"/>
      <c r="U108"/>
      <c r="V108"/>
      <c r="W108"/>
      <c r="X108"/>
      <c r="Y108"/>
      <c r="Z108"/>
      <c r="AA108"/>
      <c r="AB108"/>
      <c r="AC108"/>
      <c r="AD108"/>
    </row>
    <row r="109" spans="2:30" ht="15.75" hidden="1" customHeight="1" x14ac:dyDescent="0.35">
      <c r="B109" s="444" t="s">
        <v>63</v>
      </c>
      <c r="C109" s="331">
        <f>SUMIF(C107:C108,"&gt;0")</f>
        <v>1975234.4</v>
      </c>
      <c r="D109" s="333"/>
      <c r="E109" s="331">
        <f>SUMIF(E107:E108,"&gt;0")</f>
        <v>1975234.4</v>
      </c>
      <c r="F109" s="333"/>
      <c r="G109" s="331">
        <f>SUMIF(G107:G108,"&gt;0")</f>
        <v>0</v>
      </c>
      <c r="H109" s="333"/>
      <c r="I109" s="331">
        <f>SUMIF(I107:I108,"&gt;0")</f>
        <v>0</v>
      </c>
      <c r="J109" s="63"/>
      <c r="K109" s="63"/>
      <c r="L109" s="449"/>
      <c r="O109"/>
      <c r="P109"/>
      <c r="Q109"/>
      <c r="R109"/>
      <c r="S109"/>
      <c r="T109"/>
      <c r="U109"/>
      <c r="V109"/>
      <c r="W109"/>
      <c r="X109"/>
      <c r="Y109"/>
      <c r="Z109"/>
      <c r="AA109"/>
      <c r="AB109"/>
      <c r="AC109"/>
      <c r="AD109"/>
    </row>
    <row r="110" spans="2:30" ht="15.75" hidden="1" customHeight="1" x14ac:dyDescent="0.35">
      <c r="B110" s="444" t="s">
        <v>70</v>
      </c>
      <c r="C110" s="919">
        <f>HLOOKUP(C109, 'HEM Table'!$C$7:$W$30, MATCH(C$91, 'HEM Table'!$B$7:$B$30, 0),TRUE)*52</f>
        <v>83720.851140499508</v>
      </c>
      <c r="D110" s="333"/>
      <c r="E110" s="131" t="e">
        <f>HLOOKUP(E109, 'HEM Table'!$C$7:$W$30, MATCH(E91, 'HEM Table'!$B$7:$B$30, 0),TRUE)*52</f>
        <v>#N/A</v>
      </c>
      <c r="F110" s="333"/>
      <c r="G110" s="131" t="e">
        <f>HLOOKUP(G109, 'HEM Table'!$C$7:$W$30, MATCH(G91, 'HEM Table'!$B$7:$B$30, 0),TRUE)*52</f>
        <v>#N/A</v>
      </c>
      <c r="H110" s="333"/>
      <c r="I110" s="131" t="e">
        <f>HLOOKUP(I109, 'HEM Table'!$C$7:$W$30, MATCH(I91, 'HEM Table'!$B$7:$B$30, 0),TRUE)*52</f>
        <v>#N/A</v>
      </c>
      <c r="J110" s="63"/>
      <c r="K110" s="131">
        <f>IF(Inc_Tier="Y",MAX(SUMIF(C110:I110,"&gt;0"),$K$237),MAX($K$237,($P$11*LE_Couple+$P$13*LE_Single+IF(No_couples=0,$P$15*LE_Single_Child,$P$15*LE_Couple_Child))*52))</f>
        <v>122880</v>
      </c>
      <c r="L110" s="449"/>
      <c r="O110"/>
      <c r="P110"/>
      <c r="Q110"/>
      <c r="R110"/>
      <c r="S110"/>
      <c r="T110"/>
      <c r="U110"/>
      <c r="V110"/>
      <c r="W110"/>
      <c r="X110"/>
      <c r="Y110"/>
      <c r="Z110"/>
      <c r="AA110"/>
      <c r="AB110"/>
      <c r="AC110"/>
      <c r="AD110"/>
    </row>
    <row r="111" spans="2:30" ht="15.75" hidden="1" customHeight="1" x14ac:dyDescent="0.35">
      <c r="B111" s="448" t="s">
        <v>78</v>
      </c>
      <c r="C111" s="129">
        <v>1</v>
      </c>
      <c r="D111" s="130"/>
      <c r="E111" s="129">
        <v>2</v>
      </c>
      <c r="F111" s="129"/>
      <c r="G111" s="129">
        <v>3</v>
      </c>
      <c r="H111" s="129"/>
      <c r="I111" s="129">
        <v>4</v>
      </c>
      <c r="J111" s="63"/>
      <c r="K111" s="63"/>
      <c r="L111" s="449"/>
      <c r="O111"/>
      <c r="P111"/>
      <c r="Q111"/>
      <c r="R111"/>
      <c r="S111"/>
      <c r="T111"/>
      <c r="U111"/>
      <c r="V111"/>
      <c r="W111"/>
      <c r="X111"/>
      <c r="Y111"/>
      <c r="Z111"/>
      <c r="AA111"/>
      <c r="AB111"/>
      <c r="AC111"/>
      <c r="AD111"/>
    </row>
    <row r="112" spans="2:30" ht="15.75" hidden="1" customHeight="1" x14ac:dyDescent="0.35">
      <c r="B112" s="444" t="s">
        <v>60</v>
      </c>
      <c r="C112" s="331">
        <f>T287-C278</f>
        <v>1692350</v>
      </c>
      <c r="D112" s="333"/>
      <c r="E112" s="332">
        <f>T292-E278</f>
        <v>282884.40000000002</v>
      </c>
      <c r="F112" s="333"/>
      <c r="G112" s="331">
        <f>T297-G278</f>
        <v>0</v>
      </c>
      <c r="H112" s="333"/>
      <c r="I112" s="331">
        <f>T302-I278</f>
        <v>0</v>
      </c>
      <c r="J112" s="63"/>
      <c r="K112" s="63"/>
      <c r="L112" s="449"/>
      <c r="O112"/>
      <c r="P112"/>
      <c r="Q112"/>
      <c r="R112"/>
      <c r="S112"/>
      <c r="T112"/>
      <c r="U112"/>
      <c r="V112"/>
      <c r="W112"/>
      <c r="X112"/>
      <c r="Y112"/>
      <c r="Z112"/>
      <c r="AA112"/>
      <c r="AB112"/>
      <c r="AC112"/>
      <c r="AD112"/>
    </row>
    <row r="113" spans="2:30" ht="15.75" hidden="1" customHeight="1" x14ac:dyDescent="0.35">
      <c r="B113" s="444" t="s">
        <v>75</v>
      </c>
      <c r="C113" s="330">
        <f>HLOOKUP(C$79,$C111:$I112,2,0)</f>
        <v>282884.40000000002</v>
      </c>
      <c r="D113" s="333"/>
      <c r="E113" s="330">
        <f>HLOOKUP(E$79,$C111:$I112,2,0)</f>
        <v>1692350</v>
      </c>
      <c r="F113" s="333"/>
      <c r="G113" s="330" t="e">
        <f>HLOOKUP(G$79,$C111:$I112,2,0)</f>
        <v>#N/A</v>
      </c>
      <c r="H113" s="333"/>
      <c r="I113" s="330" t="e">
        <f>HLOOKUP(I$79,$C111:$I112,2,0)</f>
        <v>#N/A</v>
      </c>
      <c r="J113" s="63"/>
      <c r="K113" s="63"/>
      <c r="L113" s="449"/>
      <c r="O113"/>
      <c r="P113"/>
      <c r="Q113"/>
      <c r="R113"/>
      <c r="S113"/>
      <c r="T113"/>
      <c r="U113"/>
      <c r="V113"/>
      <c r="W113"/>
      <c r="X113"/>
      <c r="Y113"/>
      <c r="Z113"/>
      <c r="AA113"/>
      <c r="AB113"/>
      <c r="AC113"/>
      <c r="AD113"/>
    </row>
    <row r="114" spans="2:30" ht="15.75" hidden="1" customHeight="1" x14ac:dyDescent="0.35">
      <c r="B114" s="444" t="s">
        <v>63</v>
      </c>
      <c r="C114" s="331">
        <f>SUMIF(C112:C113,"&gt;0")</f>
        <v>1975234.4</v>
      </c>
      <c r="D114" s="333"/>
      <c r="E114" s="331">
        <f>SUMIF(E112:E113,"&gt;0")</f>
        <v>1975234.4</v>
      </c>
      <c r="F114" s="333"/>
      <c r="G114" s="331">
        <f>SUMIF(G112:G113,"&gt;0")</f>
        <v>0</v>
      </c>
      <c r="H114" s="333"/>
      <c r="I114" s="331">
        <f>SUMIF(I112:I113,"&gt;0")</f>
        <v>0</v>
      </c>
      <c r="J114" s="63"/>
      <c r="K114" s="63"/>
      <c r="L114" s="449"/>
      <c r="O114"/>
      <c r="P114"/>
      <c r="Q114"/>
      <c r="R114"/>
      <c r="S114"/>
      <c r="T114"/>
      <c r="U114"/>
      <c r="V114"/>
      <c r="W114"/>
      <c r="X114"/>
      <c r="Y114"/>
      <c r="Z114"/>
      <c r="AA114"/>
      <c r="AB114"/>
      <c r="AC114"/>
      <c r="AD114"/>
    </row>
    <row r="115" spans="2:30" ht="15.75" hidden="1" customHeight="1" x14ac:dyDescent="0.35">
      <c r="B115" s="444" t="s">
        <v>70</v>
      </c>
      <c r="C115" s="919">
        <f>HLOOKUP(C114, 'HEM Table'!$C$7:$W$30, MATCH(C$91, 'HEM Table'!$B$7:$B$30, 0),TRUE)*52</f>
        <v>83720.851140499508</v>
      </c>
      <c r="D115" s="333"/>
      <c r="E115" s="131" t="e">
        <f>HLOOKUP(E114, 'HEM Table'!$C$7:$W$30, MATCH(E91, 'HEM Table'!$B$7:$B$30, 0),TRUE)*52</f>
        <v>#N/A</v>
      </c>
      <c r="F115" s="333"/>
      <c r="G115" s="131" t="e">
        <f>HLOOKUP(G114, 'HEM Table'!$C$7:$W$30, MATCH(G91, 'HEM Table'!$B$7:$B$30, 0),TRUE)*52</f>
        <v>#N/A</v>
      </c>
      <c r="H115" s="333"/>
      <c r="I115" s="131" t="e">
        <f>HLOOKUP(I114, 'HEM Table'!$C$7:$W$30, MATCH(I91, 'HEM Table'!$B$7:$B$30, 0),TRUE)*52</f>
        <v>#N/A</v>
      </c>
      <c r="J115" s="63"/>
      <c r="K115" s="131">
        <f>IF(Inc_Tier="Y",MAX(SUMIF(C115:I115,"&gt;0"),$K$237),MAX($K$237,($P$11*LE_Couple+$P$13*LE_Single+IF(No_couples=0,$P$15*LE_Single_Child,$P$15*LE_Couple_Child))*52))</f>
        <v>122880</v>
      </c>
      <c r="L115" s="449"/>
      <c r="O115"/>
      <c r="P115"/>
      <c r="Q115"/>
      <c r="R115"/>
      <c r="S115"/>
      <c r="T115"/>
      <c r="U115"/>
      <c r="V115"/>
      <c r="W115"/>
      <c r="X115"/>
      <c r="Y115"/>
      <c r="Z115"/>
      <c r="AA115"/>
      <c r="AB115"/>
      <c r="AC115"/>
      <c r="AD115"/>
    </row>
    <row r="116" spans="2:30" ht="15.75" hidden="1" customHeight="1" x14ac:dyDescent="0.35">
      <c r="B116" s="448" t="s">
        <v>79</v>
      </c>
      <c r="C116" s="129">
        <v>1</v>
      </c>
      <c r="D116" s="130"/>
      <c r="E116" s="129">
        <v>2</v>
      </c>
      <c r="F116" s="129"/>
      <c r="G116" s="129">
        <v>3</v>
      </c>
      <c r="H116" s="129"/>
      <c r="I116" s="129">
        <v>4</v>
      </c>
      <c r="J116" s="63"/>
      <c r="K116" s="63"/>
      <c r="L116" s="449"/>
      <c r="O116"/>
      <c r="P116"/>
      <c r="Q116"/>
      <c r="R116"/>
      <c r="S116"/>
      <c r="T116"/>
      <c r="U116"/>
      <c r="V116"/>
      <c r="W116"/>
      <c r="X116"/>
      <c r="Y116"/>
      <c r="Z116"/>
      <c r="AA116"/>
      <c r="AB116"/>
      <c r="AC116"/>
      <c r="AD116"/>
    </row>
    <row r="117" spans="2:30" ht="15.75" hidden="1" customHeight="1" x14ac:dyDescent="0.35">
      <c r="B117" s="444" t="s">
        <v>60</v>
      </c>
      <c r="C117" s="331">
        <f>U287-C278</f>
        <v>1692350</v>
      </c>
      <c r="D117" s="333"/>
      <c r="E117" s="332">
        <f>U292-E278</f>
        <v>282884.40000000002</v>
      </c>
      <c r="F117" s="333"/>
      <c r="G117" s="331">
        <f>U297-G278</f>
        <v>0</v>
      </c>
      <c r="H117" s="333"/>
      <c r="I117" s="331">
        <f>U302-I278</f>
        <v>0</v>
      </c>
      <c r="J117" s="63"/>
      <c r="K117" s="63"/>
      <c r="L117" s="449"/>
      <c r="O117"/>
      <c r="P117"/>
      <c r="Q117"/>
      <c r="R117"/>
      <c r="S117"/>
      <c r="T117"/>
      <c r="U117"/>
      <c r="V117"/>
      <c r="W117"/>
      <c r="X117"/>
      <c r="Y117"/>
      <c r="Z117"/>
      <c r="AA117"/>
      <c r="AB117"/>
      <c r="AC117"/>
      <c r="AD117"/>
    </row>
    <row r="118" spans="2:30" ht="15.75" hidden="1" customHeight="1" x14ac:dyDescent="0.35">
      <c r="B118" s="444" t="s">
        <v>75</v>
      </c>
      <c r="C118" s="330">
        <f>HLOOKUP(C$79,$C116:$I117,2,0)</f>
        <v>282884.40000000002</v>
      </c>
      <c r="D118" s="333"/>
      <c r="E118" s="330">
        <f>HLOOKUP(E$79,$C116:$I117,2,0)</f>
        <v>1692350</v>
      </c>
      <c r="F118" s="333"/>
      <c r="G118" s="330" t="e">
        <f>HLOOKUP(G$79,$C116:$I117,2,0)</f>
        <v>#N/A</v>
      </c>
      <c r="H118" s="333"/>
      <c r="I118" s="330" t="e">
        <f>HLOOKUP(I$79,$C116:$I117,2,0)</f>
        <v>#N/A</v>
      </c>
      <c r="J118" s="63"/>
      <c r="K118" s="63"/>
      <c r="L118" s="449"/>
      <c r="O118"/>
      <c r="P118"/>
      <c r="Q118"/>
      <c r="R118"/>
      <c r="S118"/>
      <c r="T118"/>
      <c r="U118"/>
      <c r="V118"/>
      <c r="W118"/>
      <c r="X118"/>
      <c r="Y118"/>
      <c r="Z118"/>
      <c r="AA118"/>
      <c r="AB118"/>
      <c r="AC118"/>
      <c r="AD118"/>
    </row>
    <row r="119" spans="2:30" ht="15.75" hidden="1" customHeight="1" x14ac:dyDescent="0.35">
      <c r="B119" s="444" t="s">
        <v>63</v>
      </c>
      <c r="C119" s="331">
        <f>SUMIF(C117:C118,"&gt;0")</f>
        <v>1975234.4</v>
      </c>
      <c r="D119" s="333"/>
      <c r="E119" s="331">
        <f>SUMIF(E117:E118,"&gt;0")</f>
        <v>1975234.4</v>
      </c>
      <c r="F119" s="333"/>
      <c r="G119" s="331">
        <f>SUMIF(G117:G118,"&gt;0")</f>
        <v>0</v>
      </c>
      <c r="H119" s="333"/>
      <c r="I119" s="331">
        <f>SUMIF(I117:I118,"&gt;0")</f>
        <v>0</v>
      </c>
      <c r="J119" s="63"/>
      <c r="K119" s="63"/>
      <c r="L119" s="449"/>
      <c r="O119"/>
      <c r="P119"/>
      <c r="Q119"/>
      <c r="R119"/>
      <c r="S119"/>
      <c r="T119"/>
      <c r="U119"/>
      <c r="V119"/>
      <c r="W119"/>
      <c r="X119"/>
      <c r="Y119"/>
      <c r="Z119"/>
      <c r="AA119"/>
      <c r="AB119"/>
      <c r="AC119"/>
      <c r="AD119"/>
    </row>
    <row r="120" spans="2:30" ht="15.75" hidden="1" customHeight="1" x14ac:dyDescent="0.35">
      <c r="B120" s="444" t="s">
        <v>70</v>
      </c>
      <c r="C120" s="919">
        <f>HLOOKUP(C119, 'HEM Table'!$C$7:$W$30, MATCH(C$91, 'HEM Table'!$B$7:$B$30, 0),TRUE)*52</f>
        <v>83720.851140499508</v>
      </c>
      <c r="D120" s="333"/>
      <c r="E120" s="131" t="e">
        <f>HLOOKUP(E119, 'HEM Table'!$C$7:$W$30, MATCH(E91, 'HEM Table'!$B$7:$B$30, 0),TRUE)*52</f>
        <v>#N/A</v>
      </c>
      <c r="F120" s="333"/>
      <c r="G120" s="131" t="e">
        <f>HLOOKUP(G119, 'HEM Table'!$C$7:$W$30, MATCH(G91, 'HEM Table'!$B$7:$B$30, 0),TRUE)*52</f>
        <v>#N/A</v>
      </c>
      <c r="H120" s="333"/>
      <c r="I120" s="131" t="e">
        <f>HLOOKUP(I119, 'HEM Table'!$C$7:$W$30, MATCH(I91, 'HEM Table'!$B$7:$B$30, 0),TRUE)*52</f>
        <v>#N/A</v>
      </c>
      <c r="J120" s="63"/>
      <c r="K120" s="131">
        <f>IF(Inc_Tier="Y",MAX(SUMIF(C120:I120,"&gt;0"),$K$237),MAX($K$237,($P$11*LE_Couple+$P$13*LE_Single+IF(No_couples=0,$P$15*LE_Single_Child,$P$15*LE_Couple_Child))*52))</f>
        <v>122880</v>
      </c>
      <c r="L120" s="449"/>
      <c r="O120"/>
      <c r="P120"/>
      <c r="Q120"/>
      <c r="R120"/>
      <c r="S120"/>
      <c r="T120"/>
      <c r="U120"/>
      <c r="V120"/>
      <c r="W120"/>
      <c r="X120"/>
      <c r="Y120"/>
      <c r="Z120"/>
      <c r="AA120"/>
      <c r="AB120"/>
      <c r="AC120"/>
      <c r="AD120"/>
    </row>
    <row r="121" spans="2:30" ht="15.75" hidden="1" customHeight="1" x14ac:dyDescent="0.35">
      <c r="B121" s="448" t="s">
        <v>80</v>
      </c>
      <c r="C121" s="129">
        <v>1</v>
      </c>
      <c r="D121" s="130"/>
      <c r="E121" s="129">
        <v>2</v>
      </c>
      <c r="F121" s="129"/>
      <c r="G121" s="129">
        <v>3</v>
      </c>
      <c r="H121" s="129"/>
      <c r="I121" s="129">
        <v>4</v>
      </c>
      <c r="J121" s="63"/>
      <c r="K121" s="63"/>
      <c r="L121" s="449"/>
      <c r="O121"/>
      <c r="P121"/>
      <c r="Q121"/>
      <c r="R121"/>
      <c r="S121"/>
      <c r="T121"/>
      <c r="U121"/>
      <c r="V121"/>
      <c r="W121"/>
      <c r="X121"/>
      <c r="Y121"/>
      <c r="Z121"/>
      <c r="AA121"/>
      <c r="AB121"/>
      <c r="AC121"/>
      <c r="AD121"/>
    </row>
    <row r="122" spans="2:30" ht="15.75" hidden="1" customHeight="1" x14ac:dyDescent="0.35">
      <c r="B122" s="444" t="s">
        <v>60</v>
      </c>
      <c r="C122" s="331">
        <f>V287-C278</f>
        <v>1692350</v>
      </c>
      <c r="D122" s="333"/>
      <c r="E122" s="332">
        <f>V292-E278</f>
        <v>282884.40000000002</v>
      </c>
      <c r="F122" s="333"/>
      <c r="G122" s="331">
        <f>V297-G278</f>
        <v>0</v>
      </c>
      <c r="H122" s="333"/>
      <c r="I122" s="331">
        <f>V302-I278</f>
        <v>0</v>
      </c>
      <c r="J122" s="63"/>
      <c r="K122" s="63"/>
      <c r="L122" s="449"/>
      <c r="O122"/>
      <c r="P122"/>
      <c r="Q122"/>
      <c r="R122"/>
      <c r="S122"/>
      <c r="T122"/>
      <c r="U122"/>
      <c r="V122"/>
      <c r="W122"/>
      <c r="X122"/>
      <c r="Y122"/>
      <c r="Z122"/>
      <c r="AA122"/>
      <c r="AB122"/>
      <c r="AC122"/>
      <c r="AD122"/>
    </row>
    <row r="123" spans="2:30" ht="15.75" hidden="1" customHeight="1" x14ac:dyDescent="0.35">
      <c r="B123" s="444" t="s">
        <v>75</v>
      </c>
      <c r="C123" s="330">
        <f>HLOOKUP(C$79,$C121:$I122,2,0)</f>
        <v>282884.40000000002</v>
      </c>
      <c r="D123" s="333"/>
      <c r="E123" s="330">
        <f>HLOOKUP(E$79,$C121:$I122,2,0)</f>
        <v>1692350</v>
      </c>
      <c r="F123" s="333"/>
      <c r="G123" s="330" t="e">
        <f>HLOOKUP(G$79,$C121:$I122,2,0)</f>
        <v>#N/A</v>
      </c>
      <c r="H123" s="333"/>
      <c r="I123" s="330" t="e">
        <f>HLOOKUP(I$79,$C121:$I122,2,0)</f>
        <v>#N/A</v>
      </c>
      <c r="J123" s="63"/>
      <c r="K123" s="63"/>
      <c r="L123" s="449"/>
      <c r="O123"/>
      <c r="P123"/>
      <c r="Q123"/>
      <c r="R123"/>
      <c r="S123"/>
      <c r="T123"/>
      <c r="U123"/>
      <c r="V123"/>
      <c r="W123"/>
      <c r="X123"/>
      <c r="Y123"/>
      <c r="Z123"/>
      <c r="AA123"/>
      <c r="AB123"/>
      <c r="AC123"/>
      <c r="AD123"/>
    </row>
    <row r="124" spans="2:30" ht="15.75" hidden="1" customHeight="1" x14ac:dyDescent="0.35">
      <c r="B124" s="444" t="s">
        <v>63</v>
      </c>
      <c r="C124" s="331">
        <f>SUMIF(C122:C123,"&gt;0")</f>
        <v>1975234.4</v>
      </c>
      <c r="D124" s="333"/>
      <c r="E124" s="331">
        <f>SUMIF(E122:E123,"&gt;0")</f>
        <v>1975234.4</v>
      </c>
      <c r="F124" s="333"/>
      <c r="G124" s="331">
        <f>SUMIF(G122:G123,"&gt;0")</f>
        <v>0</v>
      </c>
      <c r="H124" s="333"/>
      <c r="I124" s="331">
        <f>SUMIF(I122:I123,"&gt;0")</f>
        <v>0</v>
      </c>
      <c r="J124" s="63"/>
      <c r="K124" s="63"/>
      <c r="L124" s="449"/>
      <c r="O124"/>
      <c r="P124"/>
      <c r="Q124"/>
      <c r="R124"/>
      <c r="S124"/>
      <c r="T124"/>
      <c r="U124"/>
      <c r="V124"/>
      <c r="W124"/>
      <c r="X124"/>
      <c r="Y124"/>
      <c r="Z124"/>
      <c r="AA124"/>
      <c r="AB124"/>
      <c r="AC124"/>
      <c r="AD124"/>
    </row>
    <row r="125" spans="2:30" ht="15.75" hidden="1" customHeight="1" x14ac:dyDescent="0.35">
      <c r="B125" s="444" t="s">
        <v>70</v>
      </c>
      <c r="C125" s="919">
        <f>HLOOKUP(C124, 'HEM Table'!$C$7:$W$30, MATCH(C$91, 'HEM Table'!$B$7:$B$30, 0),TRUE)*52</f>
        <v>83720.851140499508</v>
      </c>
      <c r="D125" s="333"/>
      <c r="E125" s="131" t="e">
        <f>HLOOKUP(E124, 'HEM Table'!$C$7:$W$30, MATCH(E91, 'HEM Table'!$B$7:$B$30, 0),TRUE)*52</f>
        <v>#N/A</v>
      </c>
      <c r="F125" s="333"/>
      <c r="G125" s="131" t="e">
        <f>HLOOKUP(G124, 'HEM Table'!$C$7:$W$30, MATCH(G91, 'HEM Table'!$B$7:$B$30, 0),TRUE)*52</f>
        <v>#N/A</v>
      </c>
      <c r="H125" s="333"/>
      <c r="I125" s="131" t="e">
        <f>HLOOKUP(I124, 'HEM Table'!$C$7:$W$30, MATCH(I91, 'HEM Table'!$B$7:$B$30, 0),TRUE)*52</f>
        <v>#N/A</v>
      </c>
      <c r="J125" s="63"/>
      <c r="K125" s="131">
        <f>IF(Inc_Tier="Y",MAX(SUMIF(C125:I125,"&gt;0"),$K$237),MAX($K$237,($P$11*LE_Couple+$P$13*LE_Single+IF(No_couples=0,$P$15*LE_Single_Child,$P$15*LE_Couple_Child))*52))</f>
        <v>122880</v>
      </c>
      <c r="L125" s="449"/>
      <c r="O125"/>
      <c r="P125"/>
      <c r="Q125"/>
      <c r="R125"/>
      <c r="S125"/>
      <c r="T125"/>
      <c r="U125"/>
      <c r="V125"/>
      <c r="W125"/>
      <c r="X125"/>
      <c r="Y125"/>
      <c r="Z125"/>
      <c r="AA125"/>
      <c r="AB125"/>
      <c r="AC125"/>
      <c r="AD125"/>
    </row>
    <row r="126" spans="2:30" ht="15.75" hidden="1" customHeight="1" x14ac:dyDescent="0.35">
      <c r="B126" s="448" t="s">
        <v>81</v>
      </c>
      <c r="C126" s="129">
        <v>1</v>
      </c>
      <c r="D126" s="130"/>
      <c r="E126" s="129">
        <v>2</v>
      </c>
      <c r="F126" s="129"/>
      <c r="G126" s="129">
        <v>3</v>
      </c>
      <c r="H126" s="129"/>
      <c r="I126" s="129">
        <v>4</v>
      </c>
      <c r="J126" s="63"/>
      <c r="K126" s="63"/>
      <c r="L126" s="449"/>
      <c r="O126"/>
      <c r="P126"/>
      <c r="Q126"/>
      <c r="R126"/>
      <c r="S126"/>
      <c r="T126"/>
      <c r="U126"/>
      <c r="V126"/>
      <c r="W126"/>
      <c r="X126"/>
      <c r="Y126"/>
      <c r="Z126"/>
      <c r="AA126"/>
      <c r="AB126"/>
      <c r="AC126"/>
      <c r="AD126"/>
    </row>
    <row r="127" spans="2:30" ht="15.75" hidden="1" customHeight="1" x14ac:dyDescent="0.35">
      <c r="B127" s="444" t="s">
        <v>60</v>
      </c>
      <c r="C127" s="331">
        <f>W287-C278</f>
        <v>1692350</v>
      </c>
      <c r="D127" s="333"/>
      <c r="E127" s="332">
        <f>W292-E278</f>
        <v>282884.40000000002</v>
      </c>
      <c r="F127" s="333"/>
      <c r="G127" s="331">
        <f>W297-G278</f>
        <v>0</v>
      </c>
      <c r="H127" s="333"/>
      <c r="I127" s="331">
        <f>W302-I278</f>
        <v>0</v>
      </c>
      <c r="J127" s="63"/>
      <c r="K127" s="63"/>
      <c r="L127" s="449"/>
      <c r="O127"/>
      <c r="P127"/>
      <c r="Q127"/>
      <c r="R127"/>
      <c r="S127"/>
      <c r="T127"/>
      <c r="U127"/>
      <c r="V127"/>
      <c r="W127"/>
      <c r="X127"/>
      <c r="Y127"/>
      <c r="Z127"/>
      <c r="AA127"/>
      <c r="AB127"/>
      <c r="AC127"/>
      <c r="AD127"/>
    </row>
    <row r="128" spans="2:30" ht="15.75" hidden="1" customHeight="1" x14ac:dyDescent="0.35">
      <c r="B128" s="444" t="s">
        <v>75</v>
      </c>
      <c r="C128" s="330">
        <f>HLOOKUP(C$79,$C126:$I127,2,0)</f>
        <v>282884.40000000002</v>
      </c>
      <c r="D128" s="333"/>
      <c r="E128" s="330">
        <f>HLOOKUP(E$79,$C126:$I127,2,0)</f>
        <v>1692350</v>
      </c>
      <c r="F128" s="333"/>
      <c r="G128" s="330" t="e">
        <f>HLOOKUP(G$79,$C126:$I127,2,0)</f>
        <v>#N/A</v>
      </c>
      <c r="H128" s="333"/>
      <c r="I128" s="330" t="e">
        <f>HLOOKUP(I$79,$C126:$I127,2,0)</f>
        <v>#N/A</v>
      </c>
      <c r="J128" s="63"/>
      <c r="K128" s="63"/>
      <c r="L128" s="449"/>
      <c r="O128"/>
      <c r="P128"/>
      <c r="Q128"/>
      <c r="R128"/>
      <c r="S128"/>
      <c r="T128"/>
      <c r="U128"/>
      <c r="V128"/>
      <c r="W128"/>
      <c r="X128"/>
      <c r="Y128"/>
      <c r="Z128"/>
      <c r="AA128"/>
      <c r="AB128"/>
      <c r="AC128"/>
      <c r="AD128"/>
    </row>
    <row r="129" spans="2:30" ht="15.75" hidden="1" customHeight="1" x14ac:dyDescent="0.35">
      <c r="B129" s="444" t="s">
        <v>63</v>
      </c>
      <c r="C129" s="331">
        <f>SUMIF(C127:C128,"&gt;0")</f>
        <v>1975234.4</v>
      </c>
      <c r="D129" s="971"/>
      <c r="E129" s="331">
        <f>SUMIF(E127:E128,"&gt;0")</f>
        <v>1975234.4</v>
      </c>
      <c r="F129" s="333"/>
      <c r="G129" s="331">
        <f>SUMIF(G127:G128,"&gt;0")</f>
        <v>0</v>
      </c>
      <c r="H129" s="333"/>
      <c r="I129" s="331">
        <f>SUMIF(I127:I128,"&gt;0")</f>
        <v>0</v>
      </c>
      <c r="J129" s="63"/>
      <c r="K129" s="63"/>
      <c r="L129" s="449"/>
      <c r="O129"/>
      <c r="P129"/>
      <c r="Q129"/>
      <c r="R129"/>
      <c r="S129"/>
      <c r="T129"/>
      <c r="U129"/>
      <c r="V129"/>
      <c r="W129"/>
      <c r="X129"/>
      <c r="Y129"/>
      <c r="Z129"/>
      <c r="AA129"/>
      <c r="AB129"/>
      <c r="AC129"/>
      <c r="AD129"/>
    </row>
    <row r="130" spans="2:30" ht="15.75" hidden="1" customHeight="1" x14ac:dyDescent="0.35">
      <c r="B130" s="444" t="s">
        <v>70</v>
      </c>
      <c r="C130" s="919">
        <f>HLOOKUP(C129, 'HEM Table'!$C$7:$W$30, MATCH(C$91, 'HEM Table'!$B$7:$B$30, 0),TRUE)*52</f>
        <v>83720.851140499508</v>
      </c>
      <c r="D130" s="333"/>
      <c r="E130" s="131" t="e">
        <f>HLOOKUP(E129, 'HEM Table'!$C$7:$W$30, MATCH(E91, 'HEM Table'!$B$7:$B$30, 0),TRUE)*52</f>
        <v>#N/A</v>
      </c>
      <c r="F130" s="333"/>
      <c r="G130" s="131" t="e">
        <f>HLOOKUP(G129, 'HEM Table'!$C$7:$W$30, MATCH(G91, 'HEM Table'!$B$7:$B$30, 0),TRUE)*52</f>
        <v>#N/A</v>
      </c>
      <c r="H130" s="333"/>
      <c r="I130" s="131" t="e">
        <f>HLOOKUP(I129, 'HEM Table'!$C$7:$W$30, MATCH(I91, 'HEM Table'!$B$7:$B$30, 0),TRUE)*52</f>
        <v>#N/A</v>
      </c>
      <c r="J130" s="63"/>
      <c r="K130" s="131">
        <f>IF(Inc_Tier="Y",MAX(SUMIF(C130:I130,"&gt;0"),$K$237),MAX($K$237,($P$11*LE_Couple+$P$13*LE_Single+IF(No_couples=0,$P$15*LE_Single_Child,$P$15*LE_Couple_Child))*52))</f>
        <v>122880</v>
      </c>
      <c r="L130" s="449"/>
      <c r="O130"/>
      <c r="P130"/>
      <c r="Q130"/>
      <c r="R130"/>
      <c r="S130"/>
      <c r="T130"/>
      <c r="U130"/>
      <c r="V130"/>
      <c r="W130"/>
      <c r="X130"/>
      <c r="Y130"/>
      <c r="Z130"/>
      <c r="AA130"/>
      <c r="AB130"/>
      <c r="AC130"/>
      <c r="AD130"/>
    </row>
    <row r="131" spans="2:30" ht="15.75" hidden="1" customHeight="1" x14ac:dyDescent="0.35">
      <c r="B131" s="448" t="s">
        <v>72</v>
      </c>
      <c r="C131" s="363" t="s">
        <v>73</v>
      </c>
      <c r="D131" s="63"/>
      <c r="E131" s="364">
        <f>Y321</f>
        <v>1</v>
      </c>
      <c r="F131" s="63"/>
      <c r="G131" s="63"/>
      <c r="H131" s="63"/>
      <c r="I131" s="63"/>
      <c r="J131" s="63"/>
      <c r="K131" s="63"/>
      <c r="L131" s="449"/>
      <c r="O131"/>
      <c r="P131"/>
      <c r="Q131"/>
      <c r="R131"/>
      <c r="S131"/>
      <c r="T131"/>
      <c r="U131"/>
      <c r="V131"/>
      <c r="W131"/>
      <c r="X131"/>
      <c r="Y131"/>
      <c r="Z131"/>
      <c r="AA131"/>
      <c r="AB131"/>
      <c r="AC131"/>
      <c r="AD131"/>
    </row>
    <row r="132" spans="2:30" ht="15.75" hidden="1" customHeight="1" x14ac:dyDescent="0.35">
      <c r="B132" s="448" t="s">
        <v>74</v>
      </c>
      <c r="C132" s="129">
        <v>1</v>
      </c>
      <c r="D132" s="130"/>
      <c r="E132" s="129">
        <v>2</v>
      </c>
      <c r="F132" s="129"/>
      <c r="G132" s="129">
        <v>3</v>
      </c>
      <c r="H132" s="129"/>
      <c r="I132" s="129">
        <v>4</v>
      </c>
      <c r="J132" s="63"/>
      <c r="K132" s="63"/>
      <c r="L132" s="449"/>
      <c r="O132"/>
      <c r="P132"/>
      <c r="Q132"/>
      <c r="R132"/>
      <c r="S132"/>
      <c r="T132"/>
      <c r="U132"/>
      <c r="V132"/>
      <c r="W132"/>
      <c r="X132"/>
      <c r="Y132"/>
      <c r="Z132"/>
      <c r="AA132"/>
      <c r="AB132"/>
      <c r="AC132"/>
      <c r="AD132"/>
    </row>
    <row r="133" spans="2:30" ht="15.75" hidden="1" customHeight="1" x14ac:dyDescent="0.35">
      <c r="B133" s="444" t="s">
        <v>60</v>
      </c>
      <c r="C133" s="132">
        <f>AA287-C278</f>
        <v>1692350</v>
      </c>
      <c r="D133" s="63"/>
      <c r="E133" s="132">
        <f>AA292-E278</f>
        <v>282884.40000000002</v>
      </c>
      <c r="F133" s="63"/>
      <c r="G133" s="132">
        <f>AA297-G278</f>
        <v>0</v>
      </c>
      <c r="H133" s="63"/>
      <c r="I133" s="132">
        <f>AA302-I278</f>
        <v>0</v>
      </c>
      <c r="J133" s="63"/>
      <c r="K133" s="63"/>
      <c r="L133" s="449"/>
      <c r="O133"/>
      <c r="P133"/>
      <c r="Q133"/>
      <c r="R133"/>
      <c r="S133"/>
      <c r="T133"/>
      <c r="U133"/>
      <c r="V133"/>
      <c r="W133"/>
      <c r="X133"/>
      <c r="Y133"/>
      <c r="Z133"/>
      <c r="AA133"/>
      <c r="AB133"/>
      <c r="AC133"/>
      <c r="AD133"/>
    </row>
    <row r="134" spans="2:30" ht="15.75" hidden="1" customHeight="1" x14ac:dyDescent="0.35">
      <c r="B134" s="444" t="s">
        <v>75</v>
      </c>
      <c r="C134" s="131">
        <f>HLOOKUP(C$79,$C132:$I133,2,0)</f>
        <v>282884.40000000002</v>
      </c>
      <c r="D134" s="63"/>
      <c r="E134" s="131">
        <f>HLOOKUP(E$79,$C132:$I133,2,0)</f>
        <v>1692350</v>
      </c>
      <c r="F134" s="63"/>
      <c r="G134" s="131" t="e">
        <f>HLOOKUP(G$79,$C132:$I133,2,0)</f>
        <v>#N/A</v>
      </c>
      <c r="H134" s="63"/>
      <c r="I134" s="131" t="e">
        <f>HLOOKUP(I$79,$C132:$I133,2,0)</f>
        <v>#N/A</v>
      </c>
      <c r="J134" s="63"/>
      <c r="K134" s="63"/>
      <c r="L134" s="449"/>
      <c r="O134"/>
      <c r="P134"/>
      <c r="Q134"/>
      <c r="R134"/>
      <c r="S134"/>
      <c r="T134"/>
      <c r="U134"/>
      <c r="V134"/>
      <c r="W134"/>
      <c r="X134"/>
      <c r="Y134"/>
      <c r="Z134"/>
      <c r="AA134"/>
      <c r="AB134"/>
      <c r="AC134"/>
      <c r="AD134"/>
    </row>
    <row r="135" spans="2:30" ht="15.75" hidden="1" customHeight="1" x14ac:dyDescent="0.35">
      <c r="B135" s="444" t="s">
        <v>63</v>
      </c>
      <c r="C135" s="132">
        <f>SUMIF(C133:C134,"&gt;0")</f>
        <v>1975234.4</v>
      </c>
      <c r="D135" s="63"/>
      <c r="E135" s="132">
        <f>SUMIF(E133:E134,"&gt;0")</f>
        <v>1975234.4</v>
      </c>
      <c r="F135" s="63"/>
      <c r="G135" s="132">
        <f>SUMIF(G133:G134,"&gt;0")</f>
        <v>0</v>
      </c>
      <c r="H135" s="63"/>
      <c r="I135" s="132">
        <f>SUMIF(I133:I134,"&gt;0")</f>
        <v>0</v>
      </c>
      <c r="J135" s="63"/>
      <c r="K135" s="63"/>
      <c r="L135" s="449"/>
      <c r="O135"/>
      <c r="P135"/>
      <c r="Q135"/>
      <c r="R135"/>
      <c r="S135"/>
      <c r="T135"/>
      <c r="U135"/>
      <c r="V135"/>
      <c r="W135"/>
      <c r="X135"/>
      <c r="Y135"/>
      <c r="Z135"/>
      <c r="AA135"/>
      <c r="AB135"/>
      <c r="AC135"/>
      <c r="AD135"/>
    </row>
    <row r="136" spans="2:30" ht="15.75" hidden="1" customHeight="1" x14ac:dyDescent="0.35">
      <c r="B136" s="444" t="s">
        <v>70</v>
      </c>
      <c r="C136" s="872">
        <f>HLOOKUP(C135, 'HEM Table'!$C$7:$W$30, MATCH(C$91, 'HEM Table'!$B$7:$B$30, 0),TRUE)*52</f>
        <v>83720.851140499508</v>
      </c>
      <c r="D136" s="63"/>
      <c r="E136" s="131" t="e">
        <f>HLOOKUP(E135, 'HEM Table'!$C$7:$W$30, MATCH(E91, 'HEM Table'!$B$7:$B$30, 0),TRUE)*52</f>
        <v>#N/A</v>
      </c>
      <c r="F136" s="63"/>
      <c r="G136" s="131" t="e">
        <f>HLOOKUP(G135, 'HEM Table'!$C$7:$W$30, MATCH(G91, 'HEM Table'!$B$7:$B$30, 0),TRUE)*52</f>
        <v>#N/A</v>
      </c>
      <c r="H136" s="63"/>
      <c r="I136" s="131" t="e">
        <f>HLOOKUP(I135, 'HEM Table'!$C$7:$W$30, MATCH(I91, 'HEM Table'!$B$7:$B$30, 0),TRUE)*52</f>
        <v>#N/A</v>
      </c>
      <c r="J136" s="63"/>
      <c r="K136" s="131">
        <f>IF(Inc_Tier="Y",MAX(SUMIF(C136:I136,"&gt;0"),$K$237),MAX($K$237,($P$11*LE_Couple+$P$13*LE_Single+IF(No_couples=0,$P$15*LE_Single_Child,$P$15*LE_Couple_Child))*52))</f>
        <v>122880</v>
      </c>
      <c r="L136" s="449"/>
      <c r="O136"/>
      <c r="P136"/>
      <c r="Q136"/>
      <c r="R136"/>
      <c r="S136"/>
      <c r="T136"/>
      <c r="U136"/>
      <c r="V136"/>
      <c r="W136"/>
      <c r="X136"/>
      <c r="Y136"/>
      <c r="Z136"/>
      <c r="AA136"/>
      <c r="AB136"/>
      <c r="AC136"/>
      <c r="AD136"/>
    </row>
    <row r="137" spans="2:30" ht="15.75" hidden="1" customHeight="1" x14ac:dyDescent="0.35">
      <c r="B137" s="448" t="s">
        <v>76</v>
      </c>
      <c r="C137" s="129">
        <v>1</v>
      </c>
      <c r="D137" s="130"/>
      <c r="E137" s="129">
        <v>2</v>
      </c>
      <c r="F137" s="129"/>
      <c r="G137" s="129">
        <v>3</v>
      </c>
      <c r="H137" s="129"/>
      <c r="I137" s="129">
        <v>4</v>
      </c>
      <c r="J137" s="63"/>
      <c r="K137" s="63"/>
      <c r="L137" s="449"/>
      <c r="O137"/>
      <c r="P137"/>
      <c r="Q137"/>
      <c r="R137"/>
      <c r="S137"/>
      <c r="T137"/>
      <c r="U137"/>
      <c r="V137"/>
      <c r="W137"/>
      <c r="X137"/>
      <c r="Y137"/>
      <c r="Z137"/>
      <c r="AA137"/>
      <c r="AB137"/>
      <c r="AC137"/>
      <c r="AD137"/>
    </row>
    <row r="138" spans="2:30" ht="15.75" hidden="1" customHeight="1" x14ac:dyDescent="0.35">
      <c r="B138" s="444" t="s">
        <v>60</v>
      </c>
      <c r="C138" s="132">
        <f>AB287-C278</f>
        <v>1692350</v>
      </c>
      <c r="D138" s="63"/>
      <c r="E138" s="132">
        <f>AB292-E278</f>
        <v>282884.40000000002</v>
      </c>
      <c r="F138" s="63"/>
      <c r="G138" s="132">
        <f>AB297-G278</f>
        <v>0</v>
      </c>
      <c r="H138" s="63"/>
      <c r="I138" s="132">
        <f>AB302-I278</f>
        <v>0</v>
      </c>
      <c r="J138" s="63"/>
      <c r="K138" s="63"/>
      <c r="L138" s="449"/>
      <c r="O138"/>
      <c r="P138"/>
      <c r="Q138"/>
      <c r="R138"/>
      <c r="S138"/>
      <c r="T138"/>
      <c r="U138"/>
      <c r="V138"/>
      <c r="W138"/>
      <c r="X138"/>
      <c r="Y138"/>
      <c r="Z138"/>
      <c r="AA138"/>
      <c r="AB138"/>
      <c r="AC138"/>
      <c r="AD138"/>
    </row>
    <row r="139" spans="2:30" ht="15.75" hidden="1" customHeight="1" x14ac:dyDescent="0.35">
      <c r="B139" s="444" t="s">
        <v>75</v>
      </c>
      <c r="C139" s="131">
        <f>HLOOKUP(C$79,$C137:$I138,2,0)</f>
        <v>282884.40000000002</v>
      </c>
      <c r="D139" s="63"/>
      <c r="E139" s="131">
        <f>HLOOKUP(E$79,$C137:$I138,2,0)</f>
        <v>1692350</v>
      </c>
      <c r="F139" s="63"/>
      <c r="G139" s="131" t="e">
        <f>HLOOKUP(G$79,$C137:$I138,2,0)</f>
        <v>#N/A</v>
      </c>
      <c r="H139" s="63"/>
      <c r="I139" s="131" t="e">
        <f>HLOOKUP(I$79,$C137:$I138,2,0)</f>
        <v>#N/A</v>
      </c>
      <c r="J139" s="63"/>
      <c r="K139" s="63"/>
      <c r="L139" s="449"/>
      <c r="O139"/>
      <c r="P139"/>
      <c r="Q139"/>
      <c r="R139"/>
      <c r="S139"/>
      <c r="T139"/>
      <c r="U139"/>
      <c r="V139"/>
      <c r="W139"/>
      <c r="X139"/>
      <c r="Y139"/>
      <c r="Z139"/>
      <c r="AA139"/>
      <c r="AB139"/>
      <c r="AC139"/>
      <c r="AD139"/>
    </row>
    <row r="140" spans="2:30" ht="15.75" hidden="1" customHeight="1" x14ac:dyDescent="0.35">
      <c r="B140" s="444" t="s">
        <v>63</v>
      </c>
      <c r="C140" s="132">
        <f>SUMIF(C138:C139,"&gt;0")</f>
        <v>1975234.4</v>
      </c>
      <c r="D140" s="63"/>
      <c r="E140" s="132">
        <f>SUMIF(E138:E139,"&gt;0")</f>
        <v>1975234.4</v>
      </c>
      <c r="F140" s="63"/>
      <c r="G140" s="132">
        <f>SUMIF(G138:G139,"&gt;0")</f>
        <v>0</v>
      </c>
      <c r="H140" s="63"/>
      <c r="I140" s="132">
        <f>SUMIF(I138:I139,"&gt;0")</f>
        <v>0</v>
      </c>
      <c r="J140" s="63"/>
      <c r="K140" s="63"/>
      <c r="L140" s="449"/>
      <c r="O140"/>
      <c r="P140"/>
      <c r="Q140"/>
      <c r="R140"/>
      <c r="S140"/>
      <c r="T140"/>
      <c r="U140"/>
      <c r="V140"/>
      <c r="W140"/>
      <c r="X140"/>
      <c r="Y140"/>
      <c r="Z140"/>
      <c r="AA140"/>
      <c r="AB140"/>
      <c r="AC140"/>
      <c r="AD140"/>
    </row>
    <row r="141" spans="2:30" ht="15.75" hidden="1" customHeight="1" x14ac:dyDescent="0.35">
      <c r="B141" s="444" t="s">
        <v>70</v>
      </c>
      <c r="C141" s="872">
        <f>HLOOKUP(C140, 'HEM Table'!$C$7:$W$30, MATCH(C$91, 'HEM Table'!$B$7:$B$30, 0),TRUE)*52</f>
        <v>83720.851140499508</v>
      </c>
      <c r="D141" s="63"/>
      <c r="E141" s="131" t="e">
        <f>HLOOKUP(E140, 'HEM Table'!$C$7:$W$30, MATCH(E91, 'HEM Table'!$B$7:$B$30, 0),TRUE)*52</f>
        <v>#N/A</v>
      </c>
      <c r="F141" s="63"/>
      <c r="G141" s="131" t="e">
        <f>HLOOKUP(G140, 'HEM Table'!$C$7:$W$30, MATCH(G91, 'HEM Table'!$B$7:$B$30, 0),TRUE)*52</f>
        <v>#N/A</v>
      </c>
      <c r="H141" s="63"/>
      <c r="I141" s="131" t="e">
        <f>HLOOKUP(I140, 'HEM Table'!$C$7:$W$30, MATCH(I91, 'HEM Table'!$B$7:$B$30, 0),TRUE)*52</f>
        <v>#N/A</v>
      </c>
      <c r="J141" s="63"/>
      <c r="K141" s="131">
        <f>IF(Inc_Tier="Y",MAX(SUMIF(C141:I141,"&gt;0"),$K$237),MAX($K$237,($P$11*LE_Couple+$P$13*LE_Single+IF(No_couples=0,$P$15*LE_Single_Child,$P$15*LE_Couple_Child))*52))</f>
        <v>122880</v>
      </c>
      <c r="L141" s="449"/>
      <c r="O141"/>
      <c r="P141"/>
      <c r="Q141"/>
      <c r="R141"/>
      <c r="S141"/>
      <c r="T141"/>
      <c r="U141"/>
      <c r="V141"/>
      <c r="W141"/>
      <c r="X141"/>
      <c r="Y141"/>
      <c r="Z141"/>
      <c r="AA141"/>
      <c r="AB141"/>
      <c r="AC141"/>
      <c r="AD141"/>
    </row>
    <row r="142" spans="2:30" ht="15.75" hidden="1" customHeight="1" x14ac:dyDescent="0.35">
      <c r="B142" s="448" t="s">
        <v>77</v>
      </c>
      <c r="C142" s="129">
        <v>1</v>
      </c>
      <c r="D142" s="130"/>
      <c r="E142" s="129">
        <v>2</v>
      </c>
      <c r="F142" s="129"/>
      <c r="G142" s="129">
        <v>3</v>
      </c>
      <c r="H142" s="129"/>
      <c r="I142" s="129">
        <v>4</v>
      </c>
      <c r="J142" s="63"/>
      <c r="K142" s="63"/>
      <c r="L142" s="449"/>
      <c r="O142"/>
      <c r="P142"/>
      <c r="Q142"/>
      <c r="R142"/>
      <c r="S142"/>
      <c r="T142"/>
      <c r="U142"/>
      <c r="V142"/>
      <c r="W142"/>
      <c r="X142"/>
      <c r="Y142"/>
      <c r="Z142"/>
      <c r="AA142"/>
      <c r="AB142"/>
      <c r="AC142"/>
      <c r="AD142"/>
    </row>
    <row r="143" spans="2:30" ht="15.75" hidden="1" customHeight="1" x14ac:dyDescent="0.35">
      <c r="B143" s="444" t="s">
        <v>60</v>
      </c>
      <c r="C143" s="132">
        <f>AC287-C278</f>
        <v>1692350</v>
      </c>
      <c r="D143" s="63"/>
      <c r="E143" s="132">
        <f>AC292-E278</f>
        <v>282884.40000000002</v>
      </c>
      <c r="F143" s="63"/>
      <c r="G143" s="132">
        <f>AC297-G278</f>
        <v>0</v>
      </c>
      <c r="H143" s="63"/>
      <c r="I143" s="132">
        <f>AC302-I278</f>
        <v>0</v>
      </c>
      <c r="J143" s="63"/>
      <c r="K143" s="63"/>
      <c r="L143" s="449"/>
      <c r="O143"/>
      <c r="P143"/>
      <c r="Q143"/>
      <c r="R143"/>
      <c r="S143"/>
      <c r="T143"/>
      <c r="U143"/>
      <c r="V143"/>
      <c r="W143"/>
      <c r="X143"/>
      <c r="Y143"/>
      <c r="Z143"/>
      <c r="AA143"/>
      <c r="AB143"/>
      <c r="AC143"/>
      <c r="AD143"/>
    </row>
    <row r="144" spans="2:30" ht="15.75" hidden="1" customHeight="1" x14ac:dyDescent="0.35">
      <c r="B144" s="444" t="s">
        <v>75</v>
      </c>
      <c r="C144" s="131">
        <f>HLOOKUP(C$79,$C142:$I143,2,0)</f>
        <v>282884.40000000002</v>
      </c>
      <c r="D144" s="63"/>
      <c r="E144" s="131">
        <f>HLOOKUP(E$79,$C142:$I143,2,0)</f>
        <v>1692350</v>
      </c>
      <c r="F144" s="63"/>
      <c r="G144" s="131" t="e">
        <f>HLOOKUP(G$79,$C142:$I143,2,0)</f>
        <v>#N/A</v>
      </c>
      <c r="H144" s="63"/>
      <c r="I144" s="131" t="e">
        <f>HLOOKUP(I$79,$C142:$I143,2,0)</f>
        <v>#N/A</v>
      </c>
      <c r="J144" s="63"/>
      <c r="K144" s="63"/>
      <c r="L144" s="449"/>
      <c r="O144"/>
      <c r="P144"/>
      <c r="Q144"/>
      <c r="R144"/>
      <c r="S144"/>
      <c r="T144"/>
      <c r="U144"/>
      <c r="V144"/>
      <c r="W144"/>
      <c r="X144"/>
      <c r="Y144"/>
      <c r="Z144"/>
      <c r="AA144"/>
      <c r="AB144"/>
      <c r="AC144"/>
      <c r="AD144"/>
    </row>
    <row r="145" spans="2:30" ht="15.75" hidden="1" customHeight="1" x14ac:dyDescent="0.35">
      <c r="B145" s="444" t="s">
        <v>63</v>
      </c>
      <c r="C145" s="132">
        <f>SUMIF(C143:C144,"&gt;0")</f>
        <v>1975234.4</v>
      </c>
      <c r="D145" s="63"/>
      <c r="E145" s="132">
        <f>SUMIF(E143:E144,"&gt;0")</f>
        <v>1975234.4</v>
      </c>
      <c r="F145" s="63"/>
      <c r="G145" s="132">
        <f>SUMIF(G143:G144,"&gt;0")</f>
        <v>0</v>
      </c>
      <c r="H145" s="63"/>
      <c r="I145" s="132">
        <f>SUMIF(I143:I144,"&gt;0")</f>
        <v>0</v>
      </c>
      <c r="J145" s="63"/>
      <c r="K145" s="63"/>
      <c r="L145" s="449"/>
      <c r="O145"/>
      <c r="P145"/>
      <c r="Q145"/>
      <c r="R145"/>
      <c r="S145"/>
      <c r="T145"/>
      <c r="U145"/>
      <c r="V145"/>
      <c r="W145"/>
      <c r="X145"/>
      <c r="Y145"/>
      <c r="Z145"/>
      <c r="AA145"/>
      <c r="AB145"/>
      <c r="AC145"/>
      <c r="AD145"/>
    </row>
    <row r="146" spans="2:30" ht="15.75" hidden="1" customHeight="1" x14ac:dyDescent="0.35">
      <c r="B146" s="444" t="s">
        <v>70</v>
      </c>
      <c r="C146" s="872">
        <f>HLOOKUP(C145, 'HEM Table'!$C$7:$W$30, MATCH(C$91, 'HEM Table'!$B$7:$B$30, 0),TRUE)*52</f>
        <v>83720.851140499508</v>
      </c>
      <c r="D146" s="63"/>
      <c r="E146" s="131" t="e">
        <f>HLOOKUP(E145, 'HEM Table'!$C$7:$W$30, MATCH(E91, 'HEM Table'!$B$7:$B$30, 0),TRUE)*52</f>
        <v>#N/A</v>
      </c>
      <c r="F146" s="63"/>
      <c r="G146" s="131" t="e">
        <f>HLOOKUP(G145, 'HEM Table'!$C$7:$W$30, MATCH(G91, 'HEM Table'!$B$7:$B$30, 0),TRUE)*52</f>
        <v>#N/A</v>
      </c>
      <c r="H146" s="63"/>
      <c r="I146" s="131" t="e">
        <f>HLOOKUP(I145, 'HEM Table'!$C$7:$W$30, MATCH(I91, 'HEM Table'!$B$7:$B$30, 0),TRUE)*52</f>
        <v>#N/A</v>
      </c>
      <c r="J146" s="63"/>
      <c r="K146" s="131">
        <f>IF(Inc_Tier="Y",MAX(SUMIF(C146:I146,"&gt;0"),$K$237),MAX($K$237,($P$11*LE_Couple+$P$13*LE_Single+IF(No_couples=0,$P$15*LE_Single_Child,$P$15*LE_Couple_Child))*52))</f>
        <v>122880</v>
      </c>
      <c r="L146" s="449"/>
      <c r="O146"/>
      <c r="P146"/>
      <c r="Q146"/>
      <c r="R146"/>
      <c r="S146"/>
      <c r="T146"/>
      <c r="U146"/>
      <c r="V146"/>
      <c r="W146"/>
      <c r="X146"/>
      <c r="Y146"/>
      <c r="Z146"/>
      <c r="AA146"/>
      <c r="AB146"/>
      <c r="AC146"/>
      <c r="AD146"/>
    </row>
    <row r="147" spans="2:30" ht="15.75" hidden="1" customHeight="1" x14ac:dyDescent="0.35">
      <c r="B147" s="448" t="s">
        <v>78</v>
      </c>
      <c r="C147" s="129">
        <v>1</v>
      </c>
      <c r="D147" s="130"/>
      <c r="E147" s="129">
        <v>2</v>
      </c>
      <c r="F147" s="129"/>
      <c r="G147" s="129">
        <v>3</v>
      </c>
      <c r="H147" s="129"/>
      <c r="I147" s="129">
        <v>4</v>
      </c>
      <c r="J147" s="63"/>
      <c r="K147" s="63"/>
      <c r="L147" s="449"/>
      <c r="O147"/>
      <c r="P147"/>
      <c r="Q147"/>
      <c r="R147"/>
      <c r="S147"/>
      <c r="T147"/>
      <c r="U147"/>
      <c r="V147"/>
      <c r="W147"/>
      <c r="X147"/>
      <c r="Y147"/>
      <c r="Z147"/>
      <c r="AA147"/>
      <c r="AB147"/>
      <c r="AC147"/>
      <c r="AD147"/>
    </row>
    <row r="148" spans="2:30" ht="15.75" hidden="1" customHeight="1" x14ac:dyDescent="0.35">
      <c r="B148" s="444" t="s">
        <v>60</v>
      </c>
      <c r="C148" s="132">
        <f>AD287-C278</f>
        <v>1692350</v>
      </c>
      <c r="D148" s="63"/>
      <c r="E148" s="132">
        <f>AD292-E278</f>
        <v>282884.40000000002</v>
      </c>
      <c r="F148" s="63"/>
      <c r="G148" s="132">
        <f>AD297-G278</f>
        <v>0</v>
      </c>
      <c r="H148" s="63"/>
      <c r="I148" s="132">
        <f>AD302-I278</f>
        <v>0</v>
      </c>
      <c r="J148" s="63"/>
      <c r="K148" s="63"/>
      <c r="L148" s="449"/>
      <c r="O148"/>
      <c r="P148"/>
      <c r="Q148"/>
      <c r="R148"/>
      <c r="S148"/>
      <c r="T148"/>
      <c r="U148"/>
      <c r="V148"/>
      <c r="W148"/>
      <c r="X148"/>
      <c r="Y148"/>
      <c r="Z148"/>
      <c r="AA148"/>
      <c r="AB148"/>
      <c r="AC148"/>
      <c r="AD148"/>
    </row>
    <row r="149" spans="2:30" ht="15.75" hidden="1" customHeight="1" x14ac:dyDescent="0.35">
      <c r="B149" s="444" t="s">
        <v>75</v>
      </c>
      <c r="C149" s="131">
        <f>HLOOKUP(C$79,$C147:$I148,2,0)</f>
        <v>282884.40000000002</v>
      </c>
      <c r="D149" s="63"/>
      <c r="E149" s="131">
        <f>HLOOKUP(E$79,$C147:$I148,2,0)</f>
        <v>1692350</v>
      </c>
      <c r="F149" s="63"/>
      <c r="G149" s="131" t="e">
        <f>HLOOKUP(G$79,$C147:$I148,2,0)</f>
        <v>#N/A</v>
      </c>
      <c r="H149" s="63"/>
      <c r="I149" s="131" t="e">
        <f>HLOOKUP(I$79,$C147:$I148,2,0)</f>
        <v>#N/A</v>
      </c>
      <c r="J149" s="63"/>
      <c r="K149" s="63"/>
      <c r="L149" s="449"/>
      <c r="O149"/>
      <c r="P149"/>
      <c r="Q149"/>
      <c r="R149"/>
      <c r="S149"/>
      <c r="T149"/>
      <c r="U149"/>
      <c r="V149"/>
      <c r="W149"/>
      <c r="X149"/>
      <c r="Y149"/>
      <c r="Z149"/>
      <c r="AA149"/>
      <c r="AB149"/>
      <c r="AC149"/>
      <c r="AD149"/>
    </row>
    <row r="150" spans="2:30" ht="15.75" hidden="1" customHeight="1" x14ac:dyDescent="0.35">
      <c r="B150" s="444" t="s">
        <v>63</v>
      </c>
      <c r="C150" s="132">
        <f>SUMIF(C148:C149,"&gt;0")</f>
        <v>1975234.4</v>
      </c>
      <c r="D150" s="63"/>
      <c r="E150" s="132">
        <f>SUMIF(E148:E149,"&gt;0")</f>
        <v>1975234.4</v>
      </c>
      <c r="F150" s="63"/>
      <c r="G150" s="132">
        <f>SUMIF(G148:G149,"&gt;0")</f>
        <v>0</v>
      </c>
      <c r="H150" s="63"/>
      <c r="I150" s="132">
        <f>SUMIF(I148:I149,"&gt;0")</f>
        <v>0</v>
      </c>
      <c r="J150" s="63"/>
      <c r="K150" s="63"/>
      <c r="L150" s="449"/>
      <c r="O150"/>
      <c r="P150"/>
      <c r="Q150"/>
      <c r="R150"/>
      <c r="S150"/>
      <c r="T150"/>
      <c r="U150"/>
      <c r="V150"/>
      <c r="W150"/>
      <c r="X150"/>
      <c r="Y150"/>
      <c r="Z150"/>
      <c r="AA150"/>
      <c r="AB150"/>
      <c r="AC150"/>
      <c r="AD150"/>
    </row>
    <row r="151" spans="2:30" ht="15.75" hidden="1" customHeight="1" x14ac:dyDescent="0.35">
      <c r="B151" s="444" t="s">
        <v>70</v>
      </c>
      <c r="C151" s="872">
        <f>HLOOKUP(C150, 'HEM Table'!$C$7:$W$30, MATCH(C$91, 'HEM Table'!$B$7:$B$30, 0),TRUE)*52</f>
        <v>83720.851140499508</v>
      </c>
      <c r="D151" s="63"/>
      <c r="E151" s="131" t="e">
        <f>HLOOKUP(E150, 'HEM Table'!$C$7:$W$30, MATCH(E91, 'HEM Table'!$B$7:$B$30, 0),TRUE)*52</f>
        <v>#N/A</v>
      </c>
      <c r="F151" s="63"/>
      <c r="G151" s="131" t="e">
        <f>HLOOKUP(G150, 'HEM Table'!$C$7:$W$30, MATCH(G91, 'HEM Table'!$B$7:$B$30, 0),TRUE)*52</f>
        <v>#N/A</v>
      </c>
      <c r="H151" s="63"/>
      <c r="I151" s="131" t="e">
        <f>HLOOKUP(I150, 'HEM Table'!$C$7:$W$30, MATCH(I91, 'HEM Table'!$B$7:$B$30, 0),TRUE)*52</f>
        <v>#N/A</v>
      </c>
      <c r="J151" s="63"/>
      <c r="K151" s="131">
        <f>IF(Inc_Tier="Y",MAX(SUMIF(C151:I151,"&gt;0"),$K$237),MAX($K$237,($P$11*LE_Couple+$P$13*LE_Single+IF(No_couples=0,$P$15*LE_Single_Child,$P$15*LE_Couple_Child))*52))</f>
        <v>122880</v>
      </c>
      <c r="L151" s="449"/>
      <c r="O151"/>
      <c r="P151"/>
      <c r="Q151"/>
      <c r="R151"/>
      <c r="S151"/>
      <c r="T151"/>
      <c r="U151"/>
      <c r="V151"/>
      <c r="W151"/>
      <c r="X151"/>
      <c r="Y151"/>
      <c r="Z151"/>
      <c r="AA151"/>
      <c r="AB151"/>
      <c r="AC151"/>
      <c r="AD151"/>
    </row>
    <row r="152" spans="2:30" ht="15.75" hidden="1" customHeight="1" x14ac:dyDescent="0.35">
      <c r="B152" s="448" t="s">
        <v>79</v>
      </c>
      <c r="C152" s="129">
        <v>1</v>
      </c>
      <c r="D152" s="130"/>
      <c r="E152" s="129">
        <v>2</v>
      </c>
      <c r="F152" s="129"/>
      <c r="G152" s="129">
        <v>3</v>
      </c>
      <c r="H152" s="129"/>
      <c r="I152" s="129">
        <v>4</v>
      </c>
      <c r="J152" s="63"/>
      <c r="K152" s="969"/>
      <c r="L152" s="449"/>
      <c r="O152"/>
      <c r="P152"/>
      <c r="Q152"/>
      <c r="R152"/>
      <c r="S152"/>
      <c r="T152"/>
      <c r="U152"/>
      <c r="V152"/>
      <c r="W152"/>
      <c r="X152"/>
      <c r="Y152"/>
      <c r="Z152"/>
      <c r="AA152"/>
      <c r="AB152"/>
      <c r="AC152"/>
      <c r="AD152"/>
    </row>
    <row r="153" spans="2:30" ht="15.75" hidden="1" customHeight="1" x14ac:dyDescent="0.35">
      <c r="B153" s="444" t="s">
        <v>60</v>
      </c>
      <c r="C153" s="132">
        <f>AE287-C278</f>
        <v>1692350</v>
      </c>
      <c r="D153" s="63"/>
      <c r="E153" s="132">
        <f>AE292-E278</f>
        <v>282884.40000000002</v>
      </c>
      <c r="F153" s="63"/>
      <c r="G153" s="132">
        <f>AE297-G278</f>
        <v>0</v>
      </c>
      <c r="H153" s="63"/>
      <c r="I153" s="132">
        <f>AE302-I278</f>
        <v>0</v>
      </c>
      <c r="J153" s="63"/>
      <c r="K153" s="63"/>
      <c r="L153" s="449"/>
      <c r="O153"/>
      <c r="P153"/>
      <c r="Q153"/>
      <c r="R153"/>
      <c r="S153"/>
      <c r="T153"/>
      <c r="U153"/>
      <c r="V153"/>
      <c r="W153"/>
      <c r="X153"/>
      <c r="Y153"/>
      <c r="Z153"/>
      <c r="AA153"/>
      <c r="AB153"/>
      <c r="AC153"/>
      <c r="AD153"/>
    </row>
    <row r="154" spans="2:30" ht="15.75" hidden="1" customHeight="1" x14ac:dyDescent="0.35">
      <c r="B154" s="444" t="s">
        <v>75</v>
      </c>
      <c r="C154" s="131">
        <f>HLOOKUP(C$79,$C152:$I153,2,0)</f>
        <v>282884.40000000002</v>
      </c>
      <c r="D154" s="63"/>
      <c r="E154" s="131">
        <f>HLOOKUP(E$79,$C152:$I153,2,0)</f>
        <v>1692350</v>
      </c>
      <c r="F154" s="63"/>
      <c r="G154" s="131" t="e">
        <f>HLOOKUP(G$79,$C152:$I153,2,0)</f>
        <v>#N/A</v>
      </c>
      <c r="H154" s="63"/>
      <c r="I154" s="131" t="e">
        <f>HLOOKUP(I$79,$C152:$I153,2,0)</f>
        <v>#N/A</v>
      </c>
      <c r="J154" s="63"/>
      <c r="K154" s="63"/>
      <c r="L154" s="449"/>
      <c r="O154"/>
      <c r="P154"/>
      <c r="Q154"/>
      <c r="R154"/>
      <c r="S154"/>
      <c r="T154"/>
      <c r="U154"/>
      <c r="V154"/>
      <c r="W154"/>
      <c r="X154"/>
      <c r="Y154"/>
      <c r="Z154"/>
      <c r="AA154"/>
      <c r="AB154"/>
      <c r="AC154"/>
      <c r="AD154"/>
    </row>
    <row r="155" spans="2:30" ht="15.75" hidden="1" customHeight="1" x14ac:dyDescent="0.35">
      <c r="B155" s="444" t="s">
        <v>63</v>
      </c>
      <c r="C155" s="132">
        <f>SUMIF(C153:C154,"&gt;0")</f>
        <v>1975234.4</v>
      </c>
      <c r="D155" s="63"/>
      <c r="E155" s="132">
        <f>SUMIF(E153:E154,"&gt;0")</f>
        <v>1975234.4</v>
      </c>
      <c r="F155" s="63"/>
      <c r="G155" s="132">
        <f>SUMIF(G153:G154,"&gt;0")</f>
        <v>0</v>
      </c>
      <c r="H155" s="63"/>
      <c r="I155" s="132">
        <f>SUMIF(I153:I154,"&gt;0")</f>
        <v>0</v>
      </c>
      <c r="J155" s="63"/>
      <c r="K155" s="63"/>
      <c r="L155" s="449"/>
      <c r="O155"/>
      <c r="P155"/>
      <c r="Q155"/>
      <c r="R155"/>
      <c r="S155"/>
      <c r="T155"/>
      <c r="U155"/>
      <c r="V155"/>
      <c r="W155"/>
      <c r="X155"/>
      <c r="Y155"/>
      <c r="Z155"/>
      <c r="AA155"/>
      <c r="AB155"/>
      <c r="AC155"/>
      <c r="AD155"/>
    </row>
    <row r="156" spans="2:30" ht="15.75" hidden="1" customHeight="1" x14ac:dyDescent="0.35">
      <c r="B156" s="444" t="s">
        <v>70</v>
      </c>
      <c r="C156" s="872">
        <f>HLOOKUP(C155, 'HEM Table'!$C$7:$W$30, MATCH(C$91, 'HEM Table'!$B$7:$B$30, 0),TRUE)*52</f>
        <v>83720.851140499508</v>
      </c>
      <c r="D156" s="63"/>
      <c r="E156" s="131" t="e">
        <f>HLOOKUP(E155, 'HEM Table'!$C$7:$W$30, MATCH(E91, 'HEM Table'!$B$7:$B$30, 0),TRUE)*52</f>
        <v>#N/A</v>
      </c>
      <c r="F156" s="63"/>
      <c r="G156" s="131" t="e">
        <f>HLOOKUP(G155, 'HEM Table'!$C$7:$W$30, MATCH(G91, 'HEM Table'!$B$7:$B$30, 0),TRUE)*52</f>
        <v>#N/A</v>
      </c>
      <c r="H156" s="63"/>
      <c r="I156" s="131" t="e">
        <f>HLOOKUP(I155, 'HEM Table'!$C$7:$W$30, MATCH(I91, 'HEM Table'!$B$7:$B$30, 0),TRUE)*52</f>
        <v>#N/A</v>
      </c>
      <c r="J156" s="63"/>
      <c r="K156" s="131">
        <f>IF(Inc_Tier="Y",MAX(SUMIF(C156:I156,"&gt;0"),$K$237),MAX($K$237,($P$11*LE_Couple+$P$13*LE_Single+IF(No_couples=0,$P$15*LE_Single_Child,$P$15*LE_Couple_Child))*52))</f>
        <v>122880</v>
      </c>
      <c r="L156" s="449"/>
      <c r="O156"/>
      <c r="P156"/>
      <c r="Q156"/>
      <c r="R156"/>
      <c r="S156"/>
      <c r="T156"/>
      <c r="U156"/>
      <c r="V156"/>
      <c r="W156"/>
      <c r="X156"/>
      <c r="Y156"/>
      <c r="Z156"/>
      <c r="AA156"/>
      <c r="AB156"/>
      <c r="AC156"/>
      <c r="AD156"/>
    </row>
    <row r="157" spans="2:30" ht="15.75" hidden="1" customHeight="1" x14ac:dyDescent="0.35">
      <c r="B157" s="448" t="s">
        <v>80</v>
      </c>
      <c r="C157" s="129">
        <v>1</v>
      </c>
      <c r="D157" s="130"/>
      <c r="E157" s="129">
        <v>2</v>
      </c>
      <c r="F157" s="129"/>
      <c r="G157" s="129">
        <v>3</v>
      </c>
      <c r="H157" s="129"/>
      <c r="I157" s="129">
        <v>4</v>
      </c>
      <c r="J157" s="63"/>
      <c r="K157" s="63"/>
      <c r="L157" s="449"/>
      <c r="O157"/>
      <c r="P157"/>
      <c r="Q157"/>
      <c r="R157"/>
      <c r="S157"/>
      <c r="T157"/>
      <c r="U157"/>
      <c r="V157"/>
      <c r="W157"/>
      <c r="X157"/>
      <c r="Y157"/>
      <c r="Z157"/>
      <c r="AA157"/>
      <c r="AB157"/>
      <c r="AC157"/>
      <c r="AD157"/>
    </row>
    <row r="158" spans="2:30" ht="15.75" hidden="1" customHeight="1" x14ac:dyDescent="0.35">
      <c r="B158" s="444" t="s">
        <v>60</v>
      </c>
      <c r="C158" s="132">
        <f>AF287-C278</f>
        <v>1692350</v>
      </c>
      <c r="D158" s="63"/>
      <c r="E158" s="132">
        <f>AF292-E278</f>
        <v>282884.40000000002</v>
      </c>
      <c r="F158" s="63"/>
      <c r="G158" s="132">
        <f>AF297-G278</f>
        <v>0</v>
      </c>
      <c r="H158" s="63"/>
      <c r="I158" s="132">
        <f>AF302-I278</f>
        <v>0</v>
      </c>
      <c r="J158" s="63"/>
      <c r="K158" s="63"/>
      <c r="L158" s="449"/>
      <c r="O158"/>
      <c r="P158"/>
      <c r="Q158"/>
      <c r="R158"/>
      <c r="S158"/>
      <c r="T158"/>
      <c r="U158"/>
      <c r="V158"/>
      <c r="W158"/>
      <c r="X158"/>
      <c r="Y158"/>
      <c r="Z158"/>
      <c r="AA158"/>
      <c r="AB158"/>
      <c r="AC158"/>
      <c r="AD158"/>
    </row>
    <row r="159" spans="2:30" ht="15.75" hidden="1" customHeight="1" x14ac:dyDescent="0.35">
      <c r="B159" s="444" t="s">
        <v>75</v>
      </c>
      <c r="C159" s="131">
        <f>HLOOKUP(C$79,$C157:$I158,2,0)</f>
        <v>282884.40000000002</v>
      </c>
      <c r="D159" s="63"/>
      <c r="E159" s="131">
        <f>HLOOKUP(E$79,$C157:$I158,2,0)</f>
        <v>1692350</v>
      </c>
      <c r="F159" s="63"/>
      <c r="G159" s="131" t="e">
        <f>HLOOKUP(G$79,$C157:$I158,2,0)</f>
        <v>#N/A</v>
      </c>
      <c r="H159" s="63"/>
      <c r="I159" s="131" t="e">
        <f>HLOOKUP(I$79,$C157:$I158,2,0)</f>
        <v>#N/A</v>
      </c>
      <c r="J159" s="63"/>
      <c r="K159" s="63"/>
      <c r="L159" s="449"/>
      <c r="O159"/>
      <c r="P159"/>
      <c r="Q159"/>
      <c r="R159"/>
      <c r="S159"/>
      <c r="T159"/>
      <c r="U159"/>
      <c r="V159"/>
      <c r="W159"/>
      <c r="X159"/>
      <c r="Y159"/>
      <c r="Z159"/>
      <c r="AA159"/>
      <c r="AB159"/>
      <c r="AC159"/>
      <c r="AD159"/>
    </row>
    <row r="160" spans="2:30" ht="15.75" hidden="1" customHeight="1" x14ac:dyDescent="0.35">
      <c r="B160" s="444" t="s">
        <v>63</v>
      </c>
      <c r="C160" s="132">
        <f>SUMIF(C158:C159,"&gt;0")</f>
        <v>1975234.4</v>
      </c>
      <c r="D160" s="63"/>
      <c r="E160" s="132">
        <f>SUMIF(E158:E159,"&gt;0")</f>
        <v>1975234.4</v>
      </c>
      <c r="F160" s="63"/>
      <c r="G160" s="132">
        <f>SUMIF(G158:G159,"&gt;0")</f>
        <v>0</v>
      </c>
      <c r="H160" s="63"/>
      <c r="I160" s="132">
        <f>SUMIF(I158:I159,"&gt;0")</f>
        <v>0</v>
      </c>
      <c r="J160" s="63"/>
      <c r="K160" s="63"/>
      <c r="L160" s="449"/>
      <c r="O160"/>
      <c r="P160"/>
      <c r="Q160"/>
      <c r="R160"/>
      <c r="S160"/>
      <c r="T160"/>
      <c r="U160"/>
      <c r="V160"/>
      <c r="W160"/>
      <c r="X160"/>
      <c r="Y160"/>
      <c r="Z160"/>
      <c r="AA160"/>
      <c r="AB160"/>
      <c r="AC160"/>
      <c r="AD160"/>
    </row>
    <row r="161" spans="2:30" ht="15.75" hidden="1" customHeight="1" x14ac:dyDescent="0.35">
      <c r="B161" s="444" t="s">
        <v>70</v>
      </c>
      <c r="C161" s="872">
        <f>HLOOKUP(C160, 'HEM Table'!$C$7:$W$30, MATCH(C$91, 'HEM Table'!$B$7:$B$30, 0),TRUE)*52</f>
        <v>83720.851140499508</v>
      </c>
      <c r="D161" s="63"/>
      <c r="E161" s="131" t="e">
        <f>HLOOKUP(E160, 'HEM Table'!$C$7:$W$30, MATCH(E91, 'HEM Table'!$B$7:$B$30, 0),TRUE)*52</f>
        <v>#N/A</v>
      </c>
      <c r="F161" s="63"/>
      <c r="G161" s="131" t="e">
        <f>HLOOKUP(G160, 'HEM Table'!$C$7:$W$30, MATCH(G91, 'HEM Table'!$B$7:$B$30, 0),TRUE)*52</f>
        <v>#N/A</v>
      </c>
      <c r="H161" s="63"/>
      <c r="I161" s="131" t="e">
        <f>HLOOKUP(I160, 'HEM Table'!$C$7:$IW30, MATCH(I91, 'HEM Table'!$B$7:$B$30, 0),TRUE)*52</f>
        <v>#N/A</v>
      </c>
      <c r="J161" s="63"/>
      <c r="K161" s="131">
        <f>IF(Inc_Tier="Y",MAX(SUMIF(C161:I161,"&gt;0"),$K$237),MAX($K$237,($P$11*LE_Couple+$P$13*LE_Single+IF(No_couples=0,$P$15*LE_Single_Child,$P$15*LE_Couple_Child))*52))</f>
        <v>122880</v>
      </c>
      <c r="L161" s="449"/>
      <c r="O161"/>
      <c r="P161"/>
      <c r="Q161"/>
      <c r="R161"/>
      <c r="S161"/>
      <c r="T161"/>
      <c r="U161"/>
      <c r="V161"/>
      <c r="W161"/>
      <c r="X161"/>
      <c r="Y161"/>
      <c r="Z161"/>
      <c r="AA161"/>
      <c r="AB161"/>
      <c r="AC161"/>
      <c r="AD161"/>
    </row>
    <row r="162" spans="2:30" ht="15.75" hidden="1" customHeight="1" x14ac:dyDescent="0.35">
      <c r="B162" s="448" t="s">
        <v>81</v>
      </c>
      <c r="C162" s="129">
        <v>1</v>
      </c>
      <c r="D162" s="130"/>
      <c r="E162" s="129">
        <v>2</v>
      </c>
      <c r="F162" s="129"/>
      <c r="G162" s="129">
        <v>3</v>
      </c>
      <c r="H162" s="129"/>
      <c r="I162" s="129">
        <v>4</v>
      </c>
      <c r="J162" s="63"/>
      <c r="K162" s="63"/>
      <c r="L162" s="449"/>
      <c r="O162"/>
      <c r="P162"/>
      <c r="Q162"/>
      <c r="R162"/>
      <c r="S162"/>
      <c r="T162"/>
      <c r="U162"/>
      <c r="V162"/>
      <c r="W162"/>
      <c r="X162"/>
      <c r="Y162"/>
      <c r="Z162"/>
      <c r="AA162"/>
      <c r="AB162"/>
      <c r="AC162"/>
      <c r="AD162"/>
    </row>
    <row r="163" spans="2:30" ht="15.75" hidden="1" customHeight="1" x14ac:dyDescent="0.35">
      <c r="B163" s="444" t="s">
        <v>60</v>
      </c>
      <c r="C163" s="132">
        <f>AG287-C278</f>
        <v>1692350</v>
      </c>
      <c r="D163" s="63"/>
      <c r="E163" s="132">
        <f>AG292-E278</f>
        <v>282884.40000000002</v>
      </c>
      <c r="F163" s="63"/>
      <c r="G163" s="132">
        <f>AG297-G278</f>
        <v>0</v>
      </c>
      <c r="H163" s="63"/>
      <c r="I163" s="132">
        <f>AG302-I278</f>
        <v>0</v>
      </c>
      <c r="J163" s="63"/>
      <c r="K163" s="63"/>
      <c r="L163" s="449"/>
      <c r="O163"/>
      <c r="P163"/>
      <c r="Q163"/>
      <c r="R163"/>
      <c r="S163"/>
      <c r="T163"/>
      <c r="U163"/>
      <c r="V163"/>
      <c r="W163"/>
      <c r="X163"/>
      <c r="Y163"/>
      <c r="Z163"/>
      <c r="AA163"/>
      <c r="AB163"/>
      <c r="AC163"/>
      <c r="AD163"/>
    </row>
    <row r="164" spans="2:30" ht="15.75" hidden="1" customHeight="1" x14ac:dyDescent="0.35">
      <c r="B164" s="444" t="s">
        <v>75</v>
      </c>
      <c r="C164" s="131">
        <f>HLOOKUP(C$79,$C162:$I163,2,0)</f>
        <v>282884.40000000002</v>
      </c>
      <c r="D164" s="63"/>
      <c r="E164" s="131">
        <f>HLOOKUP(E$79,$C162:$I163,2,0)</f>
        <v>1692350</v>
      </c>
      <c r="F164" s="63"/>
      <c r="G164" s="131" t="e">
        <f>HLOOKUP(G$79,$C162:$I163,2,0)</f>
        <v>#N/A</v>
      </c>
      <c r="H164" s="63"/>
      <c r="I164" s="131" t="e">
        <f>HLOOKUP(I$79,$C162:$I163,2,0)</f>
        <v>#N/A</v>
      </c>
      <c r="J164" s="63"/>
      <c r="K164" s="63"/>
      <c r="L164" s="449"/>
      <c r="O164"/>
      <c r="P164"/>
      <c r="Q164"/>
      <c r="R164"/>
      <c r="S164"/>
      <c r="T164"/>
      <c r="U164"/>
      <c r="V164"/>
      <c r="W164"/>
      <c r="X164"/>
      <c r="Y164"/>
      <c r="Z164"/>
      <c r="AA164"/>
      <c r="AB164"/>
      <c r="AC164"/>
      <c r="AD164"/>
    </row>
    <row r="165" spans="2:30" ht="15.75" hidden="1" customHeight="1" x14ac:dyDescent="0.35">
      <c r="B165" s="444" t="s">
        <v>63</v>
      </c>
      <c r="C165" s="132">
        <f>SUMIF(C163:C164,"&gt;0")</f>
        <v>1975234.4</v>
      </c>
      <c r="D165" s="63"/>
      <c r="E165" s="132">
        <f>SUMIF(E163:E164,"&gt;0")</f>
        <v>1975234.4</v>
      </c>
      <c r="F165" s="63"/>
      <c r="G165" s="132">
        <f>SUMIF(G163:G164,"&gt;0")</f>
        <v>0</v>
      </c>
      <c r="H165" s="63"/>
      <c r="I165" s="132">
        <f>SUMIF(I163:I164,"&gt;0")</f>
        <v>0</v>
      </c>
      <c r="J165" s="63"/>
      <c r="K165" s="969"/>
      <c r="L165" s="449"/>
      <c r="O165"/>
      <c r="P165"/>
      <c r="Q165"/>
      <c r="R165"/>
      <c r="S165"/>
      <c r="T165"/>
      <c r="U165"/>
      <c r="V165"/>
      <c r="W165"/>
      <c r="X165"/>
      <c r="Y165"/>
      <c r="Z165"/>
      <c r="AA165"/>
      <c r="AB165"/>
      <c r="AC165"/>
      <c r="AD165"/>
    </row>
    <row r="166" spans="2:30" ht="15.75" hidden="1" customHeight="1" x14ac:dyDescent="0.35">
      <c r="B166" s="444" t="s">
        <v>70</v>
      </c>
      <c r="C166" s="872">
        <f>HLOOKUP(C165, 'HEM Table'!$C$7:$W$30, MATCH(C$91, 'HEM Table'!$B$7:$B$30, 0),TRUE)*52</f>
        <v>83720.851140499508</v>
      </c>
      <c r="D166" s="63"/>
      <c r="E166" s="131" t="e">
        <f>HLOOKUP(E165, 'HEM Table'!$C$7:$W$30, MATCH(E91, 'HEM Table'!$B$7:$B$30, 0),TRUE)*52</f>
        <v>#N/A</v>
      </c>
      <c r="F166" s="63"/>
      <c r="G166" s="131" t="e">
        <f>HLOOKUP(G165, 'HEM Table'!$C$7:$W$30, MATCH(G91, 'HEM Table'!$B$7:$B$30, 0),TRUE)*52</f>
        <v>#N/A</v>
      </c>
      <c r="H166" s="63"/>
      <c r="I166" s="131" t="e">
        <f>HLOOKUP(I165, 'HEM Table'!$C$7:$W$30, MATCH(I91, 'HEM Table'!$B$7:$B$30, 0),TRUE)*52</f>
        <v>#N/A</v>
      </c>
      <c r="J166" s="63"/>
      <c r="K166" s="131">
        <f>IF(Inc_Tier="Y",MAX(SUMIF(C166:I166,"&gt;0"),$K$237),MAX($K$237,($P$11*LE_Couple+$P$13*LE_Single+IF(No_couples=0,$P$15*LE_Single_Child,$P$15*LE_Couple_Child))*52))</f>
        <v>122880</v>
      </c>
      <c r="L166" s="449"/>
      <c r="O166"/>
      <c r="P166"/>
      <c r="Q166"/>
      <c r="R166"/>
      <c r="S166"/>
      <c r="T166"/>
      <c r="U166"/>
      <c r="V166"/>
      <c r="W166"/>
      <c r="X166"/>
      <c r="Y166"/>
      <c r="Z166"/>
      <c r="AA166"/>
      <c r="AB166"/>
      <c r="AC166"/>
      <c r="AD166"/>
    </row>
    <row r="167" spans="2:30" ht="15.75" hidden="1" customHeight="1" x14ac:dyDescent="0.35">
      <c r="B167" s="444"/>
      <c r="C167" s="63"/>
      <c r="D167" s="63"/>
      <c r="E167" s="63"/>
      <c r="F167" s="63"/>
      <c r="G167" s="63"/>
      <c r="H167" s="63"/>
      <c r="I167" s="63"/>
      <c r="J167" s="63"/>
      <c r="K167" s="63"/>
      <c r="L167" s="449"/>
      <c r="O167"/>
      <c r="P167"/>
      <c r="Q167"/>
      <c r="R167"/>
      <c r="S167"/>
      <c r="T167"/>
      <c r="U167"/>
      <c r="V167"/>
      <c r="W167"/>
      <c r="X167"/>
      <c r="Y167"/>
      <c r="Z167"/>
      <c r="AA167"/>
      <c r="AB167"/>
      <c r="AC167"/>
      <c r="AD167"/>
    </row>
    <row r="168" spans="2:30" ht="0.75" customHeight="1" x14ac:dyDescent="0.35">
      <c r="B168" s="444"/>
      <c r="C168" s="62"/>
      <c r="D168" s="63"/>
      <c r="E168" s="62"/>
      <c r="F168" s="63"/>
      <c r="G168" s="62"/>
      <c r="H168" s="63"/>
      <c r="I168" s="62"/>
      <c r="J168" s="63"/>
      <c r="K168" s="63"/>
      <c r="L168" s="449"/>
      <c r="O168"/>
      <c r="P168"/>
      <c r="Q168"/>
      <c r="R168"/>
      <c r="S168"/>
      <c r="T168"/>
      <c r="U168"/>
      <c r="V168"/>
      <c r="W168"/>
      <c r="X168"/>
      <c r="Y168"/>
      <c r="Z168"/>
      <c r="AA168"/>
      <c r="AB168"/>
      <c r="AC168"/>
      <c r="AD168"/>
    </row>
    <row r="169" spans="2:30" ht="15" customHeight="1" x14ac:dyDescent="0.35">
      <c r="B169" s="453" t="s">
        <v>82</v>
      </c>
      <c r="C169" s="383" t="s">
        <v>3</v>
      </c>
      <c r="D169" s="390"/>
      <c r="E169" s="383" t="s">
        <v>4</v>
      </c>
      <c r="F169" s="383"/>
      <c r="G169" s="383" t="s">
        <v>5</v>
      </c>
      <c r="H169" s="383"/>
      <c r="I169" s="383" t="s">
        <v>6</v>
      </c>
      <c r="J169" s="385"/>
      <c r="K169" s="386" t="s">
        <v>83</v>
      </c>
      <c r="L169" s="454"/>
      <c r="O169"/>
      <c r="P169"/>
      <c r="Q169"/>
      <c r="R169"/>
      <c r="S169"/>
      <c r="T169"/>
      <c r="U169"/>
      <c r="V169"/>
      <c r="W169"/>
      <c r="X169"/>
      <c r="Y169"/>
      <c r="Z169"/>
      <c r="AA169"/>
      <c r="AB169"/>
      <c r="AC169"/>
      <c r="AD169"/>
    </row>
    <row r="170" spans="2:30" ht="3.75" customHeight="1" x14ac:dyDescent="0.35">
      <c r="B170" s="439"/>
      <c r="C170" s="28"/>
      <c r="D170" s="28"/>
      <c r="E170" s="28"/>
      <c r="F170" s="28"/>
      <c r="G170" s="28"/>
      <c r="H170" s="28"/>
      <c r="I170" s="28"/>
      <c r="J170" s="28"/>
      <c r="K170" s="28"/>
      <c r="L170" s="455"/>
      <c r="O170"/>
      <c r="P170"/>
      <c r="Q170"/>
      <c r="R170"/>
      <c r="S170"/>
      <c r="T170"/>
      <c r="U170"/>
      <c r="V170"/>
      <c r="W170"/>
      <c r="X170"/>
      <c r="Y170"/>
      <c r="Z170"/>
      <c r="AA170"/>
      <c r="AB170"/>
      <c r="AC170"/>
      <c r="AD170"/>
    </row>
    <row r="171" spans="2:30" ht="15" customHeight="1" x14ac:dyDescent="0.35">
      <c r="B171" s="436" t="s">
        <v>84</v>
      </c>
      <c r="C171" s="946"/>
      <c r="D171" s="404"/>
      <c r="E171" s="946"/>
      <c r="F171" s="404"/>
      <c r="G171" s="946"/>
      <c r="H171" s="404"/>
      <c r="I171" s="946"/>
      <c r="J171" s="405"/>
      <c r="K171" s="406">
        <f>C171+E171+G171+I171</f>
        <v>0</v>
      </c>
      <c r="L171" s="455"/>
      <c r="O171"/>
      <c r="P171"/>
      <c r="Q171"/>
      <c r="R171"/>
      <c r="S171"/>
      <c r="T171"/>
      <c r="U171"/>
      <c r="V171"/>
      <c r="W171"/>
      <c r="X171"/>
      <c r="Y171"/>
      <c r="Z171"/>
      <c r="AA171"/>
      <c r="AB171"/>
      <c r="AC171"/>
      <c r="AD171"/>
    </row>
    <row r="172" spans="2:30" ht="15" customHeight="1" x14ac:dyDescent="0.4">
      <c r="B172" s="436" t="s">
        <v>85</v>
      </c>
      <c r="C172" s="946"/>
      <c r="D172" s="404"/>
      <c r="E172" s="946"/>
      <c r="F172" s="404"/>
      <c r="G172" s="946"/>
      <c r="H172" s="404"/>
      <c r="I172" s="946"/>
      <c r="J172" s="405"/>
      <c r="K172" s="406">
        <f>(C172+E172+G172+I172)*0.8</f>
        <v>0</v>
      </c>
      <c r="L172" s="455"/>
      <c r="O172"/>
      <c r="P172"/>
      <c r="Q172"/>
      <c r="R172"/>
      <c r="S172" s="1154" t="s">
        <v>86</v>
      </c>
      <c r="T172" s="1154"/>
      <c r="U172" s="1154" t="s">
        <v>87</v>
      </c>
      <c r="V172"/>
      <c r="W172"/>
      <c r="X172"/>
      <c r="Y172"/>
      <c r="Z172"/>
      <c r="AA172"/>
      <c r="AB172"/>
      <c r="AC172"/>
      <c r="AD172"/>
    </row>
    <row r="173" spans="2:30" ht="15" customHeight="1" x14ac:dyDescent="0.35">
      <c r="B173" s="436" t="s">
        <v>88</v>
      </c>
      <c r="C173" s="946"/>
      <c r="D173" s="404"/>
      <c r="E173" s="946"/>
      <c r="F173" s="404"/>
      <c r="G173" s="946"/>
      <c r="H173" s="404"/>
      <c r="I173" s="946"/>
      <c r="J173" s="405"/>
      <c r="K173" s="406">
        <f>(C173+E173+G173+I173)*0.8</f>
        <v>0</v>
      </c>
      <c r="L173" s="455"/>
      <c r="O173"/>
      <c r="P173"/>
      <c r="Q173"/>
      <c r="R173"/>
      <c r="S173" s="4" t="str">
        <f>IFERROR(VLOOKUP(PostCode1, References!Z$2:AF$3052, 7, FALSE), "No")</f>
        <v/>
      </c>
      <c r="U173" s="4" t="str">
        <f>IFERROR(VLOOKUP(PostCode1, References!Z$2:AG$3052, 8, FALSE), "No")</f>
        <v/>
      </c>
      <c r="V173"/>
      <c r="W173"/>
      <c r="X173"/>
      <c r="Y173"/>
      <c r="Z173"/>
      <c r="AA173"/>
      <c r="AB173"/>
      <c r="AC173"/>
      <c r="AD173"/>
    </row>
    <row r="174" spans="2:30" ht="15" customHeight="1" x14ac:dyDescent="0.35">
      <c r="B174" s="436" t="s">
        <v>89</v>
      </c>
      <c r="C174" s="946"/>
      <c r="D174" s="404"/>
      <c r="E174" s="946"/>
      <c r="F174" s="404"/>
      <c r="G174" s="946"/>
      <c r="H174" s="404"/>
      <c r="I174" s="946"/>
      <c r="J174" s="407"/>
      <c r="K174" s="406">
        <f>C174+E174+G174+I174</f>
        <v>0</v>
      </c>
      <c r="L174" s="455"/>
      <c r="O174"/>
      <c r="P174"/>
      <c r="Q174"/>
      <c r="R174"/>
      <c r="S174" s="4" t="str">
        <f>IFERROR(VLOOKUP(PostCode2, References!Z$2:AF$3052, 7, FALSE), "No")</f>
        <v>No</v>
      </c>
      <c r="U174" s="4" t="str">
        <f>IFERROR(VLOOKUP(PostCode2, References!Z$2:AG$3052, 8, FALSE), "No")</f>
        <v>No</v>
      </c>
      <c r="V174"/>
      <c r="W174"/>
      <c r="X174"/>
      <c r="Y174"/>
      <c r="Z174"/>
      <c r="AA174"/>
      <c r="AB174"/>
      <c r="AC174"/>
      <c r="AD174"/>
    </row>
    <row r="175" spans="2:30" ht="15" customHeight="1" x14ac:dyDescent="0.35">
      <c r="B175" s="436" t="s">
        <v>90</v>
      </c>
      <c r="C175" s="946"/>
      <c r="D175" s="404"/>
      <c r="E175" s="946"/>
      <c r="F175" s="404"/>
      <c r="G175" s="946"/>
      <c r="H175" s="404"/>
      <c r="I175" s="946"/>
      <c r="J175" s="407"/>
      <c r="K175" s="406">
        <f>C175+E175+G175+I175</f>
        <v>0</v>
      </c>
      <c r="L175" s="455"/>
      <c r="O175"/>
      <c r="P175"/>
      <c r="Q175"/>
      <c r="R175"/>
      <c r="S175" s="4" t="str">
        <f>IFERROR(VLOOKUP(PostCode3, References!Z$2:AF$3052, 7, FALSE), "No")</f>
        <v>No</v>
      </c>
      <c r="U175" s="4" t="str">
        <f>IFERROR(VLOOKUP(PostCode3, References!Z$2:AG$3052, 8, FALSE), "No")</f>
        <v>No</v>
      </c>
      <c r="V175"/>
      <c r="W175"/>
      <c r="X175"/>
      <c r="Y175"/>
      <c r="Z175"/>
      <c r="AA175"/>
      <c r="AB175"/>
      <c r="AC175"/>
      <c r="AD175"/>
    </row>
    <row r="176" spans="2:30" ht="15" customHeight="1" x14ac:dyDescent="0.35">
      <c r="B176" s="436" t="s">
        <v>91</v>
      </c>
      <c r="C176" s="946">
        <v>1692350</v>
      </c>
      <c r="D176" s="404"/>
      <c r="E176" s="946">
        <v>282884.40000000002</v>
      </c>
      <c r="F176" s="404"/>
      <c r="G176" s="946">
        <v>0</v>
      </c>
      <c r="H176" s="404"/>
      <c r="I176" s="946">
        <v>0</v>
      </c>
      <c r="J176" s="407"/>
      <c r="K176" s="406">
        <f>C176+E176+G176+I176</f>
        <v>1975234.4</v>
      </c>
      <c r="L176" s="455"/>
      <c r="O176"/>
      <c r="P176"/>
      <c r="Q176"/>
      <c r="R176"/>
      <c r="S176" s="4" t="str">
        <f>IFERROR(VLOOKUP(PostCode4, References!Z$2:AF$3052, 7, FALSE), "No")</f>
        <v>No</v>
      </c>
      <c r="U176" s="4" t="str">
        <f>IFERROR(VLOOKUP(PostCode4, References!Z$2:AG$3052, 8, FALSE), "No")</f>
        <v>No</v>
      </c>
      <c r="V176"/>
      <c r="W176"/>
      <c r="X176"/>
      <c r="Y176"/>
      <c r="Z176"/>
      <c r="AA176"/>
      <c r="AB176"/>
      <c r="AC176"/>
      <c r="AD176"/>
    </row>
    <row r="177" spans="2:30" s="972" customFormat="1" ht="20.25" customHeight="1" x14ac:dyDescent="0.35">
      <c r="B177" s="456"/>
      <c r="C177" s="1256"/>
      <c r="D177" s="1256"/>
      <c r="E177" s="1256"/>
      <c r="F177" s="1256"/>
      <c r="G177" s="1256"/>
      <c r="H177" s="1256"/>
      <c r="I177" s="1256"/>
      <c r="J177" s="29"/>
      <c r="K177" s="24"/>
      <c r="L177" s="457"/>
      <c r="M177" s="1109"/>
      <c r="N177" s="1109"/>
      <c r="O177"/>
      <c r="P177"/>
      <c r="Q177"/>
      <c r="R177"/>
      <c r="S177" s="4" t="str">
        <f>IFERROR(VLOOKUP(PostCode5, References!Z$2:AF$3052, 7, FALSE), "No")</f>
        <v>No</v>
      </c>
      <c r="U177" s="4" t="str">
        <f>IFERROR(VLOOKUP(PostCode5, References!Z$2:AG$3052, 8, FALSE), "No")</f>
        <v>No</v>
      </c>
      <c r="V177"/>
      <c r="W177"/>
      <c r="X177"/>
      <c r="Y177"/>
      <c r="Z177"/>
      <c r="AA177"/>
      <c r="AB177"/>
      <c r="AC177"/>
      <c r="AD177"/>
    </row>
    <row r="178" spans="2:30" ht="15" customHeight="1" thickBot="1" x14ac:dyDescent="0.4">
      <c r="B178" s="435" t="s">
        <v>63</v>
      </c>
      <c r="C178" s="490">
        <f>C171+(C172*0.8)+(C173*0.8)+C174+C175+C176</f>
        <v>1692350</v>
      </c>
      <c r="D178" s="408"/>
      <c r="E178" s="490">
        <f>E171+(E172*0.8)+(E173*0.8)+E174+E175+E176</f>
        <v>282884.40000000002</v>
      </c>
      <c r="F178" s="408"/>
      <c r="G178" s="490">
        <f>G171+(G172*0.8)+(G173*0.8)+G174+G175+G176</f>
        <v>0</v>
      </c>
      <c r="H178" s="408"/>
      <c r="I178" s="490">
        <f>I171+(I172*0.8)+(I173*0.8)+I174+I175+I176</f>
        <v>0</v>
      </c>
      <c r="J178" s="409"/>
      <c r="K178" s="490">
        <f>K171+K172+K173+K174+K175+K176</f>
        <v>1975234.4</v>
      </c>
      <c r="L178" s="455"/>
      <c r="O178"/>
      <c r="P178"/>
      <c r="Q178"/>
      <c r="R178"/>
      <c r="S178" s="4" t="str">
        <f>IFERROR(VLOOKUP(PostCode6, References!Z$2:AF$3052, 7, FALSE), "No")</f>
        <v>No</v>
      </c>
      <c r="U178" s="4" t="str">
        <f>IFERROR(VLOOKUP(PostCode6, References!Z$2:AG$3052, 8, FALSE), "No")</f>
        <v>No</v>
      </c>
      <c r="V178"/>
      <c r="W178"/>
      <c r="X178"/>
      <c r="Y178"/>
      <c r="Z178"/>
      <c r="AA178"/>
      <c r="AB178"/>
      <c r="AC178"/>
      <c r="AD178"/>
    </row>
    <row r="179" spans="2:30" ht="6" customHeight="1" thickTop="1" x14ac:dyDescent="0.35">
      <c r="B179" s="438"/>
      <c r="C179" s="16"/>
      <c r="D179" s="16"/>
      <c r="E179" s="17"/>
      <c r="F179" s="16"/>
      <c r="G179" s="17"/>
      <c r="H179" s="16"/>
      <c r="I179" s="17"/>
      <c r="J179" s="19"/>
      <c r="K179" s="20"/>
      <c r="L179" s="455"/>
      <c r="O179"/>
      <c r="P179"/>
      <c r="Q179"/>
      <c r="R179"/>
      <c r="S179"/>
      <c r="T179"/>
      <c r="U179"/>
      <c r="V179"/>
      <c r="W179"/>
      <c r="X179"/>
      <c r="Y179"/>
      <c r="Z179"/>
      <c r="AA179"/>
      <c r="AB179"/>
      <c r="AC179"/>
      <c r="AD179"/>
    </row>
    <row r="180" spans="2:30" ht="11.25" customHeight="1" x14ac:dyDescent="0.35">
      <c r="B180" s="1225" t="s">
        <v>92</v>
      </c>
      <c r="C180" s="1226"/>
      <c r="D180" s="1226"/>
      <c r="E180" s="1226"/>
      <c r="F180" s="1226"/>
      <c r="G180" s="1226"/>
      <c r="H180" s="1226"/>
      <c r="I180" s="1226"/>
      <c r="J180" s="1226"/>
      <c r="K180" s="1226"/>
      <c r="L180" s="455"/>
      <c r="O180"/>
      <c r="P180"/>
      <c r="Q180"/>
      <c r="R180"/>
      <c r="S180"/>
      <c r="T180"/>
      <c r="U180"/>
      <c r="V180"/>
      <c r="W180"/>
      <c r="X180"/>
      <c r="Y180"/>
      <c r="Z180"/>
      <c r="AA180"/>
      <c r="AB180"/>
      <c r="AC180"/>
      <c r="AD180"/>
    </row>
    <row r="181" spans="2:30" ht="15" customHeight="1" x14ac:dyDescent="0.35">
      <c r="B181" s="436" t="s">
        <v>93</v>
      </c>
      <c r="C181" s="946">
        <v>145600</v>
      </c>
      <c r="D181" s="410"/>
      <c r="E181" s="946"/>
      <c r="F181" s="410"/>
      <c r="G181" s="946"/>
      <c r="H181" s="410"/>
      <c r="I181" s="946"/>
      <c r="J181" s="411"/>
      <c r="K181" s="406">
        <f>C181+E181+G181+I181</f>
        <v>145600</v>
      </c>
      <c r="L181" s="455"/>
      <c r="O181"/>
      <c r="P181"/>
      <c r="Q181"/>
      <c r="R181"/>
      <c r="S181"/>
      <c r="T181"/>
      <c r="U181"/>
      <c r="V181"/>
      <c r="W181"/>
      <c r="X181"/>
      <c r="Y181"/>
      <c r="Z181"/>
      <c r="AA181"/>
      <c r="AB181"/>
      <c r="AC181"/>
      <c r="AD181"/>
    </row>
    <row r="182" spans="2:30" ht="15" customHeight="1" x14ac:dyDescent="0.35">
      <c r="B182" s="436" t="s">
        <v>94</v>
      </c>
      <c r="C182" s="946"/>
      <c r="D182" s="410"/>
      <c r="E182" s="946"/>
      <c r="F182" s="410"/>
      <c r="G182" s="946"/>
      <c r="H182" s="410"/>
      <c r="I182" s="946"/>
      <c r="J182" s="411"/>
      <c r="K182" s="406">
        <f>C182+E182+G182+I182</f>
        <v>0</v>
      </c>
      <c r="L182" s="455"/>
      <c r="O182"/>
      <c r="P182"/>
      <c r="Q182"/>
      <c r="R182"/>
      <c r="S182"/>
      <c r="T182"/>
      <c r="U182"/>
      <c r="V182"/>
      <c r="W182"/>
      <c r="X182"/>
      <c r="Y182"/>
      <c r="Z182"/>
      <c r="AA182"/>
      <c r="AB182"/>
      <c r="AC182"/>
      <c r="AD182"/>
    </row>
    <row r="183" spans="2:30" ht="3.75" customHeight="1" x14ac:dyDescent="0.35">
      <c r="B183" s="436"/>
      <c r="C183" s="410"/>
      <c r="D183" s="410"/>
      <c r="E183" s="410"/>
      <c r="F183" s="410"/>
      <c r="G183" s="410"/>
      <c r="H183" s="410"/>
      <c r="I183" s="410"/>
      <c r="J183" s="411"/>
      <c r="K183" s="411"/>
      <c r="L183" s="455"/>
      <c r="O183"/>
      <c r="P183"/>
      <c r="Q183"/>
      <c r="R183"/>
      <c r="S183"/>
      <c r="T183"/>
      <c r="U183"/>
      <c r="V183"/>
      <c r="W183"/>
      <c r="X183"/>
      <c r="Y183"/>
      <c r="Z183"/>
      <c r="AA183"/>
      <c r="AB183"/>
      <c r="AC183"/>
      <c r="AD183"/>
    </row>
    <row r="184" spans="2:30" ht="15" customHeight="1" thickBot="1" x14ac:dyDescent="0.4">
      <c r="B184" s="435" t="s">
        <v>95</v>
      </c>
      <c r="C184" s="490">
        <f>SUM(C181:C182)*0.75</f>
        <v>109200</v>
      </c>
      <c r="D184" s="410"/>
      <c r="E184" s="490">
        <f>SUM(E181:E182)*0.75</f>
        <v>0</v>
      </c>
      <c r="F184" s="410"/>
      <c r="G184" s="490">
        <f>SUM(G181:G182)*0.75</f>
        <v>0</v>
      </c>
      <c r="H184" s="410"/>
      <c r="I184" s="490">
        <f>SUM(I181:I182)*0.75</f>
        <v>0</v>
      </c>
      <c r="J184" s="411"/>
      <c r="K184" s="490">
        <f>SUM(K181:K182)*0.75</f>
        <v>109200</v>
      </c>
      <c r="L184" s="455"/>
      <c r="O184"/>
      <c r="P184"/>
      <c r="Q184"/>
      <c r="R184"/>
      <c r="S184"/>
      <c r="T184"/>
      <c r="U184"/>
      <c r="V184"/>
      <c r="W184"/>
      <c r="X184"/>
      <c r="Y184"/>
      <c r="Z184"/>
      <c r="AA184"/>
      <c r="AB184"/>
      <c r="AC184"/>
      <c r="AD184"/>
    </row>
    <row r="185" spans="2:30" ht="6" customHeight="1" thickTop="1" x14ac:dyDescent="0.35">
      <c r="B185" s="1229"/>
      <c r="C185" s="1230"/>
      <c r="D185" s="1230"/>
      <c r="E185" s="1230"/>
      <c r="F185" s="1230"/>
      <c r="G185" s="1230"/>
      <c r="H185" s="1230"/>
      <c r="I185" s="1230"/>
      <c r="J185" s="19"/>
      <c r="L185" s="455"/>
      <c r="O185"/>
      <c r="P185"/>
      <c r="Q185"/>
      <c r="R185"/>
      <c r="S185"/>
      <c r="T185"/>
      <c r="U185"/>
      <c r="V185"/>
      <c r="W185"/>
      <c r="X185"/>
      <c r="Y185"/>
      <c r="Z185"/>
      <c r="AA185"/>
      <c r="AB185"/>
      <c r="AC185"/>
      <c r="AD185"/>
    </row>
    <row r="186" spans="2:30" ht="12" customHeight="1" x14ac:dyDescent="0.35">
      <c r="B186" s="1225" t="s">
        <v>96</v>
      </c>
      <c r="C186" s="1226"/>
      <c r="D186" s="1226"/>
      <c r="E186" s="1226"/>
      <c r="F186" s="1226"/>
      <c r="G186" s="1226"/>
      <c r="H186" s="1226"/>
      <c r="I186" s="1226"/>
      <c r="J186" s="1226"/>
      <c r="K186" s="1226"/>
      <c r="L186" s="455"/>
      <c r="O186"/>
      <c r="P186"/>
      <c r="Q186"/>
      <c r="R186"/>
      <c r="S186"/>
      <c r="T186"/>
      <c r="U186"/>
      <c r="V186"/>
      <c r="W186"/>
      <c r="X186"/>
      <c r="Y186"/>
      <c r="Z186"/>
      <c r="AA186"/>
      <c r="AB186"/>
      <c r="AC186"/>
      <c r="AD186"/>
    </row>
    <row r="187" spans="2:30" ht="15" customHeight="1" x14ac:dyDescent="0.35">
      <c r="B187" s="436" t="s">
        <v>97</v>
      </c>
      <c r="C187" s="946">
        <v>4060000</v>
      </c>
      <c r="D187" s="412"/>
      <c r="E187" s="946"/>
      <c r="F187" s="413"/>
      <c r="G187" s="946"/>
      <c r="H187" s="413"/>
      <c r="I187" s="946"/>
      <c r="J187" s="414"/>
      <c r="K187" s="406">
        <f>C187+E187+G187+I187</f>
        <v>4060000</v>
      </c>
      <c r="L187" s="455"/>
      <c r="O187"/>
      <c r="P187"/>
      <c r="Q187"/>
      <c r="R187"/>
      <c r="S187"/>
      <c r="T187"/>
      <c r="U187"/>
      <c r="V187"/>
      <c r="W187"/>
      <c r="X187"/>
      <c r="Y187"/>
      <c r="Z187"/>
      <c r="AA187"/>
      <c r="AB187"/>
      <c r="AC187"/>
      <c r="AD187"/>
    </row>
    <row r="188" spans="2:30" ht="15" customHeight="1" x14ac:dyDescent="0.35">
      <c r="B188" s="436" t="s">
        <v>98</v>
      </c>
      <c r="C188" s="946"/>
      <c r="D188" s="412"/>
      <c r="E188" s="946"/>
      <c r="F188" s="413"/>
      <c r="G188" s="946"/>
      <c r="H188" s="413"/>
      <c r="I188" s="946"/>
      <c r="J188" s="414"/>
      <c r="K188" s="406">
        <f>C188+E188+G188+I188</f>
        <v>0</v>
      </c>
      <c r="L188" s="455"/>
    </row>
    <row r="189" spans="2:30" s="973" customFormat="1" ht="15" customHeight="1" thickBot="1" x14ac:dyDescent="0.4">
      <c r="B189" s="1221" t="s">
        <v>99</v>
      </c>
      <c r="C189" s="1222"/>
      <c r="D189" s="1222"/>
      <c r="E189" s="1222"/>
      <c r="F189" s="415"/>
      <c r="G189" s="415"/>
      <c r="H189" s="415"/>
      <c r="I189" s="415"/>
      <c r="J189" s="416"/>
      <c r="K189" s="490">
        <f>SUM(K187:K188)</f>
        <v>4060000</v>
      </c>
      <c r="L189" s="459"/>
      <c r="M189" s="1110"/>
      <c r="N189" s="1118"/>
    </row>
    <row r="190" spans="2:30" s="973" customFormat="1" ht="4.9000000000000004" customHeight="1" thickTop="1" x14ac:dyDescent="0.35">
      <c r="B190" s="1065"/>
      <c r="C190" s="1066"/>
      <c r="D190" s="1066"/>
      <c r="E190" s="1066"/>
      <c r="F190" s="415"/>
      <c r="G190" s="415"/>
      <c r="H190" s="415"/>
      <c r="I190" s="415"/>
      <c r="J190" s="416"/>
      <c r="K190" s="598"/>
      <c r="L190" s="459"/>
      <c r="M190" s="1110"/>
      <c r="N190" s="1118"/>
    </row>
    <row r="191" spans="2:30" s="973" customFormat="1" ht="15" customHeight="1" x14ac:dyDescent="0.35">
      <c r="B191" s="1225" t="s">
        <v>100</v>
      </c>
      <c r="C191" s="1226"/>
      <c r="D191" s="1226"/>
      <c r="E191" s="1226"/>
      <c r="F191" s="1226"/>
      <c r="G191" s="1226"/>
      <c r="H191" s="1226"/>
      <c r="I191" s="1226"/>
      <c r="J191" s="1226"/>
      <c r="K191" s="1226"/>
      <c r="L191" s="459"/>
      <c r="M191" s="1110"/>
      <c r="N191" s="1118"/>
    </row>
    <row r="192" spans="2:30" s="973" customFormat="1" ht="15" customHeight="1" x14ac:dyDescent="0.35">
      <c r="B192" s="436" t="s">
        <v>93</v>
      </c>
      <c r="C192" s="946">
        <v>10800</v>
      </c>
      <c r="D192" s="412"/>
      <c r="E192" s="946"/>
      <c r="F192" s="413"/>
      <c r="G192" s="946"/>
      <c r="H192" s="413"/>
      <c r="I192" s="946"/>
      <c r="J192" s="414"/>
      <c r="K192" s="406">
        <f>C192+E192+G192+I192</f>
        <v>10800</v>
      </c>
      <c r="L192" s="459"/>
      <c r="M192" s="1110"/>
      <c r="N192" s="1118"/>
    </row>
    <row r="193" spans="2:15" s="973" customFormat="1" ht="15" customHeight="1" x14ac:dyDescent="0.35">
      <c r="B193" s="436" t="s">
        <v>94</v>
      </c>
      <c r="C193" s="946"/>
      <c r="D193" s="412"/>
      <c r="E193" s="946"/>
      <c r="F193" s="413"/>
      <c r="G193" s="946"/>
      <c r="H193" s="413"/>
      <c r="I193" s="946"/>
      <c r="J193" s="414"/>
      <c r="K193" s="406">
        <f>C193+E193+G193+I193</f>
        <v>0</v>
      </c>
      <c r="L193" s="459"/>
      <c r="M193" s="1110"/>
      <c r="N193" s="1118"/>
    </row>
    <row r="194" spans="2:15" s="973" customFormat="1" ht="12.75" customHeight="1" thickBot="1" x14ac:dyDescent="0.4">
      <c r="B194" s="1221"/>
      <c r="C194" s="1222"/>
      <c r="D194" s="1222"/>
      <c r="E194" s="1222"/>
      <c r="F194" s="415"/>
      <c r="G194" s="415"/>
      <c r="H194" s="415"/>
      <c r="I194" s="415"/>
      <c r="J194" s="416"/>
      <c r="K194" s="490">
        <f>SUM(K192:K193)</f>
        <v>10800</v>
      </c>
      <c r="L194" s="459"/>
      <c r="M194" s="1110"/>
      <c r="N194" s="1118"/>
    </row>
    <row r="195" spans="2:15" s="973" customFormat="1" ht="3" customHeight="1" thickTop="1" x14ac:dyDescent="0.35">
      <c r="B195" s="458"/>
      <c r="C195" s="54"/>
      <c r="D195" s="54"/>
      <c r="E195" s="54"/>
      <c r="F195" s="51"/>
      <c r="G195" s="51"/>
      <c r="H195" s="51"/>
      <c r="I195" s="51"/>
      <c r="J195" s="52"/>
      <c r="K195" s="488"/>
      <c r="L195" s="459"/>
      <c r="M195" s="1110"/>
      <c r="N195" s="1118"/>
    </row>
    <row r="196" spans="2:15" ht="13.5" customHeight="1" x14ac:dyDescent="0.35">
      <c r="B196" s="453" t="s">
        <v>101</v>
      </c>
      <c r="C196" s="383"/>
      <c r="D196" s="384" t="s">
        <v>102</v>
      </c>
      <c r="E196" s="383"/>
      <c r="F196" s="383"/>
      <c r="G196" s="383"/>
      <c r="H196" s="383"/>
      <c r="I196" s="383"/>
      <c r="J196" s="385"/>
      <c r="K196" s="386" t="s">
        <v>103</v>
      </c>
      <c r="L196" s="454"/>
    </row>
    <row r="197" spans="2:15" ht="2.25" customHeight="1" x14ac:dyDescent="0.35">
      <c r="B197" s="439"/>
      <c r="C197" s="387"/>
      <c r="D197" s="388"/>
      <c r="E197" s="14"/>
      <c r="F197" s="14"/>
      <c r="G197" s="14"/>
      <c r="H197" s="14"/>
      <c r="I197" s="14"/>
      <c r="J197" s="14"/>
      <c r="K197" s="389"/>
      <c r="L197" s="455"/>
    </row>
    <row r="198" spans="2:15" ht="18" customHeight="1" x14ac:dyDescent="0.35">
      <c r="B198" s="436" t="s">
        <v>104</v>
      </c>
      <c r="C198" s="854">
        <v>30</v>
      </c>
      <c r="D198" s="677"/>
      <c r="E198" s="1232" t="s">
        <v>105</v>
      </c>
      <c r="F198" s="677"/>
      <c r="G198" s="1284"/>
      <c r="H198" s="1284"/>
      <c r="I198" s="859">
        <f>IF(OR(I23="",I23=0),1,IF(AND(G74="yes",OR(K74="4 years",K74="5 years")),MAX(I23,minVar_rate)+Fix_buffer,MAX(I23,minVar_rate)+Var_buffer))</f>
        <v>9.2899999999999996E-2</v>
      </c>
      <c r="J198" s="14"/>
      <c r="K198" s="423">
        <f>-IF(Loanamt=0,0,PMT(MAX(Acct1LoanIntRate+Var_buffer,minVar_rate)/12,(Acct1LoanTerm-Acct1IntOnlyPrd)*12,Acct1LoanAmt,0,0)*12+PMT(MAX(Acct2LoanIntRate+Var_buffer,minVar_rate)/12,(Acct2LoanTerm-Acct2IntOnlyPrd)*12,Acct2LoanAmt,0,0)*12+PMT(MAX(Acct3LoanIntRate+Var_buffer,minVar_rate)/12,(Acct3LoanTerm-Acct3IntOnlyPrd)*12,Acct3LoanAmt,0,0)*12+PMT(MAX(Acct4LoanIntRate+Var_buffer,minVar_rate)/12,(Acct4LoanTerm-Acct4IntOnlyPrd)*12,Acct4LoanAmt,0,0)*12+PMT(MAX(Acct5LoanIntRate+Var_buffer,minVar_rate)/12,(Acct5LoanTerm-Acct5IntOnlyPrd)*12,Acct5LoanAmt,0,0)*12+PMT(MAX(Acct6LoanIntRate+Var_buffer,minVar_rate)/12,(Acct6LoanTerm-Acct6IntOnlyPrd)*12,Acct6LoanAmt,0,0)*12+PMT(MAX(Acct1LoanIntRate+Var_buffer,minVar_rate)/12,(MIN(Acct1LoanTerm-Acct1IntOnlyPrd,30)*12),IF(AND(ISNUMBER(LDFValue),(LMIcap_flag="Y")),LDFValue,0),0,0)*12)</f>
        <v>418574.76705418702</v>
      </c>
      <c r="L198" s="455"/>
    </row>
    <row r="199" spans="2:15" ht="1.5" customHeight="1" x14ac:dyDescent="0.35">
      <c r="B199" s="436"/>
      <c r="C199" s="417"/>
      <c r="D199" s="850"/>
      <c r="E199" s="1232"/>
      <c r="F199" s="850"/>
      <c r="G199" s="851"/>
      <c r="H199" s="851"/>
      <c r="I199" s="758"/>
      <c r="J199" s="14"/>
      <c r="K199" s="423"/>
      <c r="L199" s="455"/>
    </row>
    <row r="200" spans="2:15" ht="15" customHeight="1" x14ac:dyDescent="0.35">
      <c r="B200" s="942"/>
      <c r="C200" s="860" t="s">
        <v>106</v>
      </c>
      <c r="D200" s="850"/>
      <c r="E200" s="1232"/>
      <c r="F200" s="850"/>
      <c r="G200" s="943" t="s">
        <v>107</v>
      </c>
      <c r="H200" s="851"/>
      <c r="I200" s="860" t="s">
        <v>108</v>
      </c>
      <c r="J200" s="14"/>
      <c r="K200" s="423"/>
      <c r="L200" s="455"/>
    </row>
    <row r="201" spans="2:15" ht="15" customHeight="1" x14ac:dyDescent="0.35">
      <c r="B201" s="436" t="s">
        <v>109</v>
      </c>
      <c r="C201" s="946">
        <v>3732117</v>
      </c>
      <c r="D201" s="28"/>
      <c r="E201" s="1060">
        <v>335</v>
      </c>
      <c r="F201" s="853"/>
      <c r="G201" s="1061">
        <v>5.8400000000000001E-2</v>
      </c>
      <c r="H201" s="853"/>
      <c r="I201" s="946">
        <v>23358</v>
      </c>
      <c r="J201" s="14"/>
      <c r="K201" s="423">
        <f>MAX(AF356,AG356)</f>
        <v>360779.72509465762</v>
      </c>
      <c r="L201" s="455"/>
      <c r="O201" s="859">
        <f>IF(OR(Mortgage_1_Rate="",Mortgage_1_Rate=0),1,IF(AND(G74="yes",OR(K74="4 years",K74="5 years")),MAX(Mortgage_1_Rate,minVar_rate)+Fix_buffer,MAX(Mortgage_1_Rate,minVar_rate)+Var_buffer))</f>
        <v>8.8400000000000006E-2</v>
      </c>
    </row>
    <row r="202" spans="2:15" ht="2.25" customHeight="1" x14ac:dyDescent="0.35">
      <c r="B202" s="436"/>
      <c r="C202" s="852"/>
      <c r="D202" s="28"/>
      <c r="E202" s="853"/>
      <c r="F202" s="853"/>
      <c r="H202" s="853"/>
      <c r="I202" s="853"/>
      <c r="J202" s="14"/>
      <c r="K202" s="423"/>
      <c r="L202" s="455"/>
    </row>
    <row r="203" spans="2:15" ht="15" customHeight="1" x14ac:dyDescent="0.35">
      <c r="B203" s="436" t="s">
        <v>110</v>
      </c>
      <c r="C203" s="946">
        <v>3797214</v>
      </c>
      <c r="D203" s="28"/>
      <c r="E203" s="1060">
        <v>335</v>
      </c>
      <c r="F203" s="853"/>
      <c r="G203" s="1061">
        <v>5.74E-2</v>
      </c>
      <c r="H203" s="853"/>
      <c r="I203" s="946">
        <v>23354</v>
      </c>
      <c r="J203" s="14"/>
      <c r="K203" s="423">
        <f>MAX(AF357,AG357)</f>
        <v>363876.65863982431</v>
      </c>
      <c r="L203" s="455"/>
    </row>
    <row r="204" spans="2:15" ht="1.9" customHeight="1" x14ac:dyDescent="0.35">
      <c r="B204" s="436"/>
      <c r="C204" s="419"/>
      <c r="D204" s="677"/>
      <c r="E204" s="663"/>
      <c r="F204" s="663"/>
      <c r="H204" s="663"/>
      <c r="I204" s="663"/>
      <c r="J204" s="974"/>
      <c r="L204" s="455"/>
    </row>
    <row r="205" spans="2:15" ht="15" customHeight="1" x14ac:dyDescent="0.35">
      <c r="B205" s="436" t="s">
        <v>111</v>
      </c>
      <c r="C205" s="946"/>
      <c r="D205" s="28"/>
      <c r="E205" s="1060"/>
      <c r="F205" s="853"/>
      <c r="G205" s="1061"/>
      <c r="H205" s="853"/>
      <c r="I205" s="946"/>
      <c r="J205" s="14"/>
      <c r="K205" s="423">
        <f>MAX(AF358,AG358)</f>
        <v>0</v>
      </c>
      <c r="L205" s="455"/>
    </row>
    <row r="206" spans="2:15" ht="2.25" customHeight="1" x14ac:dyDescent="0.35">
      <c r="B206" s="436"/>
      <c r="C206" s="852"/>
      <c r="D206" s="28"/>
      <c r="E206" s="853"/>
      <c r="F206" s="853"/>
      <c r="H206" s="853"/>
      <c r="I206" s="853"/>
      <c r="J206" s="14"/>
      <c r="K206" s="423"/>
      <c r="L206" s="455"/>
    </row>
    <row r="207" spans="2:15" ht="15" customHeight="1" x14ac:dyDescent="0.35">
      <c r="B207" s="436" t="s">
        <v>112</v>
      </c>
      <c r="C207" s="946"/>
      <c r="D207" s="28"/>
      <c r="E207" s="1060"/>
      <c r="F207" s="853"/>
      <c r="G207" s="1061"/>
      <c r="H207" s="853"/>
      <c r="I207" s="946"/>
      <c r="J207" s="14"/>
      <c r="K207" s="423">
        <f>MAX(AF359,AG359)</f>
        <v>0</v>
      </c>
      <c r="L207" s="455"/>
    </row>
    <row r="208" spans="2:15" ht="2.25" customHeight="1" x14ac:dyDescent="0.35">
      <c r="B208" s="436"/>
      <c r="C208" s="852"/>
      <c r="D208" s="28"/>
      <c r="E208" s="853"/>
      <c r="F208" s="853"/>
      <c r="H208" s="853"/>
      <c r="I208" s="853"/>
      <c r="J208" s="14"/>
      <c r="K208" s="423"/>
      <c r="L208" s="455"/>
    </row>
    <row r="209" spans="2:12" ht="15" customHeight="1" x14ac:dyDescent="0.35">
      <c r="B209" s="436" t="s">
        <v>113</v>
      </c>
      <c r="C209" s="946"/>
      <c r="D209" s="28"/>
      <c r="E209" s="1060"/>
      <c r="F209" s="18"/>
      <c r="G209" s="1061"/>
      <c r="H209" s="853"/>
      <c r="I209" s="946"/>
      <c r="J209" s="14"/>
      <c r="K209" s="423">
        <f>MAX(AF360,AG360)</f>
        <v>0</v>
      </c>
      <c r="L209" s="455"/>
    </row>
    <row r="210" spans="2:12" ht="2.25" customHeight="1" x14ac:dyDescent="0.35">
      <c r="B210" s="436"/>
      <c r="C210" s="852"/>
      <c r="D210" s="28"/>
      <c r="E210" s="18"/>
      <c r="F210" s="18"/>
      <c r="G210" s="18"/>
      <c r="H210" s="853"/>
      <c r="I210" s="853"/>
      <c r="J210" s="14"/>
      <c r="K210" s="423"/>
      <c r="L210" s="455"/>
    </row>
    <row r="211" spans="2:12" ht="15" customHeight="1" x14ac:dyDescent="0.35">
      <c r="B211" s="436" t="s">
        <v>114</v>
      </c>
      <c r="C211" s="946"/>
      <c r="D211" s="28"/>
      <c r="E211" s="1060"/>
      <c r="F211" s="18"/>
      <c r="G211" s="1061"/>
      <c r="H211" s="853"/>
      <c r="I211" s="946"/>
      <c r="J211" s="14"/>
      <c r="K211" s="423">
        <f>MAX(AF361,AG361)</f>
        <v>0</v>
      </c>
      <c r="L211" s="455"/>
    </row>
    <row r="212" spans="2:12" ht="2.25" customHeight="1" x14ac:dyDescent="0.35">
      <c r="B212" s="436"/>
      <c r="C212" s="852"/>
      <c r="D212" s="28"/>
      <c r="E212" s="18"/>
      <c r="F212" s="18"/>
      <c r="G212" s="18"/>
      <c r="H212" s="853"/>
      <c r="I212" s="853"/>
      <c r="J212" s="14"/>
      <c r="K212" s="423"/>
      <c r="L212" s="455"/>
    </row>
    <row r="213" spans="2:12" ht="15" customHeight="1" x14ac:dyDescent="0.35">
      <c r="B213" s="436" t="s">
        <v>115</v>
      </c>
      <c r="C213" s="946"/>
      <c r="D213" s="28"/>
      <c r="E213" s="1060"/>
      <c r="F213" s="18"/>
      <c r="G213" s="1061"/>
      <c r="H213" s="853"/>
      <c r="I213" s="946"/>
      <c r="J213" s="14"/>
      <c r="K213" s="423">
        <f>MAX(AF362,AG362)</f>
        <v>0</v>
      </c>
      <c r="L213" s="455"/>
    </row>
    <row r="214" spans="2:12" ht="2.25" customHeight="1" x14ac:dyDescent="0.35">
      <c r="B214" s="436"/>
      <c r="C214" s="852"/>
      <c r="D214" s="28"/>
      <c r="E214" s="853"/>
      <c r="F214" s="853"/>
      <c r="H214" s="853"/>
      <c r="I214" s="853"/>
      <c r="J214" s="14"/>
      <c r="K214" s="423"/>
      <c r="L214" s="455"/>
    </row>
    <row r="215" spans="2:12" ht="15" customHeight="1" x14ac:dyDescent="0.35">
      <c r="B215" s="436" t="s">
        <v>116</v>
      </c>
      <c r="C215" s="946"/>
      <c r="D215" s="28"/>
      <c r="E215" s="1060"/>
      <c r="F215" s="853"/>
      <c r="G215" s="1061"/>
      <c r="H215" s="853"/>
      <c r="I215" s="946"/>
      <c r="J215" s="14"/>
      <c r="K215" s="423">
        <f>MAX(AF363,AG363)</f>
        <v>0</v>
      </c>
      <c r="L215" s="455"/>
    </row>
    <row r="216" spans="2:12" ht="2.25" customHeight="1" x14ac:dyDescent="0.35">
      <c r="B216" s="436"/>
      <c r="C216" s="852"/>
      <c r="D216" s="28"/>
      <c r="E216" s="853"/>
      <c r="F216" s="853"/>
      <c r="H216" s="853"/>
      <c r="I216" s="853"/>
      <c r="J216" s="14"/>
      <c r="K216" s="423"/>
      <c r="L216" s="455"/>
    </row>
    <row r="217" spans="2:12" ht="15" customHeight="1" x14ac:dyDescent="0.35">
      <c r="B217" s="436" t="s">
        <v>117</v>
      </c>
      <c r="C217" s="946"/>
      <c r="D217" s="28"/>
      <c r="E217" s="1060"/>
      <c r="F217" s="853"/>
      <c r="G217" s="1061"/>
      <c r="H217" s="853"/>
      <c r="I217" s="946"/>
      <c r="J217" s="14"/>
      <c r="K217" s="423">
        <f>MAX(AF364,AG364)</f>
        <v>0</v>
      </c>
      <c r="L217" s="455"/>
    </row>
    <row r="218" spans="2:12" ht="2.25" customHeight="1" x14ac:dyDescent="0.35">
      <c r="B218" s="436"/>
      <c r="C218" s="1210"/>
      <c r="D218" s="28"/>
      <c r="E218" s="853"/>
      <c r="F218" s="853"/>
      <c r="G218" s="853"/>
      <c r="H218" s="853"/>
      <c r="I218" s="853"/>
      <c r="J218" s="14"/>
      <c r="K218" s="423"/>
      <c r="L218" s="455"/>
    </row>
    <row r="219" spans="2:12" ht="2.25" customHeight="1" x14ac:dyDescent="0.35">
      <c r="B219" s="436"/>
      <c r="C219" s="1220"/>
      <c r="D219" s="28"/>
      <c r="E219" s="853"/>
      <c r="F219" s="853"/>
      <c r="G219" s="853"/>
      <c r="H219" s="853"/>
      <c r="I219" s="853"/>
      <c r="J219" s="14"/>
      <c r="K219" s="423"/>
      <c r="L219" s="455"/>
    </row>
    <row r="220" spans="2:12" ht="17.25" customHeight="1" x14ac:dyDescent="0.35">
      <c r="B220" s="436"/>
      <c r="C220" s="860" t="s">
        <v>106</v>
      </c>
      <c r="D220" s="860"/>
      <c r="E220" s="860" t="s">
        <v>118</v>
      </c>
      <c r="F220" s="860"/>
      <c r="G220" s="860"/>
      <c r="H220" s="860"/>
      <c r="I220" s="860" t="s">
        <v>119</v>
      </c>
      <c r="J220" s="14"/>
      <c r="K220" s="423"/>
      <c r="L220" s="455"/>
    </row>
    <row r="221" spans="2:12" ht="17.25" customHeight="1" x14ac:dyDescent="0.35">
      <c r="B221" s="436" t="s">
        <v>120</v>
      </c>
      <c r="C221" s="946"/>
      <c r="D221" s="28"/>
      <c r="E221" s="946"/>
      <c r="F221" s="853"/>
      <c r="G221" s="853"/>
      <c r="H221" s="853"/>
      <c r="I221" s="946"/>
      <c r="J221" s="14"/>
      <c r="K221" s="423">
        <f>IF(E221=0,MAX(AF365:AG365),IF(I221=0,MAX(AF365:AG365),MIN(AF365:AG365)))</f>
        <v>0</v>
      </c>
      <c r="L221" s="455"/>
    </row>
    <row r="222" spans="2:12" ht="2.25" customHeight="1" x14ac:dyDescent="0.35">
      <c r="B222" s="436"/>
      <c r="C222" s="21"/>
      <c r="D222" s="21"/>
      <c r="E222" s="21"/>
      <c r="F222" s="21"/>
      <c r="G222" s="21"/>
      <c r="H222" s="21"/>
      <c r="I222" s="21"/>
      <c r="J222" s="14"/>
      <c r="K222" s="423"/>
      <c r="L222" s="455"/>
    </row>
    <row r="223" spans="2:12" ht="17.25" customHeight="1" x14ac:dyDescent="0.35">
      <c r="B223" s="436"/>
      <c r="C223" s="860" t="s">
        <v>106</v>
      </c>
      <c r="D223" s="21"/>
      <c r="E223" s="21"/>
      <c r="F223" s="21"/>
      <c r="G223" s="21"/>
      <c r="H223" s="21"/>
      <c r="I223" s="21"/>
      <c r="J223" s="14"/>
      <c r="K223" s="423"/>
      <c r="L223" s="455"/>
    </row>
    <row r="224" spans="2:12" ht="15" customHeight="1" x14ac:dyDescent="0.35">
      <c r="B224" s="436" t="s">
        <v>121</v>
      </c>
      <c r="C224" s="946">
        <v>8000</v>
      </c>
      <c r="D224" s="419"/>
      <c r="E224" s="422" t="s">
        <v>122</v>
      </c>
      <c r="F224" s="419"/>
      <c r="G224" s="419"/>
      <c r="H224" s="419"/>
      <c r="I224" s="419"/>
      <c r="J224" s="14"/>
      <c r="K224" s="425">
        <f>C224*0.456</f>
        <v>3648</v>
      </c>
      <c r="L224" s="455"/>
    </row>
    <row r="225" spans="1:14" ht="15" customHeight="1" x14ac:dyDescent="0.35">
      <c r="B225" s="436" t="s">
        <v>123</v>
      </c>
      <c r="C225" s="946"/>
      <c r="D225" s="21"/>
      <c r="E225" s="18"/>
      <c r="F225" s="21"/>
      <c r="G225" s="21"/>
      <c r="H225" s="21"/>
      <c r="I225" s="21"/>
      <c r="J225" s="14"/>
      <c r="K225" s="425">
        <f>C225*0.456</f>
        <v>0</v>
      </c>
      <c r="L225" s="455"/>
    </row>
    <row r="226" spans="1:14" ht="15" customHeight="1" x14ac:dyDescent="0.35">
      <c r="B226" s="436" t="s">
        <v>124</v>
      </c>
      <c r="C226" s="419"/>
      <c r="D226" s="21"/>
      <c r="E226" s="21"/>
      <c r="F226" s="21"/>
      <c r="G226" s="21"/>
      <c r="H226" s="21"/>
      <c r="I226" s="1219" t="s">
        <v>125</v>
      </c>
      <c r="J226" s="14"/>
      <c r="K226" s="946"/>
      <c r="L226" s="455"/>
      <c r="N226" s="1119"/>
    </row>
    <row r="227" spans="1:14" ht="3" customHeight="1" x14ac:dyDescent="0.35">
      <c r="B227" s="436"/>
      <c r="C227" s="419"/>
      <c r="D227" s="21"/>
      <c r="E227" s="21"/>
      <c r="F227" s="21"/>
      <c r="G227" s="21"/>
      <c r="H227" s="21"/>
      <c r="I227" s="21"/>
      <c r="J227" s="21"/>
      <c r="K227" s="426"/>
      <c r="L227" s="455"/>
      <c r="N227" s="1119"/>
    </row>
    <row r="228" spans="1:14" ht="13.5" customHeight="1" thickBot="1" x14ac:dyDescent="0.4">
      <c r="B228" s="435" t="s">
        <v>126</v>
      </c>
      <c r="C228" s="419"/>
      <c r="D228" s="21"/>
      <c r="E228" s="21"/>
      <c r="F228" s="21"/>
      <c r="G228" s="21"/>
      <c r="H228" s="21"/>
      <c r="I228" s="329"/>
      <c r="J228" s="19"/>
      <c r="K228" s="489">
        <f>SUM(K198:K226)</f>
        <v>1146879.150788669</v>
      </c>
      <c r="L228" s="455"/>
    </row>
    <row r="229" spans="1:14" ht="3" customHeight="1" thickTop="1" x14ac:dyDescent="0.35">
      <c r="B229" s="460"/>
      <c r="C229" s="21"/>
      <c r="D229" s="21"/>
      <c r="E229" s="21"/>
      <c r="F229" s="21"/>
      <c r="G229" s="21"/>
      <c r="H229" s="21"/>
      <c r="I229" s="329"/>
      <c r="J229" s="19"/>
      <c r="K229" s="24"/>
      <c r="L229" s="455"/>
    </row>
    <row r="230" spans="1:14" ht="15" customHeight="1" x14ac:dyDescent="0.35">
      <c r="B230" s="453" t="s">
        <v>127</v>
      </c>
      <c r="C230" s="383"/>
      <c r="D230" s="384"/>
      <c r="E230" s="383"/>
      <c r="F230" s="383"/>
      <c r="G230" s="383"/>
      <c r="H230" s="383"/>
      <c r="I230" s="383"/>
      <c r="J230" s="385"/>
      <c r="K230" s="386" t="s">
        <v>103</v>
      </c>
      <c r="L230" s="461"/>
    </row>
    <row r="231" spans="1:14" ht="3" customHeight="1" x14ac:dyDescent="0.35">
      <c r="B231" s="435"/>
      <c r="C231" s="427"/>
      <c r="D231" s="1099" t="s">
        <v>128</v>
      </c>
      <c r="E231" s="1100"/>
      <c r="F231" s="1100"/>
      <c r="G231" s="1100"/>
      <c r="H231" s="1100"/>
      <c r="I231" s="1100"/>
      <c r="J231" s="1100"/>
      <c r="K231" s="428"/>
      <c r="L231" s="455"/>
    </row>
    <row r="232" spans="1:14" ht="16.5" customHeight="1" x14ac:dyDescent="0.35">
      <c r="B232" s="462" t="s">
        <v>129</v>
      </c>
      <c r="C232" s="946">
        <v>10000</v>
      </c>
      <c r="D232" s="1091"/>
      <c r="E232" s="1241" t="s">
        <v>130</v>
      </c>
      <c r="F232" s="1242"/>
      <c r="G232" s="1242"/>
      <c r="H232" s="1242"/>
      <c r="I232" s="1242"/>
      <c r="J232" s="1091"/>
      <c r="K232" s="425">
        <f>LE_Basic*12</f>
        <v>120000</v>
      </c>
      <c r="L232" s="455"/>
    </row>
    <row r="233" spans="1:14" ht="56.65" customHeight="1" thickBot="1" x14ac:dyDescent="0.4">
      <c r="B233" s="1102"/>
      <c r="C233" s="1103"/>
      <c r="D233" s="1104"/>
      <c r="E233" s="1243"/>
      <c r="F233" s="1243"/>
      <c r="G233" s="1243"/>
      <c r="H233" s="1243"/>
      <c r="I233" s="1243"/>
      <c r="J233" s="1091"/>
      <c r="K233" s="425"/>
      <c r="L233" s="455"/>
    </row>
    <row r="234" spans="1:14" ht="3.75" customHeight="1" x14ac:dyDescent="0.35">
      <c r="B234" s="462"/>
      <c r="C234" s="429"/>
      <c r="D234" s="1091"/>
      <c r="E234" s="1105"/>
      <c r="F234" s="1105"/>
      <c r="G234" s="1105"/>
      <c r="H234" s="1105"/>
      <c r="I234" s="1105"/>
      <c r="J234" s="1091"/>
      <c r="K234" s="425"/>
      <c r="L234" s="455"/>
    </row>
    <row r="235" spans="1:14" ht="17.25" customHeight="1" x14ac:dyDescent="0.35">
      <c r="B235" s="463" t="s">
        <v>131</v>
      </c>
      <c r="C235" s="975">
        <v>240</v>
      </c>
      <c r="D235" s="1098"/>
      <c r="E235" s="1242" t="s">
        <v>132</v>
      </c>
      <c r="F235" s="1242"/>
      <c r="G235" s="1242"/>
      <c r="H235" s="1242"/>
      <c r="I235" s="1242"/>
      <c r="J235" s="1091"/>
      <c r="K235" s="425">
        <f>LE_Other*12</f>
        <v>2880</v>
      </c>
      <c r="L235" s="455"/>
    </row>
    <row r="236" spans="1:14" ht="27" customHeight="1" x14ac:dyDescent="0.35">
      <c r="B236" s="463"/>
      <c r="C236" s="1062"/>
      <c r="D236" s="1097"/>
      <c r="E236" s="1242"/>
      <c r="F236" s="1242"/>
      <c r="G236" s="1242"/>
      <c r="H236" s="1242"/>
      <c r="I236" s="1242"/>
      <c r="J236" s="1091"/>
      <c r="K236" s="425"/>
      <c r="L236" s="455"/>
    </row>
    <row r="237" spans="1:14" ht="22.5" customHeight="1" thickBot="1" x14ac:dyDescent="0.4">
      <c r="B237" s="436" t="s">
        <v>133</v>
      </c>
      <c r="C237" s="1106">
        <f>C232+C235</f>
        <v>10240</v>
      </c>
      <c r="D237" s="1101"/>
      <c r="E237" s="1244" t="s">
        <v>134</v>
      </c>
      <c r="F237" s="1245"/>
      <c r="G237" s="1245"/>
      <c r="H237" s="1245"/>
      <c r="I237" s="1245"/>
      <c r="J237" s="1091"/>
      <c r="K237" s="489">
        <f>C237*12</f>
        <v>122880</v>
      </c>
      <c r="L237" s="455"/>
      <c r="N237" s="1120"/>
    </row>
    <row r="238" spans="1:14" ht="30.75" customHeight="1" thickTop="1" thickBot="1" x14ac:dyDescent="0.4">
      <c r="B238" s="438"/>
      <c r="C238" s="1240" t="str">
        <f>IF(OR(BenchMarkHEMValue="-",OR(LE_Other="",LE_Basic="")),"",IF(OR(TotalDeclaredLivingExpense&lt;(0.6*BenchMarkHEMValue),AND(TotalDeclaredLivingExpense&lt;(0.8*BenchMarkHEMValue),K263&gt;6)),"Declared living expenses appear low in relation to HEM. Bank statements from the past 3 months will be required",""))</f>
        <v/>
      </c>
      <c r="D238" s="1240"/>
      <c r="E238" s="1240"/>
      <c r="F238" s="1240"/>
      <c r="G238" s="1240"/>
      <c r="H238" s="1240"/>
      <c r="I238" s="1240"/>
      <c r="J238" s="1091"/>
      <c r="K238" s="24"/>
      <c r="L238" s="455"/>
    </row>
    <row r="239" spans="1:14" ht="13.5" hidden="1" customHeight="1" thickBot="1" x14ac:dyDescent="0.4">
      <c r="A239" s="976"/>
      <c r="B239" s="444"/>
      <c r="C239" s="77">
        <v>1</v>
      </c>
      <c r="D239" s="77"/>
      <c r="E239" s="77">
        <v>2</v>
      </c>
      <c r="F239" s="77"/>
      <c r="G239" s="77">
        <v>3</v>
      </c>
      <c r="H239" s="77"/>
      <c r="I239" s="77">
        <v>4</v>
      </c>
      <c r="J239" s="78"/>
      <c r="K239" s="76"/>
      <c r="L239" s="449"/>
    </row>
    <row r="240" spans="1:14" ht="14.25" hidden="1" customHeight="1" thickBot="1" x14ac:dyDescent="0.4">
      <c r="A240" s="977" t="s">
        <v>135</v>
      </c>
      <c r="B240" s="464" t="s">
        <v>136</v>
      </c>
      <c r="C240" s="11" t="s">
        <v>3</v>
      </c>
      <c r="D240" s="12"/>
      <c r="E240" s="11" t="s">
        <v>4</v>
      </c>
      <c r="F240" s="11"/>
      <c r="G240" s="11" t="s">
        <v>5</v>
      </c>
      <c r="H240" s="11"/>
      <c r="I240" s="11" t="s">
        <v>6</v>
      </c>
      <c r="J240" s="11"/>
      <c r="K240" s="13" t="s">
        <v>83</v>
      </c>
      <c r="L240" s="465"/>
    </row>
    <row r="241" spans="1:14" ht="13.5" hidden="1" x14ac:dyDescent="0.35">
      <c r="A241" s="977" t="s">
        <v>137</v>
      </c>
      <c r="B241" s="466" t="s">
        <v>82</v>
      </c>
      <c r="C241" s="334">
        <f>C178</f>
        <v>1692350</v>
      </c>
      <c r="D241" s="334"/>
      <c r="E241" s="334">
        <f>E178</f>
        <v>282884.40000000002</v>
      </c>
      <c r="F241" s="334"/>
      <c r="G241" s="334">
        <f>G178</f>
        <v>0</v>
      </c>
      <c r="H241" s="334"/>
      <c r="I241" s="334">
        <f>I178</f>
        <v>0</v>
      </c>
      <c r="J241" s="334"/>
      <c r="K241" s="334">
        <f t="shared" ref="K241:K249" si="2" xml:space="preserve"> C241+E241+G241+I241</f>
        <v>1975234.4</v>
      </c>
      <c r="L241" s="467"/>
      <c r="N241" s="1117"/>
    </row>
    <row r="242" spans="1:14" ht="13.5" hidden="1" x14ac:dyDescent="0.35">
      <c r="A242" s="977" t="s">
        <v>138</v>
      </c>
      <c r="B242" s="466" t="s">
        <v>139</v>
      </c>
      <c r="C242" s="867">
        <f>IF(Total_Rental&gt;Total_Income,(C184/Total_Rental)*Total_Income,C184)</f>
        <v>109200</v>
      </c>
      <c r="D242" s="334"/>
      <c r="E242" s="334">
        <f>IF(Total_Rental&gt;Total_Income,(E184/Total_Rental)*Total_Income,E184)</f>
        <v>0</v>
      </c>
      <c r="F242" s="334"/>
      <c r="G242" s="334">
        <f>IF(Total_Rental&gt;Total_Income,(G184/Total_Rental)*Total_Income,G184)</f>
        <v>0</v>
      </c>
      <c r="H242" s="334"/>
      <c r="I242" s="334">
        <f>IF(Total_Rental&gt;Total_Income,(I184/Total_Rental)*Total_Income,I184)</f>
        <v>0</v>
      </c>
      <c r="J242" s="334"/>
      <c r="K242" s="334">
        <f xml:space="preserve"> C242+E242+G242+I242</f>
        <v>109200</v>
      </c>
      <c r="L242" s="467"/>
      <c r="N242" s="1117"/>
    </row>
    <row r="243" spans="1:14" ht="12" hidden="1" customHeight="1" x14ac:dyDescent="0.35">
      <c r="A243" s="977" t="s">
        <v>140</v>
      </c>
      <c r="B243" s="466" t="s">
        <v>141</v>
      </c>
      <c r="C243" s="978">
        <f>MIN(0,-VALUE(MIN(_NGB1*1,IF(LMIcap_flag="Y",MAX(Loanamt,Final_Loan),Loanamt)))*IF(Bwr_rate=1,0,Bwr_rate))</f>
        <v>-255374</v>
      </c>
      <c r="D243" s="334"/>
      <c r="E243" s="978">
        <f>MIN(0,-VALUE(MIN(_NGB2*1,IF(LMIcap_flag="Y",MAX(Loanamt,Final_Loan),Loanamt)-_NGB1))*IF(Bwr_rate=1,0,Bwr_rate))</f>
        <v>0</v>
      </c>
      <c r="F243" s="334"/>
      <c r="G243" s="978">
        <f>MIN(0,-VALUE(MIN(_NGB3*1,IF(LMIcap_flag="Y",MAX(Loanamt,Final_Loan),Loanamt)-_NGB2-_NGB1))*IF(Bwr_rate=1,0,Bwr_rate))</f>
        <v>0</v>
      </c>
      <c r="H243" s="334"/>
      <c r="I243" s="978">
        <f>MIN(0,-VALUE(MIN(_NGB4*1,IF(LMIcap_flag="Y",MAX(Loanamt,Final_Loan),Loanamt)-_NGB3-_NGB2-_NGB1))*IF(Bwr_rate=1,0,Bwr_rate))</f>
        <v>0</v>
      </c>
      <c r="J243" s="334"/>
      <c r="K243" s="334">
        <f t="shared" si="2"/>
        <v>-255374</v>
      </c>
      <c r="L243" s="467"/>
      <c r="N243" s="1117"/>
    </row>
    <row r="244" spans="1:14" ht="12" hidden="1" customHeight="1" x14ac:dyDescent="0.35">
      <c r="A244" s="977"/>
      <c r="B244" s="466" t="s">
        <v>142</v>
      </c>
      <c r="C244" s="978">
        <f>-NGB_other1*(Bwr_rate)</f>
        <v>0</v>
      </c>
      <c r="D244" s="334"/>
      <c r="E244" s="978">
        <f>-NGB_other2*(Bwr_rate)</f>
        <v>0</v>
      </c>
      <c r="F244" s="334"/>
      <c r="G244" s="978">
        <f>-NGB_other3*(Bwr_rate)</f>
        <v>0</v>
      </c>
      <c r="H244" s="334"/>
      <c r="I244" s="978">
        <f>-NGB_other4*(Bwr_rate)</f>
        <v>0</v>
      </c>
      <c r="J244" s="334"/>
      <c r="K244" s="334">
        <f t="shared" si="2"/>
        <v>0</v>
      </c>
      <c r="L244" s="467"/>
      <c r="N244" s="1117"/>
    </row>
    <row r="245" spans="1:14" ht="13.5" hidden="1" x14ac:dyDescent="0.35">
      <c r="A245" s="977" t="s">
        <v>143</v>
      </c>
      <c r="B245" s="466" t="s">
        <v>144</v>
      </c>
      <c r="C245" s="334">
        <f>IF(C243+C244&gt;-(C241+C242),C243+C244,-(C241+C242))</f>
        <v>-255374</v>
      </c>
      <c r="D245" s="334"/>
      <c r="E245" s="334">
        <f>IF(E243+E244&gt;-(E241+E242),E243+E244,-(E241+E242))</f>
        <v>0</v>
      </c>
      <c r="F245" s="334"/>
      <c r="G245" s="334">
        <f>IF(G243+G244&gt;-(G241+G242),G243+G244,-(G241+G242))</f>
        <v>0</v>
      </c>
      <c r="H245" s="334"/>
      <c r="I245" s="334">
        <f>IF(I243+I244&gt;-(I241+I242),I243+I244,-(I241+I242))</f>
        <v>0</v>
      </c>
      <c r="J245" s="334"/>
      <c r="K245" s="334">
        <f t="shared" si="2"/>
        <v>-255374</v>
      </c>
      <c r="L245" s="467"/>
      <c r="N245" s="1117"/>
    </row>
    <row r="246" spans="1:14" hidden="1" x14ac:dyDescent="0.35">
      <c r="A246" s="977"/>
      <c r="B246" s="466" t="s">
        <v>145</v>
      </c>
      <c r="C246" s="334">
        <f>MAX(0,(SUM(IPE_Other1,IPE_Security1))-((RentalInc1+RentalIncOth1)*0.2))</f>
        <v>0</v>
      </c>
      <c r="D246" s="334"/>
      <c r="E246" s="334">
        <f>MAX(0,(SUM(IPE_Other2,IPE_Security2))-((RentalInc2+RentalIncOth2)*0.2))</f>
        <v>0</v>
      </c>
      <c r="F246" s="334"/>
      <c r="G246" s="334">
        <f>MAX(0,(SUM(IPE_Other3,IPE_Security3))-((RentalInc3+RentalIncOth3)*0.2))</f>
        <v>0</v>
      </c>
      <c r="H246" s="334"/>
      <c r="I246" s="334">
        <f>MAX(0,(SUM(IPE_Other4,IPE_Security4))-((RentalInc4+RentalIncOth4)*0.2))</f>
        <v>0</v>
      </c>
      <c r="J246" s="334"/>
      <c r="K246" s="334"/>
      <c r="L246" s="467"/>
      <c r="N246" s="1117"/>
    </row>
    <row r="247" spans="1:14" ht="13.5" hidden="1" x14ac:dyDescent="0.35">
      <c r="A247" s="977" t="s">
        <v>146</v>
      </c>
      <c r="B247" s="468" t="s">
        <v>60</v>
      </c>
      <c r="C247" s="335">
        <f>MAX(0,C241+C242+C243+C244)-C175-C246</f>
        <v>1546176</v>
      </c>
      <c r="D247" s="335"/>
      <c r="E247" s="335">
        <f>MAX(0,E241+E242+E243+E244)-E175-E246</f>
        <v>282884.40000000002</v>
      </c>
      <c r="F247" s="335"/>
      <c r="G247" s="335">
        <f>MAX(0,G241+G242+G243+G244)-G175-G246</f>
        <v>0</v>
      </c>
      <c r="H247" s="335"/>
      <c r="I247" s="335">
        <f>MAX(0,I241+I242+I243+I244)-I175-I246</f>
        <v>0</v>
      </c>
      <c r="J247" s="335"/>
      <c r="K247" s="335">
        <f t="shared" si="2"/>
        <v>1829060.4</v>
      </c>
      <c r="L247" s="467"/>
      <c r="N247" s="1121"/>
    </row>
    <row r="248" spans="1:14" ht="13.5" hidden="1" x14ac:dyDescent="0.35">
      <c r="A248" s="977" t="s">
        <v>147</v>
      </c>
      <c r="B248" s="466" t="s">
        <v>148</v>
      </c>
      <c r="C248" s="334">
        <f>IF(C247&lt;=0,0,References!F20+C247*Medicare)</f>
        <v>692840.72000000009</v>
      </c>
      <c r="D248" s="334"/>
      <c r="E248" s="334">
        <f>IF(E247&lt;=0,0,References!G20+E247*Medicare)</f>
        <v>99093.668000000005</v>
      </c>
      <c r="F248" s="334"/>
      <c r="G248" s="334">
        <f>IF(G247&lt;=0,0,References!H20+G247*Medicare)</f>
        <v>0</v>
      </c>
      <c r="H248" s="334"/>
      <c r="I248" s="334">
        <f>IF(I247&lt;=0,0,References!I20+I247*Medicare)</f>
        <v>0</v>
      </c>
      <c r="J248" s="334"/>
      <c r="K248" s="334">
        <f t="shared" si="2"/>
        <v>791934.38800000004</v>
      </c>
      <c r="L248" s="467"/>
      <c r="N248" s="1121"/>
    </row>
    <row r="249" spans="1:14" ht="13.5" hidden="1" customHeight="1" x14ac:dyDescent="0.35">
      <c r="A249" s="977" t="s">
        <v>149</v>
      </c>
      <c r="B249" s="468" t="s">
        <v>150</v>
      </c>
      <c r="C249" s="335">
        <f>IF(AND(Inc_Tier="Y",C78=""),0,C247-C248+C175-C245)</f>
        <v>1108709.2799999998</v>
      </c>
      <c r="D249" s="335"/>
      <c r="E249" s="335">
        <f>IF(AND(Inc_Tier="Y",E78=""),0,E247-E248+E175-E245)</f>
        <v>183790.73200000002</v>
      </c>
      <c r="F249" s="335"/>
      <c r="G249" s="335">
        <f>IF(AND(Inc_Tier="Y",G78=""),0,G247-G248+G175-G245)</f>
        <v>0</v>
      </c>
      <c r="H249" s="335"/>
      <c r="I249" s="335">
        <f>IF(AND(Inc_Tier="Y",I78=""),0,I247-I248+I175-I245)</f>
        <v>0</v>
      </c>
      <c r="J249" s="335"/>
      <c r="K249" s="335">
        <f t="shared" si="2"/>
        <v>1292500.0119999999</v>
      </c>
      <c r="L249" s="467"/>
      <c r="N249" s="1117"/>
    </row>
    <row r="250" spans="1:14" ht="5.25" hidden="1" customHeight="1" x14ac:dyDescent="0.35">
      <c r="A250" s="977"/>
      <c r="B250" s="466"/>
      <c r="C250" s="867"/>
      <c r="D250" s="867"/>
      <c r="E250" s="867"/>
      <c r="F250" s="867"/>
      <c r="G250" s="867"/>
      <c r="H250" s="867"/>
      <c r="I250" s="867"/>
      <c r="J250" s="867"/>
      <c r="K250" s="867"/>
      <c r="L250" s="467"/>
      <c r="N250" s="1117"/>
    </row>
    <row r="251" spans="1:14" ht="12.75" hidden="1" customHeight="1" x14ac:dyDescent="0.35">
      <c r="A251" s="977"/>
      <c r="B251" s="466" t="s">
        <v>151</v>
      </c>
      <c r="C251" s="336">
        <f>IF(AND(C241+C242&gt;0,C78=""),"",1)</f>
        <v>1</v>
      </c>
      <c r="D251" s="336"/>
      <c r="E251" s="336">
        <f>IF(AND(E241+E242&gt;0,E78=""),"",1)</f>
        <v>1</v>
      </c>
      <c r="F251" s="336"/>
      <c r="G251" s="336">
        <f>IF(AND(G241+G242&gt;0,G78=""),"",1)</f>
        <v>1</v>
      </c>
      <c r="H251" s="336"/>
      <c r="I251" s="336">
        <f>IF(AND(I241+I242&gt;0,I78=""),"",1)</f>
        <v>1</v>
      </c>
      <c r="J251" s="867"/>
      <c r="K251" s="334"/>
      <c r="L251" s="467"/>
      <c r="N251" s="1117"/>
    </row>
    <row r="252" spans="1:14" hidden="1" x14ac:dyDescent="0.35">
      <c r="A252" s="977"/>
      <c r="B252" s="466" t="s">
        <v>152</v>
      </c>
      <c r="C252" s="867"/>
      <c r="D252" s="867"/>
      <c r="E252" s="867"/>
      <c r="F252" s="867"/>
      <c r="G252" s="867"/>
      <c r="H252" s="867"/>
      <c r="I252" s="867"/>
      <c r="J252" s="867"/>
      <c r="K252" s="334">
        <f>MAX(K92,K232)+K235</f>
        <v>122880</v>
      </c>
      <c r="L252" s="467"/>
      <c r="N252" s="1117"/>
    </row>
    <row r="253" spans="1:14" hidden="1" x14ac:dyDescent="0.35">
      <c r="A253" s="977"/>
      <c r="B253" s="468" t="s">
        <v>153</v>
      </c>
      <c r="C253" s="1259" t="s">
        <v>154</v>
      </c>
      <c r="D253" s="1260"/>
      <c r="E253" s="1260"/>
      <c r="F253" s="1260"/>
      <c r="G253" s="1260"/>
      <c r="H253" s="1260"/>
      <c r="I253" s="1261"/>
      <c r="J253" s="337"/>
      <c r="K253" s="335">
        <f>K249-K252</f>
        <v>1169620.0119999999</v>
      </c>
      <c r="L253" s="467"/>
      <c r="N253" s="1117"/>
    </row>
    <row r="254" spans="1:14" hidden="1" x14ac:dyDescent="0.35">
      <c r="A254" s="977"/>
      <c r="B254" s="466" t="s">
        <v>155</v>
      </c>
      <c r="C254" s="1262"/>
      <c r="D254" s="1263"/>
      <c r="E254" s="1263"/>
      <c r="F254" s="1263"/>
      <c r="G254" s="1263"/>
      <c r="H254" s="1263"/>
      <c r="I254" s="1264"/>
      <c r="J254" s="867"/>
      <c r="K254" s="334">
        <f>K228</f>
        <v>1146879.150788669</v>
      </c>
      <c r="L254" s="467"/>
      <c r="N254" s="1117"/>
    </row>
    <row r="255" spans="1:14" ht="3.75" hidden="1" customHeight="1" thickBot="1" x14ac:dyDescent="0.4">
      <c r="A255" s="977"/>
      <c r="B255" s="466"/>
      <c r="C255" s="474"/>
      <c r="D255" s="474"/>
      <c r="E255" s="474"/>
      <c r="F255" s="474"/>
      <c r="G255" s="474"/>
      <c r="H255" s="474"/>
      <c r="I255" s="474"/>
      <c r="J255" s="338"/>
      <c r="K255" s="337"/>
      <c r="L255" s="467"/>
    </row>
    <row r="256" spans="1:14" ht="2.25" customHeight="1" x14ac:dyDescent="0.4">
      <c r="B256" s="475"/>
      <c r="C256" s="476"/>
      <c r="D256" s="476"/>
      <c r="E256" s="476"/>
      <c r="F256" s="476"/>
      <c r="G256" s="476"/>
      <c r="H256" s="476"/>
      <c r="I256" s="476"/>
      <c r="J256" s="476"/>
      <c r="K256" s="476"/>
      <c r="L256" s="477"/>
    </row>
    <row r="257" spans="1:16" ht="3" customHeight="1" thickBot="1" x14ac:dyDescent="0.45">
      <c r="B257" s="481"/>
      <c r="C257" s="1268" t="s">
        <v>156</v>
      </c>
      <c r="D257" s="1269"/>
      <c r="E257" s="1269"/>
      <c r="F257" s="1269"/>
      <c r="G257" s="1269"/>
      <c r="H257" s="1269"/>
      <c r="I257" s="1270"/>
      <c r="J257" s="392"/>
      <c r="K257" s="392"/>
      <c r="L257" s="469"/>
    </row>
    <row r="258" spans="1:16" ht="19.5" customHeight="1" thickBot="1" x14ac:dyDescent="0.4">
      <c r="B258" s="1067" t="s">
        <v>157</v>
      </c>
      <c r="C258" s="1271"/>
      <c r="D258" s="1272"/>
      <c r="E258" s="1272"/>
      <c r="F258" s="1272"/>
      <c r="G258" s="1272"/>
      <c r="H258" s="1272"/>
      <c r="I258" s="1273"/>
      <c r="J258" s="391"/>
      <c r="K258" s="1089">
        <f>IFERROR(K253-K254,"")</f>
        <v>22740.861211330863</v>
      </c>
      <c r="L258" s="469"/>
    </row>
    <row r="259" spans="1:16" ht="3" customHeight="1" thickBot="1" x14ac:dyDescent="0.4">
      <c r="B259" s="470"/>
      <c r="C259" s="391"/>
      <c r="D259" s="391"/>
      <c r="E259" s="391"/>
      <c r="F259" s="391"/>
      <c r="G259" s="391"/>
      <c r="H259" s="391"/>
      <c r="I259" s="391"/>
      <c r="J259" s="391"/>
      <c r="K259" s="393"/>
      <c r="L259" s="469"/>
    </row>
    <row r="260" spans="1:16" ht="45" customHeight="1" thickBot="1" x14ac:dyDescent="0.4">
      <c r="B260" s="1067" t="s">
        <v>158</v>
      </c>
      <c r="C260" s="1274" t="str">
        <f>IFERROR(IF(OR(AND(Acct1LoanAmt &gt;0,Acct1LoanIntRate=""),AND(Acct2LoanAmt &gt;0,Acct2LoanIntRate=""),AND(Acct3LoanAmt &gt;0,Acct3LoanIntRate=""),AND(Acct4LoanAmt &gt;0,Acct4LoanIntRate=""),AND(Acct5LoanAmt &gt;0,Acct5LoanIntRate=""),AND(Acct6LoanAmt &gt;0,Acct6LoanIntRate=""))," Please enter carded rate per account (For fixed rate accounts, enter higher of fixed or revert rate)",IF(AND(Final_Loan&gt;0,OR(LE_Basic="",LE_Basic=0,LE_Other="")),"Please enter living expense amounts",IF(AND(Final_Loan&gt;0,COUNTA(C61:K61)=0,Inc_Tier="Y"),"Must enter relationship status",IF(AND(ROUND(SURPLUS,0)&gt;0,ROUND(SURPLUS,0)&lt;500,TotalDeclaredLivingExpense&lt;(BenchMarkHEMValue*1.2)),NSRTest4,IF(NSR&lt;BaseNSR,NSRTest3,NSRTest1))))),"")</f>
        <v>Passes serviceability test</v>
      </c>
      <c r="D260" s="1275"/>
      <c r="E260" s="1275"/>
      <c r="F260" s="1275"/>
      <c r="G260" s="1275"/>
      <c r="H260" s="1275"/>
      <c r="I260" s="1276"/>
      <c r="J260" s="391"/>
      <c r="K260" s="431">
        <f>IF(AND(Final_Loan&gt;0,OR(Bwr_rate="",LE_Basic="",LE_Basic=0,LE_Other="")),"",IF(AND(Inc_Tier="Y",COUNTA(C78:I78)=0),"",IF(ISERROR(K253/K254),"",TRUNC(K253/K254,2))))</f>
        <v>1.01</v>
      </c>
      <c r="L260" s="471">
        <f>IF(C260=NSRTest2,NSR+2,IF(C260=NSRTest3,NSR+1,NSR))</f>
        <v>1.01</v>
      </c>
      <c r="M260" s="1290" t="str">
        <f>IF(AND(FinalLVR&gt;90%,NSR&lt;1.2,TRUE=FALSE),"Where final LVR &gt; 90%, min NSR of 1.20 required","")</f>
        <v/>
      </c>
      <c r="N260" s="1291"/>
      <c r="O260" s="1291"/>
      <c r="P260" s="1291"/>
    </row>
    <row r="261" spans="1:16" ht="3" customHeight="1" thickBot="1" x14ac:dyDescent="0.45">
      <c r="B261" s="482"/>
      <c r="C261" s="391"/>
      <c r="D261" s="391"/>
      <c r="E261" s="391"/>
      <c r="F261" s="391"/>
      <c r="G261" s="391"/>
      <c r="H261" s="391"/>
      <c r="I261" s="391"/>
      <c r="J261" s="391"/>
      <c r="K261" s="391"/>
      <c r="L261" s="471"/>
    </row>
    <row r="262" spans="1:16" ht="18.75" hidden="1" customHeight="1" thickBot="1" x14ac:dyDescent="0.45">
      <c r="A262" s="952" t="s">
        <v>159</v>
      </c>
      <c r="B262" s="482" t="s">
        <v>160</v>
      </c>
      <c r="C262" s="391"/>
      <c r="D262" s="391"/>
      <c r="E262" s="391"/>
      <c r="F262" s="391"/>
      <c r="G262" s="391"/>
      <c r="H262" s="391"/>
      <c r="I262" s="391"/>
      <c r="J262" s="391"/>
      <c r="K262" s="1087">
        <f>IF(ISERROR((K198-Security_Property*80%)/(K178+Other_Property*80%-OtherMortAmt-PersLoanAmt-K224-K225-RentAmt)),"",(K198-Security_Property*80%)/MAX(0,(K178+Other_Property*80%-OtherMortAmt-PersLoanAmt-K224-K225-RentAmt)))</f>
        <v>0.24227082764351368</v>
      </c>
      <c r="L262" s="471"/>
    </row>
    <row r="263" spans="1:16" ht="18.75" customHeight="1" thickBot="1" x14ac:dyDescent="0.4">
      <c r="A263" s="1088"/>
      <c r="B263" s="1067" t="s">
        <v>161</v>
      </c>
      <c r="C263" s="1239" t="str">
        <f>IF(K263="","",IF(K263&gt;8,"(DTI &gt; 8) outside policy",IF(AND(IFERROR(K263,0)&gt;6,FinalLVR&gt;80%),"(DTI &gt; 6.00 and LVR &gt; 80%) outside policy","")))</f>
        <v/>
      </c>
      <c r="D263" s="1239"/>
      <c r="E263" s="1239"/>
      <c r="F263" s="1239"/>
      <c r="G263" s="1239"/>
      <c r="H263" s="1239"/>
      <c r="I263" s="1239"/>
      <c r="J263" s="391"/>
      <c r="K263" s="1090">
        <f>IF(Couple_Single_1="","",IF(ISERROR(DTI), 0, ROUND(DTI,2)))</f>
        <v>5.47</v>
      </c>
      <c r="L263" s="1096"/>
    </row>
    <row r="264" spans="1:16" ht="3" customHeight="1" thickBot="1" x14ac:dyDescent="0.45">
      <c r="B264" s="478"/>
      <c r="C264" s="479"/>
      <c r="D264" s="479"/>
      <c r="E264" s="479"/>
      <c r="F264" s="479"/>
      <c r="G264" s="479"/>
      <c r="H264" s="479"/>
      <c r="I264" s="479"/>
      <c r="J264" s="479"/>
      <c r="K264" s="479"/>
      <c r="L264" s="480"/>
    </row>
    <row r="265" spans="1:16" ht="7.5" hidden="1" customHeight="1" x14ac:dyDescent="0.4">
      <c r="A265" s="953"/>
      <c r="B265" s="812"/>
      <c r="C265" s="813"/>
      <c r="D265" s="813"/>
      <c r="E265" s="813"/>
      <c r="F265" s="813"/>
      <c r="G265" s="813"/>
      <c r="H265" s="813"/>
      <c r="I265" s="813"/>
      <c r="J265" s="483"/>
      <c r="K265" s="483"/>
      <c r="L265" s="484"/>
    </row>
    <row r="266" spans="1:16" ht="13.5" hidden="1" customHeight="1" x14ac:dyDescent="0.35">
      <c r="A266" s="952" t="s">
        <v>159</v>
      </c>
      <c r="B266" s="844" t="s">
        <v>162</v>
      </c>
      <c r="C266" s="1237" t="str">
        <f>"Based on "&amp;TEXT(VLOOKUP(AE342,W335:Z339,3,0),"0.0")&amp;" NSR"</f>
        <v>Based on 1.0 NSR</v>
      </c>
      <c r="D266" s="1238"/>
      <c r="E266" s="811">
        <f>IF(Bwr_rate="","",IF(ISERROR(MAX(MIN(AE346,K291),0.0001)),0.0001,MAX(MIN(AE346,K291),0.0001)))</f>
        <v>4280000</v>
      </c>
      <c r="F266" s="1288" t="s">
        <v>163</v>
      </c>
      <c r="G266" s="1289"/>
      <c r="H266" s="1289"/>
      <c r="I266" s="1289"/>
      <c r="J266" s="1289"/>
      <c r="K266" s="868">
        <f>IF(Bwr_rate="","",IF(ISERROR(MAX(MIN(AE347,K291),0.0001)),0.0001,MAX(MIN(AE347,K291),0.0001)))</f>
        <v>4280000</v>
      </c>
      <c r="L266" s="472"/>
      <c r="N266" s="1122"/>
    </row>
    <row r="267" spans="1:16" ht="14.25" hidden="1" customHeight="1" thickBot="1" x14ac:dyDescent="0.45">
      <c r="A267" s="953"/>
      <c r="B267" s="814"/>
      <c r="C267" s="815"/>
      <c r="D267" s="815"/>
      <c r="E267" s="815"/>
      <c r="F267" s="815"/>
      <c r="G267" s="815"/>
      <c r="H267" s="815"/>
      <c r="I267" s="815"/>
      <c r="J267" s="486"/>
      <c r="K267" s="486"/>
      <c r="L267" s="487"/>
    </row>
    <row r="268" spans="1:16" ht="30.75" customHeight="1" thickBot="1" x14ac:dyDescent="0.4">
      <c r="A268" s="853"/>
      <c r="B268" s="1234" t="s">
        <v>164</v>
      </c>
      <c r="C268" s="1235"/>
      <c r="D268" s="1235"/>
      <c r="E268" s="1235"/>
      <c r="F268" s="1235"/>
      <c r="G268" s="1235"/>
      <c r="H268" s="1235"/>
      <c r="I268" s="1235"/>
      <c r="J268" s="1235"/>
      <c r="K268" s="1235"/>
      <c r="L268" s="1236"/>
      <c r="N268" s="1123"/>
    </row>
    <row r="269" spans="1:16" ht="67.5" customHeight="1" x14ac:dyDescent="0.35">
      <c r="A269" s="853"/>
      <c r="B269" s="1253" t="s">
        <v>165</v>
      </c>
      <c r="C269" s="1254"/>
      <c r="D269" s="1254"/>
      <c r="E269" s="1254"/>
      <c r="F269" s="1254"/>
      <c r="G269" s="1254"/>
      <c r="H269" s="1254"/>
      <c r="I269" s="1254"/>
      <c r="J269" s="1254"/>
      <c r="K269" s="1254"/>
      <c r="L269" s="1255"/>
      <c r="N269" s="1123"/>
    </row>
    <row r="270" spans="1:16" ht="1.1499999999999999" customHeight="1" x14ac:dyDescent="0.35">
      <c r="A270" s="853"/>
      <c r="B270" s="1159"/>
      <c r="C270" s="1159"/>
      <c r="D270" s="1159"/>
      <c r="E270" s="1159"/>
      <c r="F270" s="1159"/>
      <c r="G270" s="1159"/>
      <c r="H270" s="1159"/>
      <c r="I270" s="1159"/>
      <c r="J270" s="1159"/>
      <c r="K270" s="1159"/>
      <c r="L270" s="1159"/>
      <c r="N270" s="1123"/>
    </row>
    <row r="271" spans="1:16" ht="1.9" customHeight="1" x14ac:dyDescent="0.35">
      <c r="A271" s="853"/>
      <c r="B271" s="1159"/>
      <c r="C271" s="1159"/>
      <c r="D271" s="1159"/>
      <c r="E271" s="1159"/>
      <c r="F271" s="1159"/>
      <c r="G271" s="1159"/>
      <c r="H271" s="1159"/>
      <c r="I271" s="1159"/>
      <c r="J271" s="1159"/>
      <c r="K271" s="1159"/>
      <c r="L271" s="1159"/>
      <c r="N271" s="1123"/>
    </row>
    <row r="272" spans="1:16" ht="9.75" hidden="1" customHeight="1" x14ac:dyDescent="0.35">
      <c r="A272" s="952" t="s">
        <v>135</v>
      </c>
      <c r="B272" s="1159"/>
      <c r="C272" s="1159"/>
      <c r="D272" s="1159"/>
      <c r="E272" s="1159"/>
      <c r="F272" s="1159"/>
      <c r="G272" s="1159"/>
      <c r="H272" s="1159"/>
      <c r="I272" s="1159"/>
      <c r="J272" s="1159"/>
      <c r="K272" s="1159"/>
      <c r="L272" s="1159"/>
      <c r="N272" s="1123"/>
    </row>
    <row r="273" spans="1:44" ht="9.75" hidden="1" customHeight="1" x14ac:dyDescent="0.35">
      <c r="A273" s="979" t="s">
        <v>137</v>
      </c>
      <c r="B273" s="1159"/>
      <c r="C273" s="1160"/>
      <c r="D273" s="1160"/>
      <c r="E273" s="1160"/>
      <c r="F273" s="1160"/>
      <c r="G273" s="1160"/>
      <c r="H273" s="1160"/>
      <c r="I273" s="1160"/>
      <c r="J273" s="1160"/>
      <c r="K273" s="1160"/>
      <c r="L273" s="1160"/>
      <c r="M273" s="1111"/>
      <c r="N273" s="1123"/>
    </row>
    <row r="274" spans="1:44" ht="12" hidden="1" customHeight="1" thickBot="1" x14ac:dyDescent="0.4">
      <c r="A274" s="953" t="s">
        <v>138</v>
      </c>
      <c r="B274" s="8"/>
      <c r="C274" s="8"/>
      <c r="D274" s="8"/>
      <c r="E274" s="8"/>
      <c r="F274" s="8"/>
      <c r="G274" s="8"/>
      <c r="H274" s="8"/>
      <c r="I274" s="8"/>
      <c r="J274" s="8"/>
      <c r="K274" s="8"/>
    </row>
    <row r="275" spans="1:44" ht="12.75" hidden="1" customHeight="1" x14ac:dyDescent="0.35">
      <c r="A275" s="953" t="s">
        <v>140</v>
      </c>
      <c r="B275" s="4" t="s">
        <v>166</v>
      </c>
      <c r="C275" s="315">
        <v>2</v>
      </c>
    </row>
    <row r="276" spans="1:44" ht="12.75" hidden="1" customHeight="1" x14ac:dyDescent="0.35">
      <c r="A276" s="953"/>
      <c r="L276" s="4"/>
      <c r="M276" s="980"/>
    </row>
    <row r="277" spans="1:44" ht="12.75" hidden="1" customHeight="1" x14ac:dyDescent="0.35">
      <c r="A277" s="953" t="s">
        <v>143</v>
      </c>
      <c r="B277" s="845" t="s">
        <v>82</v>
      </c>
      <c r="C277" s="846">
        <f>C241</f>
        <v>1692350</v>
      </c>
      <c r="D277" s="980"/>
      <c r="E277" s="846">
        <f>E241</f>
        <v>282884.40000000002</v>
      </c>
      <c r="F277" s="980"/>
      <c r="G277" s="846">
        <f>G241</f>
        <v>0</v>
      </c>
      <c r="H277" s="980"/>
      <c r="I277" s="846">
        <f>I241</f>
        <v>0</v>
      </c>
      <c r="J277" s="9"/>
      <c r="L277" s="4"/>
      <c r="M277" s="980"/>
    </row>
    <row r="278" spans="1:44" ht="12.75" hidden="1" customHeight="1" x14ac:dyDescent="0.35">
      <c r="A278" s="953" t="s">
        <v>146</v>
      </c>
      <c r="B278" s="845" t="s">
        <v>167</v>
      </c>
      <c r="C278" s="846">
        <f>C242</f>
        <v>109200</v>
      </c>
      <c r="D278" s="980"/>
      <c r="E278" s="846">
        <f>E242</f>
        <v>0</v>
      </c>
      <c r="F278" s="980"/>
      <c r="G278" s="846">
        <f>G242</f>
        <v>0</v>
      </c>
      <c r="H278" s="980"/>
      <c r="I278" s="846">
        <f>I242</f>
        <v>0</v>
      </c>
      <c r="J278" s="9"/>
      <c r="K278" s="5"/>
      <c r="L278" s="4"/>
      <c r="M278" s="980"/>
    </row>
    <row r="279" spans="1:44" ht="12.75" hidden="1" customHeight="1" x14ac:dyDescent="0.35">
      <c r="A279" s="953" t="s">
        <v>147</v>
      </c>
      <c r="B279" s="9" t="s">
        <v>90</v>
      </c>
      <c r="C279" s="125">
        <f>C175</f>
        <v>0</v>
      </c>
      <c r="E279" s="125">
        <f>E175</f>
        <v>0</v>
      </c>
      <c r="G279" s="125">
        <f>G175</f>
        <v>0</v>
      </c>
      <c r="I279" s="125">
        <f>I175</f>
        <v>0</v>
      </c>
      <c r="J279" s="9"/>
      <c r="K279" s="23"/>
      <c r="L279" s="4"/>
      <c r="M279" s="980"/>
    </row>
    <row r="280" spans="1:44" ht="12.75" hidden="1" customHeight="1" x14ac:dyDescent="0.35">
      <c r="A280" s="953" t="s">
        <v>149</v>
      </c>
      <c r="B280" s="10" t="s">
        <v>168</v>
      </c>
      <c r="C280" s="10"/>
      <c r="J280" s="9"/>
      <c r="K280" s="5"/>
      <c r="L280" s="4"/>
      <c r="M280" s="980"/>
    </row>
    <row r="281" spans="1:44" ht="12.75" hidden="1" customHeight="1" x14ac:dyDescent="0.35">
      <c r="A281" s="953"/>
      <c r="B281" s="9" t="s">
        <v>169</v>
      </c>
      <c r="C281" s="125">
        <f>MIN(C187*1,Loanamt)</f>
        <v>4060000</v>
      </c>
      <c r="E281" s="125">
        <f>MIN(_NGB2*1,Loanamt-C281)</f>
        <v>0</v>
      </c>
      <c r="G281" s="125">
        <f>MIN(_NGB3*1,Loanamt-E281-C281)</f>
        <v>0</v>
      </c>
      <c r="I281" s="125">
        <f>MIN(_NGB4*1,Loanamt-G281-E281-C281)</f>
        <v>0</v>
      </c>
      <c r="J281" s="9"/>
      <c r="K281" s="23">
        <f>C281+E281+G281+I281</f>
        <v>4060000</v>
      </c>
      <c r="L281" s="23"/>
    </row>
    <row r="282" spans="1:44" ht="12.75" hidden="1" customHeight="1" x14ac:dyDescent="0.35">
      <c r="A282" s="953"/>
      <c r="B282" s="9" t="s">
        <v>170</v>
      </c>
      <c r="C282" s="125">
        <f>C188</f>
        <v>0</v>
      </c>
      <c r="E282" s="125">
        <f>E188</f>
        <v>0</v>
      </c>
      <c r="G282" s="125">
        <f>G188</f>
        <v>0</v>
      </c>
      <c r="I282" s="125">
        <f>I188</f>
        <v>0</v>
      </c>
      <c r="J282" s="9"/>
      <c r="K282" s="23">
        <f>C282+E282+G282+I282</f>
        <v>0</v>
      </c>
      <c r="L282" s="4"/>
      <c r="M282" s="980"/>
    </row>
    <row r="283" spans="1:44" ht="12.75" hidden="1" customHeight="1" x14ac:dyDescent="0.35">
      <c r="A283" s="953"/>
      <c r="B283" s="9" t="s">
        <v>145</v>
      </c>
      <c r="C283" s="334">
        <f>MAX(0,(SUM(IPE_Other1,IPE_Security1))-((RentalInc1+RentalIncOth1)*0.2))</f>
        <v>0</v>
      </c>
      <c r="D283" s="334"/>
      <c r="E283" s="334">
        <f>MAX(0,(SUM(IPE_Other2,IPE_Security2))-((RentalInc2+RentalIncOth2)*0.2))</f>
        <v>0</v>
      </c>
      <c r="F283" s="334"/>
      <c r="G283" s="334">
        <f>MAX(0,(SUM(IPE_Other3,IPE_Security3))-((RentalInc3+RentalIncOth3)*0.2))</f>
        <v>0</v>
      </c>
      <c r="H283" s="334"/>
      <c r="I283" s="334">
        <f>MAX(0,(SUM(IPE_Other4,IPE_Security4))-((RentalInc4+RentalIncOth4)*0.2))</f>
        <v>0</v>
      </c>
      <c r="J283" s="9"/>
      <c r="K283" s="23"/>
      <c r="L283" s="4"/>
      <c r="M283" s="980"/>
    </row>
    <row r="284" spans="1:44" ht="12.75" hidden="1" customHeight="1" x14ac:dyDescent="0.35">
      <c r="A284" s="953"/>
      <c r="B284" s="847" t="s">
        <v>60</v>
      </c>
      <c r="C284" s="848">
        <f>C247</f>
        <v>1546176</v>
      </c>
      <c r="D284" s="980"/>
      <c r="E284" s="848">
        <f>E247</f>
        <v>282884.40000000002</v>
      </c>
      <c r="F284" s="980"/>
      <c r="G284" s="848">
        <f>G247</f>
        <v>0</v>
      </c>
      <c r="H284" s="980"/>
      <c r="I284" s="848">
        <f>I247</f>
        <v>0</v>
      </c>
      <c r="J284" s="9"/>
      <c r="K284" s="23">
        <f>C284+E284+G284+I284</f>
        <v>1829060.4</v>
      </c>
      <c r="L284" s="4"/>
      <c r="M284" s="980"/>
      <c r="O284" s="4" t="s">
        <v>171</v>
      </c>
      <c r="Y284" s="4" t="s">
        <v>172</v>
      </c>
      <c r="AJ284" s="4" t="s">
        <v>173</v>
      </c>
    </row>
    <row r="285" spans="1:44" ht="12.75" hidden="1" customHeight="1" x14ac:dyDescent="0.35">
      <c r="A285" s="953"/>
      <c r="B285" s="853" t="s">
        <v>174</v>
      </c>
      <c r="C285" s="1068"/>
      <c r="L285" s="4"/>
      <c r="O285" s="981"/>
      <c r="P285" s="981"/>
      <c r="Q285" s="981"/>
      <c r="R285" s="981"/>
      <c r="S285" s="981"/>
      <c r="T285" s="981"/>
      <c r="U285" s="981"/>
      <c r="V285" s="981"/>
      <c r="W285" s="981"/>
      <c r="Y285" s="982"/>
      <c r="Z285" s="982"/>
      <c r="AA285" s="982"/>
      <c r="AB285" s="982"/>
      <c r="AC285" s="982"/>
      <c r="AD285" s="982"/>
      <c r="AE285" s="982"/>
      <c r="AF285" s="982"/>
      <c r="AG285" s="982"/>
      <c r="AJ285" s="983"/>
      <c r="AK285" s="983"/>
      <c r="AL285" s="983"/>
      <c r="AM285" s="983"/>
      <c r="AN285" s="983"/>
      <c r="AO285" s="983"/>
      <c r="AP285" s="983"/>
      <c r="AQ285" s="983"/>
      <c r="AR285" s="983"/>
    </row>
    <row r="286" spans="1:44" ht="12.75" hidden="1" customHeight="1" x14ac:dyDescent="0.35">
      <c r="A286" s="953"/>
      <c r="B286" s="9" t="s">
        <v>104</v>
      </c>
      <c r="C286" s="9"/>
      <c r="E286" s="109">
        <f>I198</f>
        <v>9.2899999999999996E-2</v>
      </c>
      <c r="J286" s="9"/>
      <c r="L286" s="4"/>
      <c r="M286" s="980"/>
      <c r="O286" s="984"/>
      <c r="P286" s="985"/>
      <c r="Q286" s="986"/>
      <c r="R286" s="986"/>
      <c r="S286" s="986"/>
      <c r="T286" s="986"/>
      <c r="U286" s="986"/>
      <c r="V286" s="986"/>
      <c r="W286" s="986"/>
      <c r="Y286" s="987"/>
      <c r="Z286" s="988"/>
      <c r="AA286" s="989"/>
      <c r="AB286" s="989"/>
      <c r="AC286" s="989"/>
      <c r="AD286" s="989"/>
      <c r="AE286" s="989"/>
      <c r="AF286" s="989"/>
      <c r="AG286" s="989"/>
      <c r="AJ286" s="990"/>
      <c r="AK286" s="991"/>
      <c r="AL286" s="1161"/>
      <c r="AM286" s="1161"/>
      <c r="AN286" s="1161"/>
      <c r="AO286" s="1161"/>
      <c r="AP286" s="1161"/>
      <c r="AQ286" s="1161"/>
      <c r="AR286" s="1161"/>
    </row>
    <row r="287" spans="1:44" ht="12.75" hidden="1" customHeight="1" x14ac:dyDescent="0.35">
      <c r="A287" s="953"/>
      <c r="B287" s="974" t="s">
        <v>175</v>
      </c>
      <c r="I287" s="14"/>
      <c r="J287" s="9"/>
      <c r="K287" s="25">
        <f>K198</f>
        <v>418574.76705418702</v>
      </c>
      <c r="L287" s="4"/>
      <c r="M287" s="980"/>
      <c r="O287" s="992" t="s">
        <v>176</v>
      </c>
      <c r="P287" s="993"/>
      <c r="Q287" s="994">
        <f t="shared" ref="Q287:W287" si="3">$C$277+$C$278</f>
        <v>1801550</v>
      </c>
      <c r="R287" s="994">
        <f t="shared" si="3"/>
        <v>1801550</v>
      </c>
      <c r="S287" s="994">
        <f t="shared" si="3"/>
        <v>1801550</v>
      </c>
      <c r="T287" s="994">
        <f t="shared" si="3"/>
        <v>1801550</v>
      </c>
      <c r="U287" s="994">
        <f t="shared" si="3"/>
        <v>1801550</v>
      </c>
      <c r="V287" s="994">
        <f t="shared" si="3"/>
        <v>1801550</v>
      </c>
      <c r="W287" s="994">
        <f t="shared" si="3"/>
        <v>1801550</v>
      </c>
      <c r="Y287" s="995" t="s">
        <v>176</v>
      </c>
      <c r="Z287" s="996"/>
      <c r="AA287" s="997">
        <f>$C$277+$C$278</f>
        <v>1801550</v>
      </c>
      <c r="AB287" s="997">
        <f t="shared" ref="AB287:AG287" si="4">$C$277+$C$278</f>
        <v>1801550</v>
      </c>
      <c r="AC287" s="997">
        <f t="shared" si="4"/>
        <v>1801550</v>
      </c>
      <c r="AD287" s="997">
        <f t="shared" si="4"/>
        <v>1801550</v>
      </c>
      <c r="AE287" s="997">
        <f t="shared" si="4"/>
        <v>1801550</v>
      </c>
      <c r="AF287" s="997">
        <f t="shared" si="4"/>
        <v>1801550</v>
      </c>
      <c r="AG287" s="997">
        <f t="shared" si="4"/>
        <v>1801550</v>
      </c>
      <c r="AJ287" s="998" t="s">
        <v>176</v>
      </c>
      <c r="AK287" s="999"/>
      <c r="AL287" s="1162">
        <f t="shared" ref="AL287:AR287" si="5">$C$277+$C$278</f>
        <v>1801550</v>
      </c>
      <c r="AM287" s="1162">
        <f>$C$277+$C$278</f>
        <v>1801550</v>
      </c>
      <c r="AN287" s="1162">
        <f>$C$277+$C$278</f>
        <v>1801550</v>
      </c>
      <c r="AO287" s="1162">
        <f t="shared" si="5"/>
        <v>1801550</v>
      </c>
      <c r="AP287" s="1162">
        <f t="shared" si="5"/>
        <v>1801550</v>
      </c>
      <c r="AQ287" s="1162">
        <f t="shared" si="5"/>
        <v>1801550</v>
      </c>
      <c r="AR287" s="1162">
        <f t="shared" si="5"/>
        <v>1801550</v>
      </c>
    </row>
    <row r="288" spans="1:44" ht="12.75" hidden="1" customHeight="1" x14ac:dyDescent="0.35">
      <c r="A288" s="953"/>
      <c r="B288" s="1233" t="s">
        <v>153</v>
      </c>
      <c r="C288" s="1233"/>
      <c r="I288" s="14"/>
      <c r="J288" s="124"/>
      <c r="K288" s="848">
        <f>K253</f>
        <v>1169620.0119999999</v>
      </c>
      <c r="L288" s="4"/>
      <c r="O288" s="1000" t="s">
        <v>177</v>
      </c>
      <c r="P288" s="981"/>
      <c r="Q288" s="1001">
        <f t="shared" ref="Q288:W288" si="6">MIN(0,-IF(OR($V$326&lt;&gt;"Y",$K$23&lt;&gt;"Y"),$C$281*Bwr_rate,P$319*Bwr_rate/$K$93*$C$93)-$C$282*(Bwr_rate))</f>
        <v>-255374</v>
      </c>
      <c r="R288" s="1001">
        <f t="shared" si="6"/>
        <v>-255374</v>
      </c>
      <c r="S288" s="1001">
        <f t="shared" si="6"/>
        <v>-255374</v>
      </c>
      <c r="T288" s="1001">
        <f t="shared" si="6"/>
        <v>-255374</v>
      </c>
      <c r="U288" s="1001">
        <f t="shared" si="6"/>
        <v>-255374</v>
      </c>
      <c r="V288" s="1001">
        <f t="shared" si="6"/>
        <v>-255374</v>
      </c>
      <c r="W288" s="1001">
        <f t="shared" si="6"/>
        <v>-255374</v>
      </c>
      <c r="Y288" s="1002" t="s">
        <v>177</v>
      </c>
      <c r="Z288" s="982"/>
      <c r="AA288" s="1003">
        <f t="shared" ref="AA288:AG288" si="7">MIN(0,-IF(OR($V$326&lt;&gt;"Y",$K$23&lt;&gt;"Y"),$C$281*Bwr_rate,Z$319*Bwr_rate/$K$93*$C$93)-$C$282*(Bwr_rate))</f>
        <v>-255374</v>
      </c>
      <c r="AB288" s="1003">
        <f t="shared" si="7"/>
        <v>-255374</v>
      </c>
      <c r="AC288" s="1003">
        <f t="shared" si="7"/>
        <v>-255374</v>
      </c>
      <c r="AD288" s="1003">
        <f t="shared" si="7"/>
        <v>-255374</v>
      </c>
      <c r="AE288" s="1003">
        <f t="shared" si="7"/>
        <v>-255374</v>
      </c>
      <c r="AF288" s="1003">
        <f t="shared" si="7"/>
        <v>-255374</v>
      </c>
      <c r="AG288" s="1003">
        <f t="shared" si="7"/>
        <v>-255374</v>
      </c>
      <c r="AJ288" s="1004" t="s">
        <v>177</v>
      </c>
      <c r="AK288" s="983"/>
      <c r="AL288" s="1163">
        <f t="shared" ref="AL288:AR288" si="8">MIN(0,-IF(OR($V$326&lt;&gt;"Y",$K$23&lt;&gt;"Y"),$C$281*Bwr_rate,AK$319*Bwr_rate/$K$93*$C$93)-$C$282*(Bwr_rate))</f>
        <v>-255374</v>
      </c>
      <c r="AM288" s="1163">
        <f t="shared" si="8"/>
        <v>-255374</v>
      </c>
      <c r="AN288" s="1163">
        <f t="shared" si="8"/>
        <v>-255374</v>
      </c>
      <c r="AO288" s="1163">
        <f t="shared" si="8"/>
        <v>-255374</v>
      </c>
      <c r="AP288" s="1163">
        <f t="shared" si="8"/>
        <v>-255374</v>
      </c>
      <c r="AQ288" s="1163">
        <f t="shared" si="8"/>
        <v>-255374</v>
      </c>
      <c r="AR288" s="1163">
        <f t="shared" si="8"/>
        <v>-255374</v>
      </c>
    </row>
    <row r="289" spans="1:44" ht="13.5" hidden="1" customHeight="1" thickBot="1" x14ac:dyDescent="0.4">
      <c r="A289" s="953"/>
      <c r="B289" s="1280" t="s">
        <v>126</v>
      </c>
      <c r="C289" s="1280"/>
      <c r="I289" s="14"/>
      <c r="J289" s="124"/>
      <c r="K289" s="30">
        <f>K254</f>
        <v>1146879.150788669</v>
      </c>
      <c r="L289" s="4"/>
      <c r="O289" s="1000" t="s">
        <v>178</v>
      </c>
      <c r="P289" s="981"/>
      <c r="Q289" s="1001">
        <f>MAX(0,Q288+Q287-$C$279)</f>
        <v>1546176</v>
      </c>
      <c r="R289" s="1001">
        <f t="shared" ref="R289:W289" si="9">MAX(0,R288+R287-$C$279)</f>
        <v>1546176</v>
      </c>
      <c r="S289" s="1001">
        <f t="shared" si="9"/>
        <v>1546176</v>
      </c>
      <c r="T289" s="1001">
        <f t="shared" si="9"/>
        <v>1546176</v>
      </c>
      <c r="U289" s="1001">
        <f t="shared" si="9"/>
        <v>1546176</v>
      </c>
      <c r="V289" s="1001">
        <f t="shared" si="9"/>
        <v>1546176</v>
      </c>
      <c r="W289" s="1001">
        <f t="shared" si="9"/>
        <v>1546176</v>
      </c>
      <c r="Y289" s="1002" t="s">
        <v>178</v>
      </c>
      <c r="Z289" s="982"/>
      <c r="AA289" s="1003">
        <f>MAX(0,AA288+AA287-$C$279)</f>
        <v>1546176</v>
      </c>
      <c r="AB289" s="1003">
        <f t="shared" ref="AB289:AG289" si="10">MAX(0,AB288+AB287-$C$279)</f>
        <v>1546176</v>
      </c>
      <c r="AC289" s="1003">
        <f t="shared" si="10"/>
        <v>1546176</v>
      </c>
      <c r="AD289" s="1003">
        <f t="shared" si="10"/>
        <v>1546176</v>
      </c>
      <c r="AE289" s="1003">
        <f t="shared" si="10"/>
        <v>1546176</v>
      </c>
      <c r="AF289" s="1003">
        <f t="shared" si="10"/>
        <v>1546176</v>
      </c>
      <c r="AG289" s="1003">
        <f t="shared" si="10"/>
        <v>1546176</v>
      </c>
      <c r="AJ289" s="1004" t="s">
        <v>178</v>
      </c>
      <c r="AK289" s="983"/>
      <c r="AL289" s="1163">
        <f t="shared" ref="AL289:AR289" si="11">MAX(0,AL288+AL287-$C$279)</f>
        <v>1546176</v>
      </c>
      <c r="AM289" s="1163">
        <f t="shared" si="11"/>
        <v>1546176</v>
      </c>
      <c r="AN289" s="1163">
        <f t="shared" si="11"/>
        <v>1546176</v>
      </c>
      <c r="AO289" s="1163">
        <f t="shared" si="11"/>
        <v>1546176</v>
      </c>
      <c r="AP289" s="1163">
        <f t="shared" si="11"/>
        <v>1546176</v>
      </c>
      <c r="AQ289" s="1163">
        <f t="shared" si="11"/>
        <v>1546176</v>
      </c>
      <c r="AR289" s="1163">
        <f t="shared" si="11"/>
        <v>1546176</v>
      </c>
    </row>
    <row r="290" spans="1:44" ht="13.5" hidden="1" customHeight="1" thickTop="1" x14ac:dyDescent="0.35">
      <c r="A290" s="953"/>
      <c r="I290" s="14"/>
      <c r="J290" s="9"/>
      <c r="K290" s="5"/>
      <c r="L290" s="4"/>
      <c r="M290" s="980"/>
      <c r="O290" s="1000" t="s">
        <v>179</v>
      </c>
      <c r="P290" s="981"/>
      <c r="Q290" s="1005">
        <f>MAX(MIN(Q289,$P$326),0)*$Q$326+MAX(MIN(Q289,$P$327)-$P$326,0)*$Q$327+MAX(MIN(Q289,$P$328)-$P$327,0)*$Q$328+MAX(MIN(Q289,$P$329)-$P$328,0)*$Q$329+MAX(Q289-$P$329,0)*$Q$330+Q289*References!$C$22</f>
        <v>692840.72000000009</v>
      </c>
      <c r="R290" s="1005">
        <f>MAX(MIN(R289,$P$326),0)*$Q$326+MAX(MIN(R289,$P$327)-$P$326,0)*$Q$327+MAX(MIN(R289,$P$328)-$P$327,0)*$Q$328+MAX(MIN(R289,$P$329)-$P$328,0)*$Q$329+MAX(R289-$P$329,0)*$Q$330+R289*References!$C$22</f>
        <v>692840.72000000009</v>
      </c>
      <c r="S290" s="1005">
        <f>MAX(MIN(S289,$P$326),0)*$Q$326+MAX(MIN(S289,$P$327)-$P$326,0)*$Q$327+MAX(MIN(S289,$P$328)-$P$327,0)*$Q$328+MAX(MIN(S289,$P$329)-$P$328,0)*$Q$329+MAX(S289-$P$329,0)*$Q$330+S289*References!$C$22</f>
        <v>692840.72000000009</v>
      </c>
      <c r="T290" s="1005">
        <f>MAX(MIN(T289,$P$326),0)*$Q$326+MAX(MIN(T289,$P$327)-$P$326,0)*$Q$327+MAX(MIN(T289,$P$328)-$P$327,0)*$Q$328+MAX(MIN(T289,$P$329)-$P$328,0)*$Q$329+MAX(T289-$P$329,0)*$Q$330+T289*References!$C$22</f>
        <v>692840.72000000009</v>
      </c>
      <c r="U290" s="1005">
        <f>MAX(MIN(U289,$P$326),0)*$Q$326+MAX(MIN(U289,$P$327)-$P$326,0)*$Q$327+MAX(MIN(U289,$P$328)-$P$327,0)*$Q$328+MAX(MIN(U289,$P$329)-$P$328,0)*$Q$329+MAX(U289-$P$329,0)*$Q$330+U289*References!$C$22</f>
        <v>692840.72000000009</v>
      </c>
      <c r="V290" s="1005">
        <f>MAX(MIN(V289,$P$326),0)*$Q$326+MAX(MIN(V289,$P$327)-$P$326,0)*$Q$327+MAX(MIN(V289,$P$328)-$P$327,0)*$Q$328+MAX(MIN(V289,$P$329)-$P$328,0)*$Q$329+MAX(V289-$P$329,0)*$Q$330+V289*References!$C$22</f>
        <v>692840.72000000009</v>
      </c>
      <c r="W290" s="1005">
        <f>MAX(MIN(W289,$P$326),0)*$Q$326+MAX(MIN(W289,$P$327)-$P$326,0)*$Q$327+MAX(MIN(W289,$P$328)-$P$327,0)*$Q$328+MAX(MIN(W289,$P$329)-$P$328,0)*$Q$329+MAX(W289-$P$329,0)*$Q$330+W289*References!$C$22</f>
        <v>692840.72000000009</v>
      </c>
      <c r="Y290" s="1002" t="s">
        <v>179</v>
      </c>
      <c r="Z290" s="982"/>
      <c r="AA290" s="1006">
        <f>MAX(MIN(AA289,$P$326),0)*$Q$326+MAX(MIN(AA289,$P$327)-$P$326,0)*$Q$327+MAX(MIN(AA289,$P$328)-$P$327,0)*$Q$328+MAX(MIN(AA289,$P$329)-$P$328,0)*$Q$329+MAX(AA289-$P$329,0)*$Q$330+AA289*References!$C$22</f>
        <v>692840.72000000009</v>
      </c>
      <c r="AB290" s="1006">
        <f>MAX(MIN(AB289,$P$326),0)*$Q$326+MAX(MIN(AB289,$P$327)-$P$326,0)*$Q$327+MAX(MIN(AB289,$P$328)-$P$327,0)*$Q$328+MAX(MIN(AB289,$P$329)-$P$328,0)*$Q$329+MAX(AB289-$P$329,0)*$Q$330+AB289*References!$C$22</f>
        <v>692840.72000000009</v>
      </c>
      <c r="AC290" s="1006">
        <f>MAX(MIN(AC289,$P$326),0)*$Q$326+MAX(MIN(AC289,$P$327)-$P$326,0)*$Q$327+MAX(MIN(AC289,$P$328)-$P$327,0)*$Q$328+MAX(MIN(AC289,$P$329)-$P$328,0)*$Q$329+MAX(AC289-$P$329,0)*$Q$330+AC289*References!$C$22</f>
        <v>692840.72000000009</v>
      </c>
      <c r="AD290" s="1006">
        <f>MAX(MIN(AD289,$P$326),0)*$Q$326+MAX(MIN(AD289,$P$327)-$P$326,0)*$Q$327+MAX(MIN(AD289,$P$328)-$P$327,0)*$Q$328+MAX(MIN(AD289,$P$329)-$P$328,0)*$Q$329+MAX(AD289-$P$329,0)*$Q$330+AD289*References!$C$22</f>
        <v>692840.72000000009</v>
      </c>
      <c r="AE290" s="1006">
        <f>MAX(MIN(AE289,$P$326),0)*$Q$326+MAX(MIN(AE289,$P$327)-$P$326,0)*$Q$327+MAX(MIN(AE289,$P$328)-$P$327,0)*$Q$328+MAX(MIN(AE289,$P$329)-$P$328,0)*$Q$329+MAX(AE289-$P$329,0)*$Q$330+AE289*References!$C$22</f>
        <v>692840.72000000009</v>
      </c>
      <c r="AF290" s="1006">
        <f>MAX(MIN(AF289,$P$326),0)*$Q$326+MAX(MIN(AF289,$P$327)-$P$326,0)*$Q$327+MAX(MIN(AF289,$P$328)-$P$327,0)*$Q$328+MAX(MIN(AF289,$P$329)-$P$328,0)*$Q$329+MAX(AF289-$P$329,0)*$Q$330+AF289*References!$C$22</f>
        <v>692840.72000000009</v>
      </c>
      <c r="AG290" s="1006">
        <f>MAX(MIN(AG289,$P$326),0)*$Q$326+MAX(MIN(AG289,$P$327)-$P$326,0)*$Q$327+MAX(MIN(AG289,$P$328)-$P$327,0)*$Q$328+MAX(MIN(AG289,$P$329)-$P$328,0)*$Q$329+MAX(AG289-$P$329,0)*$Q$330+AG289*References!$C$22</f>
        <v>692840.72000000009</v>
      </c>
      <c r="AJ290" s="1004" t="s">
        <v>179</v>
      </c>
      <c r="AK290" s="983"/>
      <c r="AL290" s="1007">
        <f>MAX(MIN(AL289,$P$326),0)*$Q$326+MAX(MIN(AL289,$P$327)-$P$326,0)*$Q$327+MAX(MIN(AL289,$P$328)-$P$327,0)*$Q$328+MAX(MIN(AL289,$P$329)-$P$328,0)*$Q$329+MAX(AL289-$P$329,0)*$Q$330+AL289*References!$C$22</f>
        <v>692840.72000000009</v>
      </c>
      <c r="AM290" s="1007">
        <f>MAX(MIN(AM289,$P$326),0)*$Q$326+MAX(MIN(AM289,$P$327)-$P$326,0)*$Q$327+MAX(MIN(AM289,$P$328)-$P$327,0)*$Q$328+MAX(MIN(AM289,$P$329)-$P$328,0)*$Q$329+MAX(AM289-$P$329,0)*$Q$330+AM289*References!$C$22</f>
        <v>692840.72000000009</v>
      </c>
      <c r="AN290" s="1007">
        <f>MAX(MIN(AN289,$P$326),0)*$Q$326+MAX(MIN(AN289,$P$327)-$P$326,0)*$Q$327+MAX(MIN(AN289,$P$328)-$P$327,0)*$Q$328+MAX(MIN(AN289,$P$329)-$P$328,0)*$Q$329+MAX(AN289-$P$329,0)*$Q$330+AN289*References!$C$22</f>
        <v>692840.72000000009</v>
      </c>
      <c r="AO290" s="1007">
        <f>MAX(MIN(AO289,$P$326),0)*$Q$326+MAX(MIN(AO289,$P$327)-$P$326,0)*$Q$327+MAX(MIN(AO289,$P$328)-$P$327,0)*$Q$328+MAX(MIN(AO289,$P$329)-$P$328,0)*$Q$329+MAX(AO289-$P$329,0)*$Q$330+AO289*References!$C$22</f>
        <v>692840.72000000009</v>
      </c>
      <c r="AP290" s="1007">
        <f>MAX(MIN(AP289,$P$326),0)*$Q$326+MAX(MIN(AP289,$P$327)-$P$326,0)*$Q$327+MAX(MIN(AP289,$P$328)-$P$327,0)*$Q$328+MAX(MIN(AP289,$P$329)-$P$328,0)*$Q$329+MAX(AP289-$P$329,0)*$Q$330+AP289*References!$C$22</f>
        <v>692840.72000000009</v>
      </c>
      <c r="AQ290" s="1007">
        <f>MAX(MIN(AQ289,$P$326),0)*$Q$326+MAX(MIN(AQ289,$P$327)-$P$326,0)*$Q$327+MAX(MIN(AQ289,$P$328)-$P$327,0)*$Q$328+MAX(MIN(AQ289,$P$329)-$P$328,0)*$Q$329+MAX(AQ289-$P$329,0)*$Q$330+AQ289*References!$C$22</f>
        <v>692840.72000000009</v>
      </c>
      <c r="AR290" s="1007">
        <f>MAX(MIN(AR289,$P$326),0)*$Q$326+MAX(MIN(AR289,$P$327)-$P$326,0)*$Q$327+MAX(MIN(AR289,$P$328)-$P$327,0)*$Q$328+MAX(MIN(AR289,$P$329)-$P$328,0)*$Q$329+MAX(AR289-$P$329,0)*$Q$330+AR289*References!$C$22</f>
        <v>692840.72000000009</v>
      </c>
    </row>
    <row r="291" spans="1:44" ht="12.75" hidden="1" customHeight="1" x14ac:dyDescent="0.4">
      <c r="A291" s="953"/>
      <c r="B291" s="1008" t="s">
        <v>180</v>
      </c>
      <c r="F291" s="27"/>
      <c r="J291" s="124"/>
      <c r="K291" s="110">
        <v>5000000</v>
      </c>
      <c r="L291" s="4"/>
      <c r="O291" s="1009" t="s">
        <v>181</v>
      </c>
      <c r="P291" s="1010"/>
      <c r="Q291" s="1011">
        <f t="shared" ref="Q291:W291" si="12">Q287-Q290</f>
        <v>1108709.2799999998</v>
      </c>
      <c r="R291" s="1011">
        <f t="shared" si="12"/>
        <v>1108709.2799999998</v>
      </c>
      <c r="S291" s="1011">
        <f t="shared" si="12"/>
        <v>1108709.2799999998</v>
      </c>
      <c r="T291" s="1011">
        <f t="shared" si="12"/>
        <v>1108709.2799999998</v>
      </c>
      <c r="U291" s="1011">
        <f t="shared" si="12"/>
        <v>1108709.2799999998</v>
      </c>
      <c r="V291" s="1011">
        <f t="shared" si="12"/>
        <v>1108709.2799999998</v>
      </c>
      <c r="W291" s="1011">
        <f t="shared" si="12"/>
        <v>1108709.2799999998</v>
      </c>
      <c r="Y291" s="1012" t="s">
        <v>181</v>
      </c>
      <c r="Z291" s="1013"/>
      <c r="AA291" s="1014">
        <f t="shared" ref="AA291:AG291" si="13">AA287-AA290</f>
        <v>1108709.2799999998</v>
      </c>
      <c r="AB291" s="1014">
        <f t="shared" si="13"/>
        <v>1108709.2799999998</v>
      </c>
      <c r="AC291" s="1014">
        <f t="shared" si="13"/>
        <v>1108709.2799999998</v>
      </c>
      <c r="AD291" s="1014">
        <f t="shared" si="13"/>
        <v>1108709.2799999998</v>
      </c>
      <c r="AE291" s="1014">
        <f t="shared" si="13"/>
        <v>1108709.2799999998</v>
      </c>
      <c r="AF291" s="1014">
        <f t="shared" si="13"/>
        <v>1108709.2799999998</v>
      </c>
      <c r="AG291" s="1014">
        <f t="shared" si="13"/>
        <v>1108709.2799999998</v>
      </c>
      <c r="AJ291" s="1015" t="s">
        <v>181</v>
      </c>
      <c r="AK291" s="1016"/>
      <c r="AL291" s="1017">
        <f t="shared" ref="AL291:AR291" si="14">AL287-AL290</f>
        <v>1108709.2799999998</v>
      </c>
      <c r="AM291" s="1017">
        <f t="shared" si="14"/>
        <v>1108709.2799999998</v>
      </c>
      <c r="AN291" s="1017">
        <f t="shared" si="14"/>
        <v>1108709.2799999998</v>
      </c>
      <c r="AO291" s="1017">
        <f t="shared" si="14"/>
        <v>1108709.2799999998</v>
      </c>
      <c r="AP291" s="1017">
        <f t="shared" si="14"/>
        <v>1108709.2799999998</v>
      </c>
      <c r="AQ291" s="1017">
        <f t="shared" si="14"/>
        <v>1108709.2799999998</v>
      </c>
      <c r="AR291" s="1017">
        <f t="shared" si="14"/>
        <v>1108709.2799999998</v>
      </c>
    </row>
    <row r="292" spans="1:44" ht="12.75" hidden="1" customHeight="1" x14ac:dyDescent="0.35">
      <c r="A292" s="953"/>
      <c r="L292" s="4"/>
      <c r="M292" s="980"/>
      <c r="O292" s="992" t="s">
        <v>182</v>
      </c>
      <c r="P292" s="993"/>
      <c r="Q292" s="994">
        <f t="shared" ref="Q292:W292" si="15">$E$277+$E$278</f>
        <v>282884.40000000002</v>
      </c>
      <c r="R292" s="994">
        <f t="shared" si="15"/>
        <v>282884.40000000002</v>
      </c>
      <c r="S292" s="994">
        <f t="shared" si="15"/>
        <v>282884.40000000002</v>
      </c>
      <c r="T292" s="994">
        <f t="shared" si="15"/>
        <v>282884.40000000002</v>
      </c>
      <c r="U292" s="994">
        <f t="shared" si="15"/>
        <v>282884.40000000002</v>
      </c>
      <c r="V292" s="994">
        <f t="shared" si="15"/>
        <v>282884.40000000002</v>
      </c>
      <c r="W292" s="994">
        <f t="shared" si="15"/>
        <v>282884.40000000002</v>
      </c>
      <c r="Y292" s="995" t="s">
        <v>182</v>
      </c>
      <c r="Z292" s="996"/>
      <c r="AA292" s="997">
        <f t="shared" ref="AA292:AG292" si="16">$E$277+$E$278</f>
        <v>282884.40000000002</v>
      </c>
      <c r="AB292" s="997">
        <f t="shared" si="16"/>
        <v>282884.40000000002</v>
      </c>
      <c r="AC292" s="997">
        <f t="shared" si="16"/>
        <v>282884.40000000002</v>
      </c>
      <c r="AD292" s="997">
        <f t="shared" si="16"/>
        <v>282884.40000000002</v>
      </c>
      <c r="AE292" s="997">
        <f t="shared" si="16"/>
        <v>282884.40000000002</v>
      </c>
      <c r="AF292" s="997">
        <f t="shared" si="16"/>
        <v>282884.40000000002</v>
      </c>
      <c r="AG292" s="997">
        <f t="shared" si="16"/>
        <v>282884.40000000002</v>
      </c>
      <c r="AJ292" s="998" t="s">
        <v>182</v>
      </c>
      <c r="AK292" s="999"/>
      <c r="AL292" s="1162">
        <f t="shared" ref="AL292:AR292" si="17">$E$277+$E$278</f>
        <v>282884.40000000002</v>
      </c>
      <c r="AM292" s="1162">
        <f t="shared" si="17"/>
        <v>282884.40000000002</v>
      </c>
      <c r="AN292" s="1162">
        <f t="shared" si="17"/>
        <v>282884.40000000002</v>
      </c>
      <c r="AO292" s="1162">
        <f t="shared" si="17"/>
        <v>282884.40000000002</v>
      </c>
      <c r="AP292" s="1162">
        <f t="shared" si="17"/>
        <v>282884.40000000002</v>
      </c>
      <c r="AQ292" s="1162">
        <f t="shared" si="17"/>
        <v>282884.40000000002</v>
      </c>
      <c r="AR292" s="1162">
        <f t="shared" si="17"/>
        <v>282884.40000000002</v>
      </c>
    </row>
    <row r="293" spans="1:44" ht="12.75" hidden="1" customHeight="1" x14ac:dyDescent="0.35">
      <c r="A293" s="953"/>
      <c r="H293" s="27"/>
      <c r="J293" s="9"/>
      <c r="L293" s="4"/>
      <c r="M293" s="980"/>
      <c r="O293" s="1000" t="s">
        <v>183</v>
      </c>
      <c r="P293" s="981"/>
      <c r="Q293" s="1001">
        <f t="shared" ref="Q293:W293" si="18">MIN(0,-IF(OR($V$326&lt;&gt;"Y",$K$23&lt;&gt;"Y"),$E$281*Bwr_rate,P$319*Bwr_rate/$K$93*$E$93)-$E$282*(Bwr_rate))</f>
        <v>0</v>
      </c>
      <c r="R293" s="1001">
        <f t="shared" si="18"/>
        <v>0</v>
      </c>
      <c r="S293" s="1001">
        <f t="shared" si="18"/>
        <v>0</v>
      </c>
      <c r="T293" s="1001">
        <f t="shared" si="18"/>
        <v>0</v>
      </c>
      <c r="U293" s="1001">
        <f t="shared" si="18"/>
        <v>0</v>
      </c>
      <c r="V293" s="1001">
        <f t="shared" si="18"/>
        <v>0</v>
      </c>
      <c r="W293" s="1001">
        <f t="shared" si="18"/>
        <v>0</v>
      </c>
      <c r="Y293" s="1002" t="s">
        <v>183</v>
      </c>
      <c r="Z293" s="982"/>
      <c r="AA293" s="1003">
        <f t="shared" ref="AA293:AG293" si="19">MIN(0,-IF(OR($V$326&lt;&gt;"Y",$K$23&lt;&gt;"Y"),$E$281*Bwr_rate,Z$319*Bwr_rate/$K$93*$E$93)-$E$282*(Bwr_rate))</f>
        <v>0</v>
      </c>
      <c r="AB293" s="1003">
        <f t="shared" si="19"/>
        <v>0</v>
      </c>
      <c r="AC293" s="1003">
        <f t="shared" si="19"/>
        <v>0</v>
      </c>
      <c r="AD293" s="1003">
        <f t="shared" si="19"/>
        <v>0</v>
      </c>
      <c r="AE293" s="1003">
        <f t="shared" si="19"/>
        <v>0</v>
      </c>
      <c r="AF293" s="1003">
        <f t="shared" si="19"/>
        <v>0</v>
      </c>
      <c r="AG293" s="1003">
        <f t="shared" si="19"/>
        <v>0</v>
      </c>
      <c r="AJ293" s="1004" t="s">
        <v>183</v>
      </c>
      <c r="AK293" s="983"/>
      <c r="AL293" s="1163">
        <f t="shared" ref="AL293:AR293" si="20">MIN(0,-IF(OR($V$326&lt;&gt;"Y",$K$23&lt;&gt;"Y"),$E$281*Bwr_rate,AK$319*Bwr_rate/$K$93*$E$93)-$E$282*(Bwr_rate))</f>
        <v>0</v>
      </c>
      <c r="AM293" s="1163">
        <f t="shared" si="20"/>
        <v>0</v>
      </c>
      <c r="AN293" s="1163">
        <f t="shared" si="20"/>
        <v>0</v>
      </c>
      <c r="AO293" s="1163">
        <f t="shared" si="20"/>
        <v>0</v>
      </c>
      <c r="AP293" s="1163">
        <f t="shared" si="20"/>
        <v>0</v>
      </c>
      <c r="AQ293" s="1163">
        <f t="shared" si="20"/>
        <v>0</v>
      </c>
      <c r="AR293" s="1163">
        <f t="shared" si="20"/>
        <v>0</v>
      </c>
    </row>
    <row r="294" spans="1:44" ht="12.75" hidden="1" customHeight="1" x14ac:dyDescent="0.35">
      <c r="A294" s="953"/>
      <c r="H294" s="27"/>
      <c r="J294" s="9"/>
      <c r="L294" s="4"/>
      <c r="O294" s="1000" t="s">
        <v>182</v>
      </c>
      <c r="P294" s="981"/>
      <c r="Q294" s="1001">
        <f>MAX(0,Q293+Q292-$E$279)</f>
        <v>282884.40000000002</v>
      </c>
      <c r="R294" s="1001">
        <f t="shared" ref="R294:W294" si="21">MAX(0,R293+R292-$E$279)</f>
        <v>282884.40000000002</v>
      </c>
      <c r="S294" s="1001">
        <f t="shared" si="21"/>
        <v>282884.40000000002</v>
      </c>
      <c r="T294" s="1001">
        <f t="shared" si="21"/>
        <v>282884.40000000002</v>
      </c>
      <c r="U294" s="1001">
        <f t="shared" si="21"/>
        <v>282884.40000000002</v>
      </c>
      <c r="V294" s="1001">
        <f t="shared" si="21"/>
        <v>282884.40000000002</v>
      </c>
      <c r="W294" s="1001">
        <f t="shared" si="21"/>
        <v>282884.40000000002</v>
      </c>
      <c r="Y294" s="1002" t="s">
        <v>182</v>
      </c>
      <c r="Z294" s="982"/>
      <c r="AA294" s="1003">
        <f>MAX(0,AA293+AA292-$E$279)</f>
        <v>282884.40000000002</v>
      </c>
      <c r="AB294" s="1003">
        <f t="shared" ref="AB294:AG294" si="22">MAX(0,AB293+AB292-$E$279)</f>
        <v>282884.40000000002</v>
      </c>
      <c r="AC294" s="1003">
        <f t="shared" si="22"/>
        <v>282884.40000000002</v>
      </c>
      <c r="AD294" s="1003">
        <f t="shared" si="22"/>
        <v>282884.40000000002</v>
      </c>
      <c r="AE294" s="1003">
        <f t="shared" si="22"/>
        <v>282884.40000000002</v>
      </c>
      <c r="AF294" s="1003">
        <f t="shared" si="22"/>
        <v>282884.40000000002</v>
      </c>
      <c r="AG294" s="1003">
        <f t="shared" si="22"/>
        <v>282884.40000000002</v>
      </c>
      <c r="AJ294" s="1004" t="s">
        <v>182</v>
      </c>
      <c r="AK294" s="983"/>
      <c r="AL294" s="1163">
        <f>MAX(0,AL293+AL292-$E$279)</f>
        <v>282884.40000000002</v>
      </c>
      <c r="AM294" s="1163">
        <f t="shared" ref="AM294:AR294" si="23">MAX(0,AM293+AM292-$E$279)</f>
        <v>282884.40000000002</v>
      </c>
      <c r="AN294" s="1163">
        <f t="shared" si="23"/>
        <v>282884.40000000002</v>
      </c>
      <c r="AO294" s="1163">
        <f t="shared" si="23"/>
        <v>282884.40000000002</v>
      </c>
      <c r="AP294" s="1163">
        <f t="shared" si="23"/>
        <v>282884.40000000002</v>
      </c>
      <c r="AQ294" s="1163">
        <f t="shared" si="23"/>
        <v>282884.40000000002</v>
      </c>
      <c r="AR294" s="1163">
        <f t="shared" si="23"/>
        <v>282884.40000000002</v>
      </c>
    </row>
    <row r="295" spans="1:44" ht="12.75" hidden="1" customHeight="1" x14ac:dyDescent="0.35">
      <c r="A295" s="953"/>
      <c r="L295" s="4"/>
      <c r="M295" s="980"/>
      <c r="O295" s="1000" t="s">
        <v>184</v>
      </c>
      <c r="P295" s="981"/>
      <c r="Q295" s="1005">
        <f>MAX(MIN(Q294,$P$326),0)*$Q$326+MAX(MIN(Q294,$P$327)-$P$326,0)*$Q$327+MAX(MIN(Q294,$P$328)-$P$327,0)*$Q$328+MAX(MIN(Q294,$P$329)-$P$328,0)*$Q$329+MAX(Q294-$P$329,0)*$Q$330+Q294*References!$C$22</f>
        <v>99093.668000000005</v>
      </c>
      <c r="R295" s="1005">
        <f>MAX(MIN(R294,$P$326),0)*$Q$326+MAX(MIN(R294,$P$327)-$P$326,0)*$Q$327+MAX(MIN(R294,$P$328)-$P$327,0)*$Q$328+MAX(MIN(R294,$P$329)-$P$328,0)*$Q$329+MAX(R294-$P$329,0)*$Q$330+R294*References!$C$22</f>
        <v>99093.668000000005</v>
      </c>
      <c r="S295" s="1005">
        <f>MAX(MIN(S294,$P$326),0)*$Q$326+MAX(MIN(S294,$P$327)-$P$326,0)*$Q$327+MAX(MIN(S294,$P$328)-$P$327,0)*$Q$328+MAX(MIN(S294,$P$329)-$P$328,0)*$Q$329+MAX(S294-$P$329,0)*$Q$330+S294*References!$C$22</f>
        <v>99093.668000000005</v>
      </c>
      <c r="T295" s="1005">
        <f>MAX(MIN(T294,$P$326),0)*$Q$326+MAX(MIN(T294,$P$327)-$P$326,0)*$Q$327+MAX(MIN(T294,$P$328)-$P$327,0)*$Q$328+MAX(MIN(T294,$P$329)-$P$328,0)*$Q$329+MAX(T294-$P$329,0)*$Q$330+T294*References!$C$22</f>
        <v>99093.668000000005</v>
      </c>
      <c r="U295" s="1005">
        <f>MAX(MIN(U294,$P$326),0)*$Q$326+MAX(MIN(U294,$P$327)-$P$326,0)*$Q$327+MAX(MIN(U294,$P$328)-$P$327,0)*$Q$328+MAX(MIN(U294,$P$329)-$P$328,0)*$Q$329+MAX(U294-$P$329,0)*$Q$330+U294*References!$C$22</f>
        <v>99093.668000000005</v>
      </c>
      <c r="V295" s="1005">
        <f>MAX(MIN(V294,$P$326),0)*$Q$326+MAX(MIN(V294,$P$327)-$P$326,0)*$Q$327+MAX(MIN(V294,$P$328)-$P$327,0)*$Q$328+MAX(MIN(V294,$P$329)-$P$328,0)*$Q$329+MAX(V294-$P$329,0)*$Q$330+V294*References!$C$22</f>
        <v>99093.668000000005</v>
      </c>
      <c r="W295" s="1005">
        <f>MAX(MIN(W294,$P$326),0)*$Q$326+MAX(MIN(W294,$P$327)-$P$326,0)*$Q$327+MAX(MIN(W294,$P$328)-$P$327,0)*$Q$328+MAX(MIN(W294,$P$329)-$P$328,0)*$Q$329+MAX(W294-$P$329,0)*$Q$330+W294*References!$C$22</f>
        <v>99093.668000000005</v>
      </c>
      <c r="Y295" s="1002" t="s">
        <v>184</v>
      </c>
      <c r="Z295" s="982"/>
      <c r="AA295" s="1006">
        <f>MAX(MIN(AA294,$P$326),0)*$Q$326+MAX(MIN(AA294,$P$327)-$P$326,0)*$Q$327+MAX(MIN(AA294,$P$328)-$P$327,0)*$Q$328+MAX(MIN(AA294,$P$329)-$P$328,0)*$Q$329+MAX(AA294-$P$329,0)*$Q$330+AA294*References!$C$22</f>
        <v>99093.668000000005</v>
      </c>
      <c r="AB295" s="1006">
        <f>MAX(MIN(AB294,$P$326),0)*$Q$326+MAX(MIN(AB294,$P$327)-$P$326,0)*$Q$327+MAX(MIN(AB294,$P$328)-$P$327,0)*$Q$328+MAX(MIN(AB294,$P$329)-$P$328,0)*$Q$329+MAX(AB294-$P$329,0)*$Q$330+AB294*References!$C$22</f>
        <v>99093.668000000005</v>
      </c>
      <c r="AC295" s="1006">
        <f>MAX(MIN(AC294,$P$326),0)*$Q$326+MAX(MIN(AC294,$P$327)-$P$326,0)*$Q$327+MAX(MIN(AC294,$P$328)-$P$327,0)*$Q$328+MAX(MIN(AC294,$P$329)-$P$328,0)*$Q$329+MAX(AC294-$P$329,0)*$Q$330+AC294*References!$C$22</f>
        <v>99093.668000000005</v>
      </c>
      <c r="AD295" s="1006">
        <f>MAX(MIN(AD294,$P$326),0)*$Q$326+MAX(MIN(AD294,$P$327)-$P$326,0)*$Q$327+MAX(MIN(AD294,$P$328)-$P$327,0)*$Q$328+MAX(MIN(AD294,$P$329)-$P$328,0)*$Q$329+MAX(AD294-$P$329,0)*$Q$330+AD294*References!$C$22</f>
        <v>99093.668000000005</v>
      </c>
      <c r="AE295" s="1006">
        <f>MAX(MIN(AE294,$P$326),0)*$Q$326+MAX(MIN(AE294,$P$327)-$P$326,0)*$Q$327+MAX(MIN(AE294,$P$328)-$P$327,0)*$Q$328+MAX(MIN(AE294,$P$329)-$P$328,0)*$Q$329+MAX(AE294-$P$329,0)*$Q$330+AE294*References!$C$22</f>
        <v>99093.668000000005</v>
      </c>
      <c r="AF295" s="1006">
        <f>MAX(MIN(AF294,$P$326),0)*$Q$326+MAX(MIN(AF294,$P$327)-$P$326,0)*$Q$327+MAX(MIN(AF294,$P$328)-$P$327,0)*$Q$328+MAX(MIN(AF294,$P$329)-$P$328,0)*$Q$329+MAX(AF294-$P$329,0)*$Q$330+AF294*References!$C$22</f>
        <v>99093.668000000005</v>
      </c>
      <c r="AG295" s="1006">
        <f>MAX(MIN(AG294,$P$326),0)*$Q$326+MAX(MIN(AG294,$P$327)-$P$326,0)*$Q$327+MAX(MIN(AG294,$P$328)-$P$327,0)*$Q$328+MAX(MIN(AG294,$P$329)-$P$328,0)*$Q$329+MAX(AG294-$P$329,0)*$Q$330+AG294*References!$C$22</f>
        <v>99093.668000000005</v>
      </c>
      <c r="AJ295" s="1004" t="s">
        <v>184</v>
      </c>
      <c r="AK295" s="983"/>
      <c r="AL295" s="1007">
        <f>MAX(MIN(AL294,$P$326),0)*$Q$326+MAX(MIN(AL294,$P$327)-$P$326,0)*$Q$327+MAX(MIN(AL294,$P$328)-$P$327,0)*$Q$328+MAX(MIN(AL294,$P$329)-$P$328,0)*$Q$329+MAX(AL294-$P$329,0)*$Q$330+AL294*References!$C$22</f>
        <v>99093.668000000005</v>
      </c>
      <c r="AM295" s="1007">
        <f>MAX(MIN(AM294,$P$326),0)*$Q$326+MAX(MIN(AM294,$P$327)-$P$326,0)*$Q$327+MAX(MIN(AM294,$P$328)-$P$327,0)*$Q$328+MAX(MIN(AM294,$P$329)-$P$328,0)*$Q$329+MAX(AM294-$P$329,0)*$Q$330+AM294*References!$C$22</f>
        <v>99093.668000000005</v>
      </c>
      <c r="AN295" s="1007">
        <f>MAX(MIN(AN294,$P$326),0)*$Q$326+MAX(MIN(AN294,$P$327)-$P$326,0)*$Q$327+MAX(MIN(AN294,$P$328)-$P$327,0)*$Q$328+MAX(MIN(AN294,$P$329)-$P$328,0)*$Q$329+MAX(AN294-$P$329,0)*$Q$330+AN294*References!$C$22</f>
        <v>99093.668000000005</v>
      </c>
      <c r="AO295" s="1007">
        <f>MAX(MIN(AO294,$P$326),0)*$Q$326+MAX(MIN(AO294,$P$327)-$P$326,0)*$Q$327+MAX(MIN(AO294,$P$328)-$P$327,0)*$Q$328+MAX(MIN(AO294,$P$329)-$P$328,0)*$Q$329+MAX(AO294-$P$329,0)*$Q$330+AO294*References!$C$22</f>
        <v>99093.668000000005</v>
      </c>
      <c r="AP295" s="1007">
        <f>MAX(MIN(AP294,$P$326),0)*$Q$326+MAX(MIN(AP294,$P$327)-$P$326,0)*$Q$327+MAX(MIN(AP294,$P$328)-$P$327,0)*$Q$328+MAX(MIN(AP294,$P$329)-$P$328,0)*$Q$329+MAX(AP294-$P$329,0)*$Q$330+AP294*References!$C$22</f>
        <v>99093.668000000005</v>
      </c>
      <c r="AQ295" s="1007">
        <f>MAX(MIN(AQ294,$P$326),0)*$Q$326+MAX(MIN(AQ294,$P$327)-$P$326,0)*$Q$327+MAX(MIN(AQ294,$P$328)-$P$327,0)*$Q$328+MAX(MIN(AQ294,$P$329)-$P$328,0)*$Q$329+MAX(AQ294-$P$329,0)*$Q$330+AQ294*References!$C$22</f>
        <v>99093.668000000005</v>
      </c>
      <c r="AR295" s="1007">
        <f>MAX(MIN(AR294,$P$326),0)*$Q$326+MAX(MIN(AR294,$P$327)-$P$326,0)*$Q$327+MAX(MIN(AR294,$P$328)-$P$327,0)*$Q$328+MAX(MIN(AR294,$P$329)-$P$328,0)*$Q$329+MAX(AR294-$P$329,0)*$Q$330+AR294*References!$C$22</f>
        <v>99093.668000000005</v>
      </c>
    </row>
    <row r="296" spans="1:44" ht="12.75" hidden="1" customHeight="1" x14ac:dyDescent="0.35">
      <c r="A296" s="953"/>
      <c r="L296" s="4"/>
      <c r="M296" s="980"/>
      <c r="O296" s="1009" t="s">
        <v>185</v>
      </c>
      <c r="P296" s="1010"/>
      <c r="Q296" s="1011">
        <f t="shared" ref="Q296:W296" si="24">Q292-Q295</f>
        <v>183790.73200000002</v>
      </c>
      <c r="R296" s="1011">
        <f t="shared" si="24"/>
        <v>183790.73200000002</v>
      </c>
      <c r="S296" s="1011">
        <f t="shared" si="24"/>
        <v>183790.73200000002</v>
      </c>
      <c r="T296" s="1011">
        <f t="shared" si="24"/>
        <v>183790.73200000002</v>
      </c>
      <c r="U296" s="1011">
        <f t="shared" si="24"/>
        <v>183790.73200000002</v>
      </c>
      <c r="V296" s="1011">
        <f t="shared" si="24"/>
        <v>183790.73200000002</v>
      </c>
      <c r="W296" s="1011">
        <f t="shared" si="24"/>
        <v>183790.73200000002</v>
      </c>
      <c r="Y296" s="1012" t="s">
        <v>185</v>
      </c>
      <c r="Z296" s="1013"/>
      <c r="AA296" s="1014">
        <f t="shared" ref="AA296:AG296" si="25">AA292-AA295</f>
        <v>183790.73200000002</v>
      </c>
      <c r="AB296" s="1014">
        <f t="shared" si="25"/>
        <v>183790.73200000002</v>
      </c>
      <c r="AC296" s="1014">
        <f t="shared" si="25"/>
        <v>183790.73200000002</v>
      </c>
      <c r="AD296" s="1014">
        <f t="shared" si="25"/>
        <v>183790.73200000002</v>
      </c>
      <c r="AE296" s="1014">
        <f t="shared" si="25"/>
        <v>183790.73200000002</v>
      </c>
      <c r="AF296" s="1014">
        <f t="shared" si="25"/>
        <v>183790.73200000002</v>
      </c>
      <c r="AG296" s="1014">
        <f t="shared" si="25"/>
        <v>183790.73200000002</v>
      </c>
      <c r="AJ296" s="1015" t="s">
        <v>185</v>
      </c>
      <c r="AK296" s="1016"/>
      <c r="AL296" s="1017">
        <f t="shared" ref="AL296:AR296" si="26">AL292-AL295</f>
        <v>183790.73200000002</v>
      </c>
      <c r="AM296" s="1017">
        <f t="shared" si="26"/>
        <v>183790.73200000002</v>
      </c>
      <c r="AN296" s="1017">
        <f t="shared" si="26"/>
        <v>183790.73200000002</v>
      </c>
      <c r="AO296" s="1017">
        <f t="shared" si="26"/>
        <v>183790.73200000002</v>
      </c>
      <c r="AP296" s="1017">
        <f t="shared" si="26"/>
        <v>183790.73200000002</v>
      </c>
      <c r="AQ296" s="1017">
        <f t="shared" si="26"/>
        <v>183790.73200000002</v>
      </c>
      <c r="AR296" s="1017">
        <f t="shared" si="26"/>
        <v>183790.73200000002</v>
      </c>
    </row>
    <row r="297" spans="1:44" ht="12.75" hidden="1" customHeight="1" x14ac:dyDescent="0.35">
      <c r="A297" s="953"/>
      <c r="L297" s="4"/>
      <c r="O297" s="992" t="s">
        <v>186</v>
      </c>
      <c r="P297" s="993"/>
      <c r="Q297" s="994">
        <f t="shared" ref="Q297:W297" si="27">$G$277+$G$278</f>
        <v>0</v>
      </c>
      <c r="R297" s="994">
        <f t="shared" si="27"/>
        <v>0</v>
      </c>
      <c r="S297" s="994">
        <f t="shared" si="27"/>
        <v>0</v>
      </c>
      <c r="T297" s="994">
        <f t="shared" si="27"/>
        <v>0</v>
      </c>
      <c r="U297" s="994">
        <f t="shared" si="27"/>
        <v>0</v>
      </c>
      <c r="V297" s="994">
        <f t="shared" si="27"/>
        <v>0</v>
      </c>
      <c r="W297" s="994">
        <f t="shared" si="27"/>
        <v>0</v>
      </c>
      <c r="Y297" s="995" t="s">
        <v>186</v>
      </c>
      <c r="Z297" s="996"/>
      <c r="AA297" s="997">
        <f t="shared" ref="AA297:AG297" si="28">$G$277+$G$278</f>
        <v>0</v>
      </c>
      <c r="AB297" s="997">
        <f t="shared" si="28"/>
        <v>0</v>
      </c>
      <c r="AC297" s="997">
        <f t="shared" si="28"/>
        <v>0</v>
      </c>
      <c r="AD297" s="997">
        <f t="shared" si="28"/>
        <v>0</v>
      </c>
      <c r="AE297" s="997">
        <f t="shared" si="28"/>
        <v>0</v>
      </c>
      <c r="AF297" s="997">
        <f t="shared" si="28"/>
        <v>0</v>
      </c>
      <c r="AG297" s="997">
        <f t="shared" si="28"/>
        <v>0</v>
      </c>
      <c r="AJ297" s="998" t="s">
        <v>186</v>
      </c>
      <c r="AK297" s="999"/>
      <c r="AL297" s="1162">
        <f t="shared" ref="AL297:AR297" si="29">$G$277+$G$278</f>
        <v>0</v>
      </c>
      <c r="AM297" s="1162">
        <f t="shared" si="29"/>
        <v>0</v>
      </c>
      <c r="AN297" s="1162">
        <f t="shared" si="29"/>
        <v>0</v>
      </c>
      <c r="AO297" s="1162">
        <f t="shared" si="29"/>
        <v>0</v>
      </c>
      <c r="AP297" s="1162">
        <f t="shared" si="29"/>
        <v>0</v>
      </c>
      <c r="AQ297" s="1162">
        <f t="shared" si="29"/>
        <v>0</v>
      </c>
      <c r="AR297" s="1162">
        <f t="shared" si="29"/>
        <v>0</v>
      </c>
    </row>
    <row r="298" spans="1:44" ht="12.75" hidden="1" customHeight="1" x14ac:dyDescent="0.35">
      <c r="A298" s="953"/>
      <c r="L298" s="4"/>
      <c r="O298" s="1000" t="s">
        <v>187</v>
      </c>
      <c r="P298" s="981"/>
      <c r="Q298" s="1001">
        <f t="shared" ref="Q298:W298" si="30">MIN(0,-IF(OR($V$326&lt;&gt;"Y",$K$23&lt;&gt;"Y"),$G$281*Bwr_rate,P$319*Bwr_rate/$K$93*$G$93)-$G$282*(Bwr_rate))</f>
        <v>0</v>
      </c>
      <c r="R298" s="1001">
        <f t="shared" si="30"/>
        <v>0</v>
      </c>
      <c r="S298" s="1001">
        <f t="shared" si="30"/>
        <v>0</v>
      </c>
      <c r="T298" s="1001">
        <f t="shared" si="30"/>
        <v>0</v>
      </c>
      <c r="U298" s="1001">
        <f t="shared" si="30"/>
        <v>0</v>
      </c>
      <c r="V298" s="1001">
        <f t="shared" si="30"/>
        <v>0</v>
      </c>
      <c r="W298" s="1001">
        <f t="shared" si="30"/>
        <v>0</v>
      </c>
      <c r="Y298" s="1002" t="s">
        <v>187</v>
      </c>
      <c r="Z298" s="982"/>
      <c r="AA298" s="1003">
        <f t="shared" ref="AA298:AG298" si="31">MIN(0,-IF(OR($V$326&lt;&gt;"Y",$K$23&lt;&gt;"Y"),$G$281*Bwr_rate,Z$319*Bwr_rate/$K$93*$G$93)-$G$282*(Bwr_rate))</f>
        <v>0</v>
      </c>
      <c r="AB298" s="1003">
        <f t="shared" si="31"/>
        <v>0</v>
      </c>
      <c r="AC298" s="1003">
        <f t="shared" si="31"/>
        <v>0</v>
      </c>
      <c r="AD298" s="1003">
        <f t="shared" si="31"/>
        <v>0</v>
      </c>
      <c r="AE298" s="1003">
        <f t="shared" si="31"/>
        <v>0</v>
      </c>
      <c r="AF298" s="1003">
        <f t="shared" si="31"/>
        <v>0</v>
      </c>
      <c r="AG298" s="1003">
        <f t="shared" si="31"/>
        <v>0</v>
      </c>
      <c r="AJ298" s="1004" t="s">
        <v>187</v>
      </c>
      <c r="AK298" s="983"/>
      <c r="AL298" s="1163">
        <f t="shared" ref="AL298:AR298" si="32">MIN(0,-IF(OR($V$326&lt;&gt;"Y",$K$23&lt;&gt;"Y"),$G$281*Bwr_rate,AK$319*Bwr_rate/$K$93*$G$93)-$G$282*(Bwr_rate))</f>
        <v>0</v>
      </c>
      <c r="AM298" s="1163">
        <f t="shared" si="32"/>
        <v>0</v>
      </c>
      <c r="AN298" s="1163">
        <f t="shared" si="32"/>
        <v>0</v>
      </c>
      <c r="AO298" s="1163">
        <f t="shared" si="32"/>
        <v>0</v>
      </c>
      <c r="AP298" s="1163">
        <f t="shared" si="32"/>
        <v>0</v>
      </c>
      <c r="AQ298" s="1163">
        <f t="shared" si="32"/>
        <v>0</v>
      </c>
      <c r="AR298" s="1163">
        <f t="shared" si="32"/>
        <v>0</v>
      </c>
    </row>
    <row r="299" spans="1:44" ht="12.75" hidden="1" customHeight="1" x14ac:dyDescent="0.35">
      <c r="A299" s="953"/>
      <c r="K299" s="5"/>
      <c r="L299" s="4"/>
      <c r="M299" s="980"/>
      <c r="O299" s="1000" t="s">
        <v>186</v>
      </c>
      <c r="P299" s="981"/>
      <c r="Q299" s="1001">
        <f>MAX(0,Q298+Q297-$G$279)</f>
        <v>0</v>
      </c>
      <c r="R299" s="1001">
        <f t="shared" ref="R299:W299" si="33">MAX(0,R298+R297-$G$279)</f>
        <v>0</v>
      </c>
      <c r="S299" s="1001">
        <f t="shared" si="33"/>
        <v>0</v>
      </c>
      <c r="T299" s="1001">
        <f t="shared" si="33"/>
        <v>0</v>
      </c>
      <c r="U299" s="1001">
        <f t="shared" si="33"/>
        <v>0</v>
      </c>
      <c r="V299" s="1001">
        <f t="shared" si="33"/>
        <v>0</v>
      </c>
      <c r="W299" s="1001">
        <f t="shared" si="33"/>
        <v>0</v>
      </c>
      <c r="Y299" s="1002" t="s">
        <v>186</v>
      </c>
      <c r="Z299" s="982"/>
      <c r="AA299" s="1003">
        <f>MAX(0,AA298+AA297-$G$279)</f>
        <v>0</v>
      </c>
      <c r="AB299" s="1003">
        <f t="shared" ref="AB299:AG299" si="34">MAX(0,AB298+AB297-$G$279)</f>
        <v>0</v>
      </c>
      <c r="AC299" s="1003">
        <f t="shared" si="34"/>
        <v>0</v>
      </c>
      <c r="AD299" s="1003">
        <f t="shared" si="34"/>
        <v>0</v>
      </c>
      <c r="AE299" s="1003">
        <f t="shared" si="34"/>
        <v>0</v>
      </c>
      <c r="AF299" s="1003">
        <f t="shared" si="34"/>
        <v>0</v>
      </c>
      <c r="AG299" s="1003">
        <f t="shared" si="34"/>
        <v>0</v>
      </c>
      <c r="AJ299" s="1004" t="s">
        <v>186</v>
      </c>
      <c r="AK299" s="983"/>
      <c r="AL299" s="1163">
        <f>MAX(0,AL298+AL297-$G$279)</f>
        <v>0</v>
      </c>
      <c r="AM299" s="1163">
        <f t="shared" ref="AM299:AR299" si="35">MAX(0,AM298+AM297-$G$279)</f>
        <v>0</v>
      </c>
      <c r="AN299" s="1163">
        <f t="shared" si="35"/>
        <v>0</v>
      </c>
      <c r="AO299" s="1163">
        <f t="shared" si="35"/>
        <v>0</v>
      </c>
      <c r="AP299" s="1163">
        <f t="shared" si="35"/>
        <v>0</v>
      </c>
      <c r="AQ299" s="1163">
        <f t="shared" si="35"/>
        <v>0</v>
      </c>
      <c r="AR299" s="1163">
        <f t="shared" si="35"/>
        <v>0</v>
      </c>
    </row>
    <row r="300" spans="1:44" ht="12.75" hidden="1" customHeight="1" x14ac:dyDescent="0.35">
      <c r="A300" s="953"/>
      <c r="K300" s="5"/>
      <c r="L300" s="4"/>
      <c r="M300" s="980"/>
      <c r="O300" s="1000" t="s">
        <v>188</v>
      </c>
      <c r="P300" s="981"/>
      <c r="Q300" s="1005">
        <f>MAX(MIN(Q299,$P$326),0)*$Q$326+MAX(MIN(Q299,$P$327)-$P$326,0)*$Q$327+MAX(MIN(Q299,$P$328)-$P$327,0)*$Q$328+MAX(MIN(Q299,$P$329)-$P$328,0)*$Q$329+MAX(Q299-$P$329,0)*$Q$330+Q299*References!$C$22</f>
        <v>0</v>
      </c>
      <c r="R300" s="1005">
        <f>MAX(MIN(R299,$P$326),0)*$Q$326+MAX(MIN(R299,$P$327)-$P$326,0)*$Q$327+MAX(MIN(R299,$P$328)-$P$327,0)*$Q$328+MAX(MIN(R299,$P$329)-$P$328,0)*$Q$329+MAX(R299-$P$329,0)*$Q$330+R299*References!$C$22</f>
        <v>0</v>
      </c>
      <c r="S300" s="1005">
        <f>MAX(MIN(S299,$P$326),0)*$Q$326+MAX(MIN(S299,$P$327)-$P$326,0)*$Q$327+MAX(MIN(S299,$P$328)-$P$327,0)*$Q$328+MAX(MIN(S299,$P$329)-$P$328,0)*$Q$329+MAX(S299-$P$329,0)*$Q$330+S299*References!$C$22</f>
        <v>0</v>
      </c>
      <c r="T300" s="1005">
        <f>MAX(MIN(T299,$P$326),0)*$Q$326+MAX(MIN(T299,$P$327)-$P$326,0)*$Q$327+MAX(MIN(T299,$P$328)-$P$327,0)*$Q$328+MAX(MIN(T299,$P$329)-$P$328,0)*$Q$329+MAX(T299-$P$329,0)*$Q$330+T299*References!$C$22</f>
        <v>0</v>
      </c>
      <c r="U300" s="1005">
        <f>MAX(MIN(U299,$P$326),0)*$Q$326+MAX(MIN(U299,$P$327)-$P$326,0)*$Q$327+MAX(MIN(U299,$P$328)-$P$327,0)*$Q$328+MAX(MIN(U299,$P$329)-$P$328,0)*$Q$329+MAX(U299-$P$329,0)*$Q$330+U299*References!$C$22</f>
        <v>0</v>
      </c>
      <c r="V300" s="1005">
        <f>MAX(MIN(V299,$P$326),0)*$Q$326+MAX(MIN(V299,$P$327)-$P$326,0)*$Q$327+MAX(MIN(V299,$P$328)-$P$327,0)*$Q$328+MAX(MIN(V299,$P$329)-$P$328,0)*$Q$329+MAX(V299-$P$329,0)*$Q$330+V299*References!$C$22</f>
        <v>0</v>
      </c>
      <c r="W300" s="1005">
        <f>MAX(MIN(W299,$P$326),0)*$Q$326+MAX(MIN(W299,$P$327)-$P$326,0)*$Q$327+MAX(MIN(W299,$P$328)-$P$327,0)*$Q$328+MAX(MIN(W299,$P$329)-$P$328,0)*$Q$329+MAX(W299-$P$329,0)*$Q$330+W299*References!$C$22</f>
        <v>0</v>
      </c>
      <c r="Y300" s="1002" t="s">
        <v>188</v>
      </c>
      <c r="Z300" s="982"/>
      <c r="AA300" s="1006">
        <f>MAX(MIN(AA299,$P$326),0)*$Q$326+MAX(MIN(AA299,$P$327)-$P$326,0)*$Q$327+MAX(MIN(AA299,$P$328)-$P$327,0)*$Q$328+MAX(MIN(AA299,$P$329)-$P$328,0)*$Q$329+MAX(AA299-$P$329,0)*$Q$330+AA299*References!$C$22</f>
        <v>0</v>
      </c>
      <c r="AB300" s="1006">
        <f>MAX(MIN(AB299,$P$326),0)*$Q$326+MAX(MIN(AB299,$P$327)-$P$326,0)*$Q$327+MAX(MIN(AB299,$P$328)-$P$327,0)*$Q$328+MAX(MIN(AB299,$P$329)-$P$328,0)*$Q$329+MAX(AB299-$P$329,0)*$Q$330+AB299*References!$C$22</f>
        <v>0</v>
      </c>
      <c r="AC300" s="1006">
        <f>MAX(MIN(AC299,$P$326),0)*$Q$326+MAX(MIN(AC299,$P$327)-$P$326,0)*$Q$327+MAX(MIN(AC299,$P$328)-$P$327,0)*$Q$328+MAX(MIN(AC299,$P$329)-$P$328,0)*$Q$329+MAX(AC299-$P$329,0)*$Q$330+AC299*References!$C$22</f>
        <v>0</v>
      </c>
      <c r="AD300" s="1006">
        <f>MAX(MIN(AD299,$P$326),0)*$Q$326+MAX(MIN(AD299,$P$327)-$P$326,0)*$Q$327+MAX(MIN(AD299,$P$328)-$P$327,0)*$Q$328+MAX(MIN(AD299,$P$329)-$P$328,0)*$Q$329+MAX(AD299-$P$329,0)*$Q$330+AD299*References!$C$22</f>
        <v>0</v>
      </c>
      <c r="AE300" s="1006">
        <f>MAX(MIN(AE299,$P$326),0)*$Q$326+MAX(MIN(AE299,$P$327)-$P$326,0)*$Q$327+MAX(MIN(AE299,$P$328)-$P$327,0)*$Q$328+MAX(MIN(AE299,$P$329)-$P$328,0)*$Q$329+MAX(AE299-$P$329,0)*$Q$330+AE299*References!$C$22</f>
        <v>0</v>
      </c>
      <c r="AF300" s="1006">
        <f>MAX(MIN(AF299,$P$326),0)*$Q$326+MAX(MIN(AF299,$P$327)-$P$326,0)*$Q$327+MAX(MIN(AF299,$P$328)-$P$327,0)*$Q$328+MAX(MIN(AF299,$P$329)-$P$328,0)*$Q$329+MAX(AF299-$P$329,0)*$Q$330+AF299*References!$C$22</f>
        <v>0</v>
      </c>
      <c r="AG300" s="1006">
        <f>MAX(MIN(AG299,$P$326),0)*$Q$326+MAX(MIN(AG299,$P$327)-$P$326,0)*$Q$327+MAX(MIN(AG299,$P$328)-$P$327,0)*$Q$328+MAX(MIN(AG299,$P$329)-$P$328,0)*$Q$329+MAX(AG299-$P$329,0)*$Q$330+AG299*References!$C$22</f>
        <v>0</v>
      </c>
      <c r="AJ300" s="1004" t="s">
        <v>188</v>
      </c>
      <c r="AK300" s="983"/>
      <c r="AL300" s="1007">
        <f>MAX(MIN(AL299,$P$326),0)*$Q$326+MAX(MIN(AL299,$P$327)-$P$326,0)*$Q$327+MAX(MIN(AL299,$P$328)-$P$327,0)*$Q$328+MAX(MIN(AL299,$P$329)-$P$328,0)*$Q$329+MAX(AL299-$P$329,0)*$Q$330+AL299*References!$C$22</f>
        <v>0</v>
      </c>
      <c r="AM300" s="1007">
        <f>MAX(MIN(AM299,$P$326),0)*$Q$326+MAX(MIN(AM299,$P$327)-$P$326,0)*$Q$327+MAX(MIN(AM299,$P$328)-$P$327,0)*$Q$328+MAX(MIN(AM299,$P$329)-$P$328,0)*$Q$329+MAX(AM299-$P$329,0)*$Q$330+AM299*References!$C$22</f>
        <v>0</v>
      </c>
      <c r="AN300" s="1007">
        <f>MAX(MIN(AN299,$P$326),0)*$Q$326+MAX(MIN(AN299,$P$327)-$P$326,0)*$Q$327+MAX(MIN(AN299,$P$328)-$P$327,0)*$Q$328+MAX(MIN(AN299,$P$329)-$P$328,0)*$Q$329+MAX(AN299-$P$329,0)*$Q$330+AN299*References!$C$22</f>
        <v>0</v>
      </c>
      <c r="AO300" s="1007">
        <f>MAX(MIN(AO299,$P$326),0)*$Q$326+MAX(MIN(AO299,$P$327)-$P$326,0)*$Q$327+MAX(MIN(AO299,$P$328)-$P$327,0)*$Q$328+MAX(MIN(AO299,$P$329)-$P$328,0)*$Q$329+MAX(AO299-$P$329,0)*$Q$330+AO299*References!$C$22</f>
        <v>0</v>
      </c>
      <c r="AP300" s="1007">
        <f>MAX(MIN(AP299,$P$326),0)*$Q$326+MAX(MIN(AP299,$P$327)-$P$326,0)*$Q$327+MAX(MIN(AP299,$P$328)-$P$327,0)*$Q$328+MAX(MIN(AP299,$P$329)-$P$328,0)*$Q$329+MAX(AP299-$P$329,0)*$Q$330+AP299*References!$C$22</f>
        <v>0</v>
      </c>
      <c r="AQ300" s="1007">
        <f>MAX(MIN(AQ299,$P$326),0)*$Q$326+MAX(MIN(AQ299,$P$327)-$P$326,0)*$Q$327+MAX(MIN(AQ299,$P$328)-$P$327,0)*$Q$328+MAX(MIN(AQ299,$P$329)-$P$328,0)*$Q$329+MAX(AQ299-$P$329,0)*$Q$330+AQ299*References!$C$22</f>
        <v>0</v>
      </c>
      <c r="AR300" s="1007">
        <f>MAX(MIN(AR299,$P$326),0)*$Q$326+MAX(MIN(AR299,$P$327)-$P$326,0)*$Q$327+MAX(MIN(AR299,$P$328)-$P$327,0)*$Q$328+MAX(MIN(AR299,$P$329)-$P$328,0)*$Q$329+MAX(AR299-$P$329,0)*$Q$330+AR299*References!$C$22</f>
        <v>0</v>
      </c>
    </row>
    <row r="301" spans="1:44" ht="12.75" hidden="1" customHeight="1" x14ac:dyDescent="0.35">
      <c r="A301" s="953"/>
      <c r="L301" s="4"/>
      <c r="M301" s="980"/>
      <c r="O301" s="1009" t="s">
        <v>189</v>
      </c>
      <c r="P301" s="1010"/>
      <c r="Q301" s="1011">
        <f t="shared" ref="Q301:W301" si="36">Q297-Q300</f>
        <v>0</v>
      </c>
      <c r="R301" s="1011">
        <f t="shared" si="36"/>
        <v>0</v>
      </c>
      <c r="S301" s="1011">
        <f t="shared" si="36"/>
        <v>0</v>
      </c>
      <c r="T301" s="1011">
        <f t="shared" si="36"/>
        <v>0</v>
      </c>
      <c r="U301" s="1011">
        <f t="shared" si="36"/>
        <v>0</v>
      </c>
      <c r="V301" s="1011">
        <f t="shared" si="36"/>
        <v>0</v>
      </c>
      <c r="W301" s="1011">
        <f t="shared" si="36"/>
        <v>0</v>
      </c>
      <c r="Y301" s="1012" t="s">
        <v>189</v>
      </c>
      <c r="Z301" s="1013"/>
      <c r="AA301" s="1014">
        <f t="shared" ref="AA301:AG301" si="37">AA297-AA300</f>
        <v>0</v>
      </c>
      <c r="AB301" s="1014">
        <f t="shared" si="37"/>
        <v>0</v>
      </c>
      <c r="AC301" s="1014">
        <f t="shared" si="37"/>
        <v>0</v>
      </c>
      <c r="AD301" s="1014">
        <f t="shared" si="37"/>
        <v>0</v>
      </c>
      <c r="AE301" s="1014">
        <f t="shared" si="37"/>
        <v>0</v>
      </c>
      <c r="AF301" s="1014">
        <f t="shared" si="37"/>
        <v>0</v>
      </c>
      <c r="AG301" s="1014">
        <f t="shared" si="37"/>
        <v>0</v>
      </c>
      <c r="AJ301" s="1015" t="s">
        <v>189</v>
      </c>
      <c r="AK301" s="1016"/>
      <c r="AL301" s="1017">
        <f t="shared" ref="AL301:AR301" si="38">AL297-AL300</f>
        <v>0</v>
      </c>
      <c r="AM301" s="1017">
        <f t="shared" si="38"/>
        <v>0</v>
      </c>
      <c r="AN301" s="1017">
        <f t="shared" si="38"/>
        <v>0</v>
      </c>
      <c r="AO301" s="1017">
        <f t="shared" si="38"/>
        <v>0</v>
      </c>
      <c r="AP301" s="1017">
        <f t="shared" si="38"/>
        <v>0</v>
      </c>
      <c r="AQ301" s="1017">
        <f t="shared" si="38"/>
        <v>0</v>
      </c>
      <c r="AR301" s="1017">
        <f t="shared" si="38"/>
        <v>0</v>
      </c>
    </row>
    <row r="302" spans="1:44" ht="12.75" hidden="1" customHeight="1" x14ac:dyDescent="0.35">
      <c r="A302" s="953"/>
      <c r="L302" s="4"/>
      <c r="M302" s="980"/>
      <c r="O302" s="992" t="s">
        <v>190</v>
      </c>
      <c r="P302" s="993"/>
      <c r="Q302" s="994">
        <f t="shared" ref="Q302:W302" si="39">$I$277+$I$278</f>
        <v>0</v>
      </c>
      <c r="R302" s="994">
        <f t="shared" si="39"/>
        <v>0</v>
      </c>
      <c r="S302" s="994">
        <f t="shared" si="39"/>
        <v>0</v>
      </c>
      <c r="T302" s="994">
        <f t="shared" si="39"/>
        <v>0</v>
      </c>
      <c r="U302" s="994">
        <f t="shared" si="39"/>
        <v>0</v>
      </c>
      <c r="V302" s="994">
        <f t="shared" si="39"/>
        <v>0</v>
      </c>
      <c r="W302" s="994">
        <f t="shared" si="39"/>
        <v>0</v>
      </c>
      <c r="Y302" s="995" t="s">
        <v>190</v>
      </c>
      <c r="Z302" s="996"/>
      <c r="AA302" s="997">
        <f t="shared" ref="AA302:AG302" si="40">$I$277+$I$278</f>
        <v>0</v>
      </c>
      <c r="AB302" s="997">
        <f t="shared" si="40"/>
        <v>0</v>
      </c>
      <c r="AC302" s="997">
        <f t="shared" si="40"/>
        <v>0</v>
      </c>
      <c r="AD302" s="997">
        <f t="shared" si="40"/>
        <v>0</v>
      </c>
      <c r="AE302" s="997">
        <f t="shared" si="40"/>
        <v>0</v>
      </c>
      <c r="AF302" s="997">
        <f t="shared" si="40"/>
        <v>0</v>
      </c>
      <c r="AG302" s="997">
        <f t="shared" si="40"/>
        <v>0</v>
      </c>
      <c r="AJ302" s="998" t="s">
        <v>190</v>
      </c>
      <c r="AK302" s="999"/>
      <c r="AL302" s="1162">
        <f t="shared" ref="AL302:AR302" si="41">$I$277+$I$278</f>
        <v>0</v>
      </c>
      <c r="AM302" s="1162">
        <f t="shared" si="41"/>
        <v>0</v>
      </c>
      <c r="AN302" s="1162">
        <f t="shared" si="41"/>
        <v>0</v>
      </c>
      <c r="AO302" s="1162">
        <f t="shared" si="41"/>
        <v>0</v>
      </c>
      <c r="AP302" s="1162">
        <f t="shared" si="41"/>
        <v>0</v>
      </c>
      <c r="AQ302" s="1162">
        <f t="shared" si="41"/>
        <v>0</v>
      </c>
      <c r="AR302" s="1162">
        <f t="shared" si="41"/>
        <v>0</v>
      </c>
    </row>
    <row r="303" spans="1:44" ht="12.75" hidden="1" customHeight="1" x14ac:dyDescent="0.35">
      <c r="A303" s="953"/>
      <c r="L303" s="4"/>
      <c r="M303" s="980"/>
      <c r="O303" s="1000" t="s">
        <v>191</v>
      </c>
      <c r="P303" s="981"/>
      <c r="Q303" s="1001">
        <f t="shared" ref="Q303:W303" si="42">MIN(0,-IF(OR($V$326&lt;&gt;"Y",$K$23&lt;&gt;"Y"),$I$281*Bwr_rate,P$319*Bwr_rate/$K$93*$I$93)-$I$282*(Bwr_rate))</f>
        <v>0</v>
      </c>
      <c r="R303" s="1001">
        <f t="shared" si="42"/>
        <v>0</v>
      </c>
      <c r="S303" s="1001">
        <f t="shared" si="42"/>
        <v>0</v>
      </c>
      <c r="T303" s="1001">
        <f t="shared" si="42"/>
        <v>0</v>
      </c>
      <c r="U303" s="1001">
        <f t="shared" si="42"/>
        <v>0</v>
      </c>
      <c r="V303" s="1001">
        <f t="shared" si="42"/>
        <v>0</v>
      </c>
      <c r="W303" s="1001">
        <f t="shared" si="42"/>
        <v>0</v>
      </c>
      <c r="Y303" s="1002" t="s">
        <v>191</v>
      </c>
      <c r="Z303" s="982"/>
      <c r="AA303" s="1003">
        <f t="shared" ref="AA303:AG303" si="43">MIN(0,-IF(OR($V$326&lt;&gt;"Y",$K$23&lt;&gt;"Y"),$I$281*Bwr_rate,Z$319*Bwr_rate/$K$93*$I$93)-$I$282*(Bwr_rate))</f>
        <v>0</v>
      </c>
      <c r="AB303" s="1003">
        <f t="shared" si="43"/>
        <v>0</v>
      </c>
      <c r="AC303" s="1003">
        <f t="shared" si="43"/>
        <v>0</v>
      </c>
      <c r="AD303" s="1003">
        <f t="shared" si="43"/>
        <v>0</v>
      </c>
      <c r="AE303" s="1003">
        <f t="shared" si="43"/>
        <v>0</v>
      </c>
      <c r="AF303" s="1003">
        <f t="shared" si="43"/>
        <v>0</v>
      </c>
      <c r="AG303" s="1003">
        <f t="shared" si="43"/>
        <v>0</v>
      </c>
      <c r="AJ303" s="1004" t="s">
        <v>191</v>
      </c>
      <c r="AK303" s="983"/>
      <c r="AL303" s="1163">
        <f t="shared" ref="AL303:AR303" si="44">MIN(0,-IF(OR($V$326&lt;&gt;"Y",$K$23&lt;&gt;"Y"),$I$281*Bwr_rate,AK$319*Bwr_rate/$K$93*$I$93)-$I$282*(Bwr_rate))</f>
        <v>0</v>
      </c>
      <c r="AM303" s="1163">
        <f t="shared" si="44"/>
        <v>0</v>
      </c>
      <c r="AN303" s="1163">
        <f t="shared" si="44"/>
        <v>0</v>
      </c>
      <c r="AO303" s="1163">
        <f t="shared" si="44"/>
        <v>0</v>
      </c>
      <c r="AP303" s="1163">
        <f t="shared" si="44"/>
        <v>0</v>
      </c>
      <c r="AQ303" s="1163">
        <f t="shared" si="44"/>
        <v>0</v>
      </c>
      <c r="AR303" s="1163">
        <f t="shared" si="44"/>
        <v>0</v>
      </c>
    </row>
    <row r="304" spans="1:44" ht="12.75" hidden="1" customHeight="1" x14ac:dyDescent="0.35">
      <c r="A304" s="953"/>
      <c r="L304" s="4"/>
      <c r="M304" s="980"/>
      <c r="O304" s="1000" t="s">
        <v>190</v>
      </c>
      <c r="P304" s="981"/>
      <c r="Q304" s="1001">
        <f>MAX(0,Q303+Q302-$I$279)</f>
        <v>0</v>
      </c>
      <c r="R304" s="1001">
        <f t="shared" ref="R304:W304" si="45">MAX(0,R303+R302-$I$279)</f>
        <v>0</v>
      </c>
      <c r="S304" s="1001">
        <f t="shared" si="45"/>
        <v>0</v>
      </c>
      <c r="T304" s="1001">
        <f t="shared" si="45"/>
        <v>0</v>
      </c>
      <c r="U304" s="1001">
        <f t="shared" si="45"/>
        <v>0</v>
      </c>
      <c r="V304" s="1001">
        <f t="shared" si="45"/>
        <v>0</v>
      </c>
      <c r="W304" s="1001">
        <f t="shared" si="45"/>
        <v>0</v>
      </c>
      <c r="Y304" s="1002" t="s">
        <v>190</v>
      </c>
      <c r="Z304" s="982"/>
      <c r="AA304" s="1003">
        <f>MAX(0,AA303+AA302-$I$279)</f>
        <v>0</v>
      </c>
      <c r="AB304" s="1003">
        <f t="shared" ref="AB304:AG304" si="46">MAX(0,AB303+AB302-$I$279)</f>
        <v>0</v>
      </c>
      <c r="AC304" s="1003">
        <f t="shared" si="46"/>
        <v>0</v>
      </c>
      <c r="AD304" s="1003">
        <f t="shared" si="46"/>
        <v>0</v>
      </c>
      <c r="AE304" s="1003">
        <f t="shared" si="46"/>
        <v>0</v>
      </c>
      <c r="AF304" s="1003">
        <f t="shared" si="46"/>
        <v>0</v>
      </c>
      <c r="AG304" s="1003">
        <f t="shared" si="46"/>
        <v>0</v>
      </c>
      <c r="AJ304" s="1004" t="s">
        <v>190</v>
      </c>
      <c r="AK304" s="983"/>
      <c r="AL304" s="1163">
        <f>MAX(0,AL303+AL302-$I$279)</f>
        <v>0</v>
      </c>
      <c r="AM304" s="1163">
        <f t="shared" ref="AM304:AR304" si="47">MAX(0,AM303+AM302-$I$279)</f>
        <v>0</v>
      </c>
      <c r="AN304" s="1163">
        <f t="shared" si="47"/>
        <v>0</v>
      </c>
      <c r="AO304" s="1163">
        <f t="shared" si="47"/>
        <v>0</v>
      </c>
      <c r="AP304" s="1163">
        <f t="shared" si="47"/>
        <v>0</v>
      </c>
      <c r="AQ304" s="1163">
        <f t="shared" si="47"/>
        <v>0</v>
      </c>
      <c r="AR304" s="1163">
        <f t="shared" si="47"/>
        <v>0</v>
      </c>
    </row>
    <row r="305" spans="1:44" ht="12.75" hidden="1" customHeight="1" x14ac:dyDescent="0.35">
      <c r="A305" s="953"/>
      <c r="L305" s="4"/>
      <c r="M305" s="980"/>
      <c r="O305" s="1000" t="s">
        <v>192</v>
      </c>
      <c r="P305" s="981"/>
      <c r="Q305" s="1005">
        <f>MAX(MIN(Q304,$P$326),0)*$Q$326+MAX(MIN(Q304,$P$327)-$P$326,0)*$Q$327+MAX(MIN(Q304,$P$328)-$P$327,0)*$Q$328+MAX(MIN(Q304,$P$329)-$P$328,0)*$Q$329+MAX(Q304-$P$329,0)*$Q$330+Q304*References!$C$22</f>
        <v>0</v>
      </c>
      <c r="R305" s="1005">
        <f>MAX(MIN(R304,$P$326),0)*$Q$326+MAX(MIN(R304,$P$327)-$P$326,0)*$Q$327+MAX(MIN(R304,$P$328)-$P$327,0)*$Q$328+MAX(MIN(R304,$P$329)-$P$328,0)*$Q$329+MAX(R304-$P$329,0)*$Q$330+R304*References!$C$22</f>
        <v>0</v>
      </c>
      <c r="S305" s="1005">
        <f>MAX(MIN(S304,$P$326),0)*$Q$326+MAX(MIN(S304,$P$327)-$P$326,0)*$Q$327+MAX(MIN(S304,$P$328)-$P$327,0)*$Q$328+MAX(MIN(S304,$P$329)-$P$328,0)*$Q$329+MAX(S304-$P$329,0)*$Q$330+S304*References!$C$22</f>
        <v>0</v>
      </c>
      <c r="T305" s="1005">
        <f>MAX(MIN(T304,$P$326),0)*$Q$326+MAX(MIN(T304,$P$327)-$P$326,0)*$Q$327+MAX(MIN(T304,$P$328)-$P$327,0)*$Q$328+MAX(MIN(T304,$P$329)-$P$328,0)*$Q$329+MAX(T304-$P$329,0)*$Q$330+T304*References!$C$22</f>
        <v>0</v>
      </c>
      <c r="U305" s="1005">
        <f>MAX(MIN(U304,$P$326),0)*$Q$326+MAX(MIN(U304,$P$327)-$P$326,0)*$Q$327+MAX(MIN(U304,$P$328)-$P$327,0)*$Q$328+MAX(MIN(U304,$P$329)-$P$328,0)*$Q$329+MAX(U304-$P$329,0)*$Q$330+U304*References!$C$22</f>
        <v>0</v>
      </c>
      <c r="V305" s="1005">
        <f>MAX(MIN(V304,$P$326),0)*$Q$326+MAX(MIN(V304,$P$327)-$P$326,0)*$Q$327+MAX(MIN(V304,$P$328)-$P$327,0)*$Q$328+MAX(MIN(V304,$P$329)-$P$328,0)*$Q$329+MAX(V304-$P$329,0)*$Q$330+V304*References!$C$22</f>
        <v>0</v>
      </c>
      <c r="W305" s="1005">
        <f>MAX(MIN(W304,$P$326),0)*$Q$326+MAX(MIN(W304,$P$327)-$P$326,0)*$Q$327+MAX(MIN(W304,$P$328)-$P$327,0)*$Q$328+MAX(MIN(W304,$P$329)-$P$328,0)*$Q$329+MAX(W304-$P$329,0)*$Q$330+W304*References!$C$22</f>
        <v>0</v>
      </c>
      <c r="Y305" s="1002" t="s">
        <v>192</v>
      </c>
      <c r="Z305" s="982"/>
      <c r="AA305" s="1006">
        <f>MAX(MIN(AA304,$P$326),0)*$Q$326+MAX(MIN(AA304,$P$327)-$P$326,0)*$Q$327+MAX(MIN(AA304,$P$328)-$P$327,0)*$Q$328+MAX(MIN(AA304,$P$329)-$P$328,0)*$Q$329+MAX(AA304-$P$329,0)*$Q$330+AA304*References!$C$22</f>
        <v>0</v>
      </c>
      <c r="AB305" s="1006">
        <f>MAX(MIN(AB304,$P$326),0)*$Q$326+MAX(MIN(AB304,$P$327)-$P$326,0)*$Q$327+MAX(MIN(AB304,$P$328)-$P$327,0)*$Q$328+MAX(MIN(AB304,$P$329)-$P$328,0)*$Q$329+MAX(AB304-$P$329,0)*$Q$330+AB304*References!$C$22</f>
        <v>0</v>
      </c>
      <c r="AC305" s="1006">
        <f>MAX(MIN(AC304,$P$326),0)*$Q$326+MAX(MIN(AC304,$P$327)-$P$326,0)*$Q$327+MAX(MIN(AC304,$P$328)-$P$327,0)*$Q$328+MAX(MIN(AC304,$P$329)-$P$328,0)*$Q$329+MAX(AC304-$P$329,0)*$Q$330+AC304*References!$C$22</f>
        <v>0</v>
      </c>
      <c r="AD305" s="1006">
        <f>MAX(MIN(AD304,$P$326),0)*$Q$326+MAX(MIN(AD304,$P$327)-$P$326,0)*$Q$327+MAX(MIN(AD304,$P$328)-$P$327,0)*$Q$328+MAX(MIN(AD304,$P$329)-$P$328,0)*$Q$329+MAX(AD304-$P$329,0)*$Q$330+AD304*References!$C$22</f>
        <v>0</v>
      </c>
      <c r="AE305" s="1006">
        <f>MAX(MIN(AE304,$P$326),0)*$Q$326+MAX(MIN(AE304,$P$327)-$P$326,0)*$Q$327+MAX(MIN(AE304,$P$328)-$P$327,0)*$Q$328+MAX(MIN(AE304,$P$329)-$P$328,0)*$Q$329+MAX(AE304-$P$329,0)*$Q$330+AE304*References!$C$22</f>
        <v>0</v>
      </c>
      <c r="AF305" s="1006">
        <f>MAX(MIN(AF304,$P$326),0)*$Q$326+MAX(MIN(AF304,$P$327)-$P$326,0)*$Q$327+MAX(MIN(AF304,$P$328)-$P$327,0)*$Q$328+MAX(MIN(AF304,$P$329)-$P$328,0)*$Q$329+MAX(AF304-$P$329,0)*$Q$330+AF304*References!$C$22</f>
        <v>0</v>
      </c>
      <c r="AG305" s="1006">
        <f>MAX(MIN(AG304,$P$326),0)*$Q$326+MAX(MIN(AG304,$P$327)-$P$326,0)*$Q$327+MAX(MIN(AG304,$P$328)-$P$327,0)*$Q$328+MAX(MIN(AG304,$P$329)-$P$328,0)*$Q$329+MAX(AG304-$P$329,0)*$Q$330+AG304*References!$C$22</f>
        <v>0</v>
      </c>
      <c r="AJ305" s="1004" t="s">
        <v>192</v>
      </c>
      <c r="AK305" s="983"/>
      <c r="AL305" s="1007">
        <f>MAX(MIN(AL304,$P$326),0)*$Q$326+MAX(MIN(AL304,$P$327)-$P$326,0)*$Q$327+MAX(MIN(AL304,$P$328)-$P$327,0)*$Q$328+MAX(MIN(AL304,$P$329)-$P$328,0)*$Q$329+MAX(AL304-$P$329,0)*$Q$330+AL304*References!$C$22</f>
        <v>0</v>
      </c>
      <c r="AM305" s="1007">
        <f>MAX(MIN(AM304,$P$326),0)*$Q$326+MAX(MIN(AM304,$P$327)-$P$326,0)*$Q$327+MAX(MIN(AM304,$P$328)-$P$327,0)*$Q$328+MAX(MIN(AM304,$P$329)-$P$328,0)*$Q$329+MAX(AM304-$P$329,0)*$Q$330+AM304*References!$C$22</f>
        <v>0</v>
      </c>
      <c r="AN305" s="1007">
        <f>MAX(MIN(AN304,$P$326),0)*$Q$326+MAX(MIN(AN304,$P$327)-$P$326,0)*$Q$327+MAX(MIN(AN304,$P$328)-$P$327,0)*$Q$328+MAX(MIN(AN304,$P$329)-$P$328,0)*$Q$329+MAX(AN304-$P$329,0)*$Q$330+AN304*References!$C$22</f>
        <v>0</v>
      </c>
      <c r="AO305" s="1007">
        <f>MAX(MIN(AO304,$P$326),0)*$Q$326+MAX(MIN(AO304,$P$327)-$P$326,0)*$Q$327+MAX(MIN(AO304,$P$328)-$P$327,0)*$Q$328+MAX(MIN(AO304,$P$329)-$P$328,0)*$Q$329+MAX(AO304-$P$329,0)*$Q$330+AO304*References!$C$22</f>
        <v>0</v>
      </c>
      <c r="AP305" s="1007">
        <f>MAX(MIN(AP304,$P$326),0)*$Q$326+MAX(MIN(AP304,$P$327)-$P$326,0)*$Q$327+MAX(MIN(AP304,$P$328)-$P$327,0)*$Q$328+MAX(MIN(AP304,$P$329)-$P$328,0)*$Q$329+MAX(AP304-$P$329,0)*$Q$330+AP304*References!$C$22</f>
        <v>0</v>
      </c>
      <c r="AQ305" s="1007">
        <f>MAX(MIN(AQ304,$P$326),0)*$Q$326+MAX(MIN(AQ304,$P$327)-$P$326,0)*$Q$327+MAX(MIN(AQ304,$P$328)-$P$327,0)*$Q$328+MAX(MIN(AQ304,$P$329)-$P$328,0)*$Q$329+MAX(AQ304-$P$329,0)*$Q$330+AQ304*References!$C$22</f>
        <v>0</v>
      </c>
      <c r="AR305" s="1007">
        <f>MAX(MIN(AR304,$P$326),0)*$Q$326+MAX(MIN(AR304,$P$327)-$P$326,0)*$Q$327+MAX(MIN(AR304,$P$328)-$P$327,0)*$Q$328+MAX(MIN(AR304,$P$329)-$P$328,0)*$Q$329+MAX(AR304-$P$329,0)*$Q$330+AR304*References!$C$22</f>
        <v>0</v>
      </c>
    </row>
    <row r="306" spans="1:44" ht="12.75" hidden="1" customHeight="1" x14ac:dyDescent="0.35">
      <c r="A306" s="953"/>
      <c r="L306" s="4"/>
      <c r="M306" s="980"/>
      <c r="O306" s="1009" t="s">
        <v>193</v>
      </c>
      <c r="P306" s="1010"/>
      <c r="Q306" s="1011">
        <f t="shared" ref="Q306:W306" si="48">Q302-Q305</f>
        <v>0</v>
      </c>
      <c r="R306" s="1011">
        <f t="shared" si="48"/>
        <v>0</v>
      </c>
      <c r="S306" s="1011">
        <f t="shared" si="48"/>
        <v>0</v>
      </c>
      <c r="T306" s="1011">
        <f t="shared" si="48"/>
        <v>0</v>
      </c>
      <c r="U306" s="1011">
        <f t="shared" si="48"/>
        <v>0</v>
      </c>
      <c r="V306" s="1011">
        <f t="shared" si="48"/>
        <v>0</v>
      </c>
      <c r="W306" s="1011">
        <f t="shared" si="48"/>
        <v>0</v>
      </c>
      <c r="Y306" s="1012" t="s">
        <v>193</v>
      </c>
      <c r="Z306" s="1013"/>
      <c r="AA306" s="1014">
        <f t="shared" ref="AA306:AG306" si="49">AA302-AA305</f>
        <v>0</v>
      </c>
      <c r="AB306" s="1014">
        <f t="shared" si="49"/>
        <v>0</v>
      </c>
      <c r="AC306" s="1014">
        <f t="shared" si="49"/>
        <v>0</v>
      </c>
      <c r="AD306" s="1014">
        <f t="shared" si="49"/>
        <v>0</v>
      </c>
      <c r="AE306" s="1014">
        <f t="shared" si="49"/>
        <v>0</v>
      </c>
      <c r="AF306" s="1014">
        <f t="shared" si="49"/>
        <v>0</v>
      </c>
      <c r="AG306" s="1014">
        <f t="shared" si="49"/>
        <v>0</v>
      </c>
      <c r="AJ306" s="1015" t="s">
        <v>193</v>
      </c>
      <c r="AK306" s="1016"/>
      <c r="AL306" s="1017">
        <f t="shared" ref="AL306:AR306" si="50">AL302-AL305</f>
        <v>0</v>
      </c>
      <c r="AM306" s="1017">
        <f t="shared" si="50"/>
        <v>0</v>
      </c>
      <c r="AN306" s="1017">
        <f t="shared" si="50"/>
        <v>0</v>
      </c>
      <c r="AO306" s="1017">
        <f t="shared" si="50"/>
        <v>0</v>
      </c>
      <c r="AP306" s="1017">
        <f t="shared" si="50"/>
        <v>0</v>
      </c>
      <c r="AQ306" s="1017">
        <f t="shared" si="50"/>
        <v>0</v>
      </c>
      <c r="AR306" s="1017">
        <f t="shared" si="50"/>
        <v>0</v>
      </c>
    </row>
    <row r="307" spans="1:44" ht="12.75" hidden="1" customHeight="1" x14ac:dyDescent="0.35">
      <c r="A307" s="953"/>
      <c r="L307" s="4"/>
      <c r="M307" s="980"/>
      <c r="O307" s="981"/>
      <c r="P307" s="981"/>
      <c r="Q307" s="981"/>
      <c r="R307" s="981"/>
      <c r="S307" s="981"/>
      <c r="T307" s="981"/>
      <c r="U307" s="981"/>
      <c r="V307" s="981"/>
      <c r="W307" s="981"/>
      <c r="Y307" s="982"/>
      <c r="Z307" s="982"/>
      <c r="AA307" s="982"/>
      <c r="AB307" s="982"/>
      <c r="AC307" s="982"/>
      <c r="AD307" s="982"/>
      <c r="AE307" s="982"/>
      <c r="AF307" s="982"/>
      <c r="AG307" s="982"/>
      <c r="AJ307" s="983"/>
      <c r="AK307" s="983"/>
      <c r="AL307" s="983"/>
      <c r="AM307" s="983"/>
      <c r="AN307" s="983"/>
      <c r="AO307" s="983"/>
      <c r="AP307" s="983"/>
      <c r="AQ307" s="983"/>
      <c r="AR307" s="983"/>
    </row>
    <row r="308" spans="1:44" ht="12.75" hidden="1" customHeight="1" x14ac:dyDescent="0.35">
      <c r="A308" s="953"/>
      <c r="L308" s="4"/>
      <c r="M308" s="980"/>
      <c r="O308" s="981"/>
      <c r="P308" s="981"/>
      <c r="Q308" s="981"/>
      <c r="R308" s="981"/>
      <c r="S308" s="981"/>
      <c r="T308" s="981"/>
      <c r="U308" s="981"/>
      <c r="V308" s="981"/>
      <c r="W308" s="981"/>
      <c r="Y308" s="982"/>
      <c r="Z308" s="982"/>
      <c r="AA308" s="982"/>
      <c r="AB308" s="982"/>
      <c r="AC308" s="982"/>
      <c r="AD308" s="982"/>
      <c r="AE308" s="982"/>
      <c r="AF308" s="982"/>
      <c r="AG308" s="982"/>
      <c r="AJ308" s="983"/>
      <c r="AK308" s="983"/>
      <c r="AL308" s="983"/>
      <c r="AM308" s="983"/>
      <c r="AN308" s="983"/>
      <c r="AO308" s="983"/>
      <c r="AP308" s="983"/>
      <c r="AQ308" s="983"/>
      <c r="AR308" s="983"/>
    </row>
    <row r="309" spans="1:44" ht="12.75" hidden="1" customHeight="1" x14ac:dyDescent="0.35">
      <c r="A309" s="953"/>
      <c r="L309" s="4"/>
      <c r="M309" s="980"/>
      <c r="O309" s="981" t="s">
        <v>175</v>
      </c>
      <c r="P309" s="981"/>
      <c r="Q309" s="1018">
        <f t="shared" ref="Q309:W309" si="51">(PMT($E$286/12,(Loan_term-IF(product=3,5,IO_Period))*12,P319*-1))*12</f>
        <v>441315.62826551916</v>
      </c>
      <c r="R309" s="1018">
        <f t="shared" si="51"/>
        <v>441315.62826551922</v>
      </c>
      <c r="S309" s="1018">
        <f t="shared" si="51"/>
        <v>441315.62826551928</v>
      </c>
      <c r="T309" s="1018">
        <f t="shared" si="51"/>
        <v>441315.62826551928</v>
      </c>
      <c r="U309" s="1018">
        <f t="shared" si="51"/>
        <v>441315.62826551928</v>
      </c>
      <c r="V309" s="1018">
        <f t="shared" si="51"/>
        <v>441315.62826551928</v>
      </c>
      <c r="W309" s="1018">
        <f t="shared" si="51"/>
        <v>441315.62826551928</v>
      </c>
      <c r="Y309" s="982" t="s">
        <v>175</v>
      </c>
      <c r="Z309" s="982"/>
      <c r="AA309" s="1019">
        <f t="shared" ref="AA309:AG309" si="52">(PMT($E$286/12,(Loan_term-IF(product=3,5,IO_Period))*12,Z319*-1))*12</f>
        <v>441315.62826551916</v>
      </c>
      <c r="AB309" s="1019">
        <f t="shared" si="52"/>
        <v>441315.62826551922</v>
      </c>
      <c r="AC309" s="1019">
        <f t="shared" si="52"/>
        <v>441315.62826551928</v>
      </c>
      <c r="AD309" s="1019">
        <f t="shared" si="52"/>
        <v>441315.62826551928</v>
      </c>
      <c r="AE309" s="1019">
        <f t="shared" si="52"/>
        <v>441315.62826551928</v>
      </c>
      <c r="AF309" s="1019">
        <f t="shared" si="52"/>
        <v>441315.62826551928</v>
      </c>
      <c r="AG309" s="1019">
        <f t="shared" si="52"/>
        <v>441315.62826551928</v>
      </c>
      <c r="AJ309" s="983" t="s">
        <v>175</v>
      </c>
      <c r="AK309" s="983"/>
      <c r="AL309" s="1164">
        <f t="shared" ref="AL309:AR309" si="53">(PMT($E$286/12,(Loan_term-IF(product=3,5,IO_Period))*12,AK319*-1))*12</f>
        <v>441315.62826551916</v>
      </c>
      <c r="AM309" s="1164">
        <f t="shared" si="53"/>
        <v>441315.62826551922</v>
      </c>
      <c r="AN309" s="1164">
        <f t="shared" si="53"/>
        <v>441315.62826551928</v>
      </c>
      <c r="AO309" s="1164">
        <f t="shared" si="53"/>
        <v>441315.62826551928</v>
      </c>
      <c r="AP309" s="1164">
        <f t="shared" si="53"/>
        <v>441315.62826551928</v>
      </c>
      <c r="AQ309" s="1164">
        <f t="shared" si="53"/>
        <v>441315.62826551928</v>
      </c>
      <c r="AR309" s="1164">
        <f t="shared" si="53"/>
        <v>441315.62826551928</v>
      </c>
    </row>
    <row r="310" spans="1:44" ht="12.75" hidden="1" customHeight="1" x14ac:dyDescent="0.35">
      <c r="A310" s="953"/>
      <c r="L310" s="4"/>
      <c r="M310" s="980"/>
      <c r="O310" s="981" t="s">
        <v>194</v>
      </c>
      <c r="P310" s="981"/>
      <c r="Q310" s="1018">
        <f>Q291+Q296+Q301+Q306-K100</f>
        <v>1169620.0119999999</v>
      </c>
      <c r="R310" s="1018">
        <f>R291+R296+R301+R306-K105</f>
        <v>1169620.0119999999</v>
      </c>
      <c r="S310" s="1018">
        <f>S291+S296+S301+S306-K110</f>
        <v>1169620.0119999999</v>
      </c>
      <c r="T310" s="1018">
        <f>T291+T296+T301+T306-K115</f>
        <v>1169620.0119999999</v>
      </c>
      <c r="U310" s="1018">
        <f>U291+U296+U301+U306-K120</f>
        <v>1169620.0119999999</v>
      </c>
      <c r="V310" s="1018">
        <f>V291+V296+V301+V306-K125</f>
        <v>1169620.0119999999</v>
      </c>
      <c r="W310" s="1018">
        <f>W291+W296+W301+W306-K130</f>
        <v>1169620.0119999999</v>
      </c>
      <c r="Y310" s="982" t="s">
        <v>194</v>
      </c>
      <c r="Z310" s="982"/>
      <c r="AA310" s="1019">
        <f>AA291+AA296+AA301+AA306-K136</f>
        <v>1169620.0119999999</v>
      </c>
      <c r="AB310" s="1019">
        <f>AB291+AB296+AB301+AB306-K141</f>
        <v>1169620.0119999999</v>
      </c>
      <c r="AC310" s="1019">
        <f>AC291+AC296+AC301+AC306-K146</f>
        <v>1169620.0119999999</v>
      </c>
      <c r="AD310" s="1019">
        <f>AD291+AD296+AD301+AD306-K151</f>
        <v>1169620.0119999999</v>
      </c>
      <c r="AE310" s="1019">
        <f>AE291+AE296+AE301+AE306-K156</f>
        <v>1169620.0119999999</v>
      </c>
      <c r="AF310" s="1019">
        <f>AF291+AF296+AF301+AF306-K161</f>
        <v>1169620.0119999999</v>
      </c>
      <c r="AG310" s="1019">
        <f>AG291+AG296+AG301+AG306-K166</f>
        <v>1169620.0119999999</v>
      </c>
      <c r="AJ310" s="983" t="s">
        <v>194</v>
      </c>
      <c r="AK310" s="983"/>
      <c r="AL310" s="1164">
        <f>AL291+AL296+AL301+AL306-K136</f>
        <v>1169620.0119999999</v>
      </c>
      <c r="AM310" s="1164">
        <f>AM291+AM296+AM301+AM306-K141</f>
        <v>1169620.0119999999</v>
      </c>
      <c r="AN310" s="1164">
        <f>AN291+AN296+AN301+AN306-K146</f>
        <v>1169620.0119999999</v>
      </c>
      <c r="AO310" s="1164">
        <f>AO291+AO296+AO301+AO306-K151</f>
        <v>1169620.0119999999</v>
      </c>
      <c r="AP310" s="1164">
        <f>AP291+AP296+AP301+AP306-K156</f>
        <v>1169620.0119999999</v>
      </c>
      <c r="AQ310" s="1164">
        <f>AQ291+AQ296+AQ301+AQ306-K161</f>
        <v>1169620.0119999999</v>
      </c>
      <c r="AR310" s="1164">
        <f>AR291+AR296+AR301+AR306-K166</f>
        <v>1169620.0119999999</v>
      </c>
    </row>
    <row r="311" spans="1:44" ht="12.75" hidden="1" customHeight="1" x14ac:dyDescent="0.35">
      <c r="A311" s="953"/>
      <c r="L311" s="4"/>
      <c r="M311" s="980"/>
      <c r="O311" s="981" t="s">
        <v>195</v>
      </c>
      <c r="P311" s="981"/>
      <c r="Q311" s="1020">
        <f t="shared" ref="Q311:W311" si="54">SUM($K$201,$K$203,$K$205,$K$207,$K$209,$K$211,$K$213,$K$215,$K$217,$K$224,$K$225,$K$226)+Q309</f>
        <v>1169620.012000001</v>
      </c>
      <c r="R311" s="1020">
        <f t="shared" si="54"/>
        <v>1169620.012000001</v>
      </c>
      <c r="S311" s="1020">
        <f t="shared" si="54"/>
        <v>1169620.012000001</v>
      </c>
      <c r="T311" s="1020">
        <f t="shared" si="54"/>
        <v>1169620.012000001</v>
      </c>
      <c r="U311" s="1020">
        <f t="shared" si="54"/>
        <v>1169620.012000001</v>
      </c>
      <c r="V311" s="1020">
        <f t="shared" si="54"/>
        <v>1169620.012000001</v>
      </c>
      <c r="W311" s="1020">
        <f t="shared" si="54"/>
        <v>1169620.012000001</v>
      </c>
      <c r="Y311" s="982" t="s">
        <v>195</v>
      </c>
      <c r="Z311" s="982"/>
      <c r="AA311" s="1021">
        <f t="shared" ref="AA311:AG311" si="55">SUM($K$201,$K$203,$K$205,$K$207,$K$209,$K$211,$K$213,$K$215,$K$217,$K$224,$K$225,$K$226)+AA309</f>
        <v>1169620.012000001</v>
      </c>
      <c r="AB311" s="1021">
        <f t="shared" si="55"/>
        <v>1169620.012000001</v>
      </c>
      <c r="AC311" s="1021">
        <f t="shared" si="55"/>
        <v>1169620.012000001</v>
      </c>
      <c r="AD311" s="1021">
        <f t="shared" si="55"/>
        <v>1169620.012000001</v>
      </c>
      <c r="AE311" s="1021">
        <f t="shared" si="55"/>
        <v>1169620.012000001</v>
      </c>
      <c r="AF311" s="1021">
        <f t="shared" si="55"/>
        <v>1169620.012000001</v>
      </c>
      <c r="AG311" s="1021">
        <f t="shared" si="55"/>
        <v>1169620.012000001</v>
      </c>
      <c r="AJ311" s="983" t="s">
        <v>195</v>
      </c>
      <c r="AK311" s="983"/>
      <c r="AL311" s="1022">
        <f t="shared" ref="AL311:AR311" si="56">SUM($K$201,$K$203,$K$205,$K$207,$K$209,$K$211,$K$213,$K$215,$K$217,$K$224,$K$225,$K$226)+AL309</f>
        <v>1169620.012000001</v>
      </c>
      <c r="AM311" s="1022">
        <f t="shared" si="56"/>
        <v>1169620.012000001</v>
      </c>
      <c r="AN311" s="1022">
        <f t="shared" si="56"/>
        <v>1169620.012000001</v>
      </c>
      <c r="AO311" s="1022">
        <f t="shared" si="56"/>
        <v>1169620.012000001</v>
      </c>
      <c r="AP311" s="1022">
        <f t="shared" si="56"/>
        <v>1169620.012000001</v>
      </c>
      <c r="AQ311" s="1022">
        <f t="shared" si="56"/>
        <v>1169620.012000001</v>
      </c>
      <c r="AR311" s="1022">
        <f t="shared" si="56"/>
        <v>1169620.012000001</v>
      </c>
    </row>
    <row r="312" spans="1:44" ht="12.75" hidden="1" customHeight="1" x14ac:dyDescent="0.35">
      <c r="A312" s="953"/>
      <c r="L312" s="4"/>
      <c r="M312" s="980"/>
      <c r="O312" s="981"/>
      <c r="P312" s="981"/>
      <c r="Q312" s="981"/>
      <c r="R312" s="981"/>
      <c r="S312" s="981"/>
      <c r="T312" s="981"/>
      <c r="U312" s="981"/>
      <c r="V312" s="981"/>
      <c r="W312" s="981"/>
      <c r="Y312" s="982"/>
      <c r="Z312" s="982"/>
      <c r="AA312" s="982"/>
      <c r="AB312" s="982"/>
      <c r="AC312" s="982"/>
      <c r="AD312" s="982"/>
      <c r="AE312" s="982"/>
      <c r="AF312" s="982"/>
      <c r="AG312" s="982"/>
      <c r="AJ312" s="983"/>
      <c r="AK312" s="983"/>
      <c r="AL312" s="983"/>
      <c r="AM312" s="983"/>
      <c r="AN312" s="983"/>
      <c r="AO312" s="983"/>
      <c r="AP312" s="983"/>
      <c r="AQ312" s="983"/>
      <c r="AR312" s="983"/>
    </row>
    <row r="313" spans="1:44" ht="12.75" hidden="1" customHeight="1" x14ac:dyDescent="0.35">
      <c r="A313" s="953"/>
      <c r="L313" s="4"/>
      <c r="M313" s="980"/>
      <c r="O313" s="981"/>
      <c r="P313" s="981"/>
      <c r="Q313" s="981"/>
      <c r="R313" s="981"/>
      <c r="S313" s="981"/>
      <c r="T313" s="981"/>
      <c r="U313" s="981"/>
      <c r="V313" s="981"/>
      <c r="W313" s="981"/>
      <c r="Y313" s="982"/>
      <c r="Z313" s="982"/>
      <c r="AA313" s="982"/>
      <c r="AB313" s="982"/>
      <c r="AC313" s="982"/>
      <c r="AD313" s="982"/>
      <c r="AE313" s="982"/>
      <c r="AF313" s="982"/>
      <c r="AG313" s="982"/>
      <c r="AJ313" s="983"/>
      <c r="AK313" s="983"/>
      <c r="AL313" s="983"/>
      <c r="AM313" s="983"/>
      <c r="AN313" s="983"/>
      <c r="AO313" s="983"/>
      <c r="AP313" s="983"/>
      <c r="AQ313" s="983"/>
      <c r="AR313" s="983"/>
    </row>
    <row r="314" spans="1:44" ht="12.75" hidden="1" customHeight="1" x14ac:dyDescent="0.35">
      <c r="A314" s="953"/>
      <c r="L314" s="4"/>
      <c r="M314" s="980"/>
      <c r="O314" s="981" t="s">
        <v>73</v>
      </c>
      <c r="P314" s="981"/>
      <c r="Q314" s="1023">
        <f t="shared" ref="Q314:W314" si="57">Q310/Q311</f>
        <v>0.999999999999999</v>
      </c>
      <c r="R314" s="1023">
        <f t="shared" si="57"/>
        <v>0.999999999999999</v>
      </c>
      <c r="S314" s="1023">
        <f t="shared" si="57"/>
        <v>0.999999999999999</v>
      </c>
      <c r="T314" s="1023">
        <f t="shared" si="57"/>
        <v>0.999999999999999</v>
      </c>
      <c r="U314" s="1023">
        <f t="shared" si="57"/>
        <v>0.999999999999999</v>
      </c>
      <c r="V314" s="1023">
        <f t="shared" si="57"/>
        <v>0.999999999999999</v>
      </c>
      <c r="W314" s="1023">
        <f t="shared" si="57"/>
        <v>0.999999999999999</v>
      </c>
      <c r="Y314" s="982" t="s">
        <v>73</v>
      </c>
      <c r="Z314" s="982"/>
      <c r="AA314" s="1024">
        <f t="shared" ref="AA314:AG314" si="58">AA310/AA311</f>
        <v>0.999999999999999</v>
      </c>
      <c r="AB314" s="1024">
        <f t="shared" si="58"/>
        <v>0.999999999999999</v>
      </c>
      <c r="AC314" s="1024">
        <f t="shared" si="58"/>
        <v>0.999999999999999</v>
      </c>
      <c r="AD314" s="1024">
        <f t="shared" si="58"/>
        <v>0.999999999999999</v>
      </c>
      <c r="AE314" s="1024">
        <f t="shared" si="58"/>
        <v>0.999999999999999</v>
      </c>
      <c r="AF314" s="1024">
        <f t="shared" si="58"/>
        <v>0.999999999999999</v>
      </c>
      <c r="AG314" s="1024">
        <f t="shared" si="58"/>
        <v>0.999999999999999</v>
      </c>
      <c r="AJ314" s="983" t="s">
        <v>73</v>
      </c>
      <c r="AK314" s="983"/>
      <c r="AL314" s="1025">
        <f t="shared" ref="AL314:AR314" si="59">AL310/AL311</f>
        <v>0.999999999999999</v>
      </c>
      <c r="AM314" s="1025">
        <f>AM310/AM311</f>
        <v>0.999999999999999</v>
      </c>
      <c r="AN314" s="1025">
        <f t="shared" si="59"/>
        <v>0.999999999999999</v>
      </c>
      <c r="AO314" s="1025">
        <f t="shared" si="59"/>
        <v>0.999999999999999</v>
      </c>
      <c r="AP314" s="1025">
        <f t="shared" si="59"/>
        <v>0.999999999999999</v>
      </c>
      <c r="AQ314" s="1025">
        <f t="shared" si="59"/>
        <v>0.999999999999999</v>
      </c>
      <c r="AR314" s="1025">
        <f t="shared" si="59"/>
        <v>0.999999999999999</v>
      </c>
    </row>
    <row r="315" spans="1:44" ht="12.75" hidden="1" customHeight="1" x14ac:dyDescent="0.35">
      <c r="A315" s="953"/>
      <c r="L315" s="4"/>
      <c r="M315" s="980"/>
      <c r="O315" s="981"/>
      <c r="P315" s="981"/>
      <c r="Q315" s="981"/>
      <c r="R315" s="981"/>
      <c r="S315" s="981"/>
      <c r="T315" s="981"/>
      <c r="U315" s="981"/>
      <c r="V315" s="981"/>
      <c r="W315" s="981"/>
      <c r="Y315" s="982"/>
      <c r="Z315" s="982"/>
      <c r="AA315" s="982"/>
      <c r="AB315" s="982"/>
      <c r="AC315" s="982"/>
      <c r="AD315" s="982"/>
      <c r="AE315" s="982"/>
      <c r="AF315" s="982"/>
      <c r="AG315" s="982"/>
      <c r="AJ315" s="983"/>
      <c r="AK315" s="983"/>
      <c r="AL315" s="983"/>
      <c r="AM315" s="983"/>
      <c r="AN315" s="983"/>
      <c r="AO315" s="983"/>
      <c r="AP315" s="983"/>
      <c r="AQ315" s="983"/>
      <c r="AR315" s="983"/>
    </row>
    <row r="316" spans="1:44" ht="12.75" hidden="1" customHeight="1" x14ac:dyDescent="0.35">
      <c r="A316" s="953"/>
      <c r="L316" s="4"/>
      <c r="M316" s="980"/>
      <c r="O316" s="981"/>
      <c r="P316" s="981"/>
      <c r="Q316" s="981"/>
      <c r="R316" s="981"/>
      <c r="S316" s="981"/>
      <c r="T316" s="981"/>
      <c r="U316" s="981"/>
      <c r="V316" s="981"/>
      <c r="W316" s="981"/>
      <c r="Y316" s="982"/>
      <c r="Z316" s="982"/>
      <c r="AA316" s="982"/>
      <c r="AB316" s="982"/>
      <c r="AC316" s="982"/>
      <c r="AD316" s="982"/>
      <c r="AE316" s="982"/>
      <c r="AF316" s="982"/>
      <c r="AG316" s="982"/>
      <c r="AJ316" s="983"/>
      <c r="AK316" s="983"/>
      <c r="AL316" s="983"/>
      <c r="AM316" s="983"/>
      <c r="AN316" s="983"/>
      <c r="AO316" s="983"/>
      <c r="AP316" s="983"/>
      <c r="AQ316" s="983"/>
      <c r="AR316" s="983"/>
    </row>
    <row r="317" spans="1:44" ht="12.75" hidden="1" customHeight="1" x14ac:dyDescent="0.35">
      <c r="A317" s="953"/>
      <c r="L317" s="4"/>
      <c r="M317" s="980"/>
      <c r="O317" s="981"/>
      <c r="P317" s="981"/>
      <c r="Q317" s="981"/>
      <c r="R317" s="981"/>
      <c r="S317" s="981"/>
      <c r="T317" s="981"/>
      <c r="U317" s="981"/>
      <c r="V317" s="981"/>
      <c r="W317" s="981"/>
      <c r="Y317" s="982"/>
      <c r="Z317" s="982"/>
      <c r="AA317" s="982"/>
      <c r="AB317" s="982"/>
      <c r="AC317" s="982"/>
      <c r="AD317" s="982"/>
      <c r="AE317" s="982"/>
      <c r="AF317" s="982"/>
      <c r="AG317" s="982"/>
      <c r="AJ317" s="983"/>
      <c r="AK317" s="983"/>
      <c r="AL317" s="983"/>
      <c r="AM317" s="983"/>
      <c r="AN317" s="983"/>
      <c r="AO317" s="983"/>
      <c r="AP317" s="983"/>
      <c r="AQ317" s="983"/>
      <c r="AR317" s="983"/>
    </row>
    <row r="318" spans="1:44" ht="13.5" hidden="1" customHeight="1" thickBot="1" x14ac:dyDescent="0.4">
      <c r="A318" s="953"/>
      <c r="L318" s="4"/>
      <c r="M318" s="980"/>
      <c r="O318" s="981"/>
      <c r="P318" s="981"/>
      <c r="Q318" s="981"/>
      <c r="R318" s="981"/>
      <c r="S318" s="981"/>
      <c r="T318" s="981"/>
      <c r="U318" s="981"/>
      <c r="V318" s="981"/>
      <c r="W318" s="981"/>
      <c r="Y318" s="982"/>
      <c r="Z318" s="982"/>
      <c r="AA318" s="982"/>
      <c r="AB318" s="982"/>
      <c r="AC318" s="982"/>
      <c r="AD318" s="982"/>
      <c r="AE318" s="982"/>
      <c r="AF318" s="982"/>
      <c r="AG318" s="982"/>
      <c r="AJ318" s="983"/>
      <c r="AK318" s="983"/>
      <c r="AL318" s="983"/>
      <c r="AM318" s="983"/>
      <c r="AN318" s="983"/>
      <c r="AO318" s="983"/>
      <c r="AP318" s="983"/>
      <c r="AQ318" s="983"/>
      <c r="AR318" s="983"/>
    </row>
    <row r="319" spans="1:44" ht="13.5" hidden="1" customHeight="1" thickBot="1" x14ac:dyDescent="0.4">
      <c r="A319" s="953"/>
      <c r="L319" s="4"/>
      <c r="M319" s="980"/>
      <c r="O319" s="1165" t="s">
        <v>180</v>
      </c>
      <c r="P319" s="1166">
        <f>-PV($E$286/12,(Loan_term-IF(product=3,5,IO_Period))*12,($K$288/$O$321-$K$289+$K$287)/12,,0)</f>
        <v>4280576.8330656579</v>
      </c>
      <c r="Q319" s="1166">
        <f t="shared" ref="Q319:V319" si="60">-PV($E$286/12,(Loan_term-IF(product=3,5,IO_Period))*12,(Q310/$O$321-Q311+Q309)/12,,0)</f>
        <v>4280576.8330656588</v>
      </c>
      <c r="R319" s="1166">
        <f t="shared" si="60"/>
        <v>4280576.8330656597</v>
      </c>
      <c r="S319" s="1166">
        <f t="shared" si="60"/>
        <v>4280576.8330656597</v>
      </c>
      <c r="T319" s="1166">
        <f t="shared" si="60"/>
        <v>4280576.8330656597</v>
      </c>
      <c r="U319" s="1166">
        <f t="shared" si="60"/>
        <v>4280576.8330656597</v>
      </c>
      <c r="V319" s="1166">
        <f t="shared" si="60"/>
        <v>4280576.8330656597</v>
      </c>
      <c r="W319" s="1166">
        <f>INT(-PV($E$286/12,(Loan_term-IF(product=3,5,IO_Period))*12,(W310/$O$321-W311+W309)/12,,0)/1000)*1000</f>
        <v>4280000</v>
      </c>
      <c r="Y319" s="1167" t="s">
        <v>180</v>
      </c>
      <c r="Z319" s="1168">
        <f>-PV($E$286/12,(Loan_term-IF(product=3,5,IO_Period))*12,($K$288/$Y$321-$K$289+$K$287)/12,,0)</f>
        <v>4280576.8330656579</v>
      </c>
      <c r="AA319" s="1168">
        <f t="shared" ref="AA319:AF319" si="61">-PV($E$286/12,(Loan_term-IF(product=3,5,IO_Period))*12,(AA$310/$Y$321-AA$311+AA$309)/12,,0)</f>
        <v>4280576.8330656588</v>
      </c>
      <c r="AB319" s="1168">
        <f t="shared" si="61"/>
        <v>4280576.8330656597</v>
      </c>
      <c r="AC319" s="1168">
        <f t="shared" si="61"/>
        <v>4280576.8330656597</v>
      </c>
      <c r="AD319" s="1168">
        <f t="shared" si="61"/>
        <v>4280576.8330656597</v>
      </c>
      <c r="AE319" s="1168">
        <f t="shared" si="61"/>
        <v>4280576.8330656597</v>
      </c>
      <c r="AF319" s="1168">
        <f t="shared" si="61"/>
        <v>4280576.8330656597</v>
      </c>
      <c r="AG319" s="1168">
        <f>INT(-PV($E$286/12,(Loan_term-IF(product=3,5,IO_Period))*12,(AG310/$Y$321-AG311+AG309)/12,,0)/1000)*1000</f>
        <v>4280000</v>
      </c>
      <c r="AJ319" s="1169" t="s">
        <v>180</v>
      </c>
      <c r="AK319" s="1170">
        <f>-PV($E$286/12,(Loan_term-IF(product=3,5,IO_Period))*12,($K$288/$AJ$321-$K$289+$K$287)/12,,0)</f>
        <v>4280576.8330656579</v>
      </c>
      <c r="AL319" s="1170">
        <f t="shared" ref="AL319:AQ319" si="62">-PV($E$286/12,(Loan_term-IF(product=3,5,IO_Period))*12,(AL$310/$AJ$321-AL$311+AL$309)/12,,0)</f>
        <v>4280576.8330656588</v>
      </c>
      <c r="AM319" s="1170">
        <f t="shared" si="62"/>
        <v>4280576.8330656597</v>
      </c>
      <c r="AN319" s="1170">
        <f t="shared" si="62"/>
        <v>4280576.8330656597</v>
      </c>
      <c r="AO319" s="1170">
        <f t="shared" si="62"/>
        <v>4280576.8330656597</v>
      </c>
      <c r="AP319" s="1170">
        <f t="shared" si="62"/>
        <v>4280576.8330656597</v>
      </c>
      <c r="AQ319" s="1170">
        <f t="shared" si="62"/>
        <v>4280576.8330656597</v>
      </c>
      <c r="AR319" s="1170">
        <f>INT(-PV($E$286/12,(Loan_term-IF(product=3,5,IO_Period))*12,(AR310/$AJ$321-AR311+AR309)/12,,0)/1000)*1000</f>
        <v>4280000</v>
      </c>
    </row>
    <row r="320" spans="1:44" ht="12.75" hidden="1" customHeight="1" x14ac:dyDescent="0.35">
      <c r="A320" s="953"/>
      <c r="L320" s="4"/>
      <c r="M320" s="980"/>
      <c r="O320" s="1026" t="str">
        <f>"NSR "&amp;O321</f>
        <v>NSR 1</v>
      </c>
      <c r="P320" s="981"/>
      <c r="Q320" s="981"/>
      <c r="R320" s="981"/>
      <c r="S320" s="981"/>
      <c r="T320" s="981"/>
      <c r="U320" s="981"/>
      <c r="V320" s="981"/>
      <c r="W320" s="981"/>
      <c r="Y320" s="1027" t="str">
        <f>"NSR "&amp;Y321</f>
        <v>NSR 1</v>
      </c>
      <c r="Z320" s="982"/>
      <c r="AA320" s="982"/>
      <c r="AB320" s="982"/>
      <c r="AC320" s="982"/>
      <c r="AD320" s="982"/>
      <c r="AE320" s="982"/>
      <c r="AF320" s="982"/>
      <c r="AG320" s="982"/>
      <c r="AJ320" s="1028" t="str">
        <f>"NSR "&amp;AJ321</f>
        <v>NSR 1</v>
      </c>
      <c r="AK320" s="983"/>
      <c r="AL320" s="983"/>
      <c r="AM320" s="983"/>
      <c r="AN320" s="983"/>
      <c r="AO320" s="983"/>
      <c r="AP320" s="983"/>
      <c r="AQ320" s="983"/>
      <c r="AR320" s="983"/>
    </row>
    <row r="321" spans="1:44" ht="12.75" hidden="1" customHeight="1" x14ac:dyDescent="0.35">
      <c r="A321" s="953"/>
      <c r="L321" s="4"/>
      <c r="M321" s="980"/>
      <c r="O321" s="1029">
        <v>1</v>
      </c>
      <c r="P321" s="981"/>
      <c r="Q321" s="981"/>
      <c r="R321" s="981"/>
      <c r="S321" s="981"/>
      <c r="T321" s="981"/>
      <c r="U321" s="981"/>
      <c r="V321" s="981"/>
      <c r="W321" s="981"/>
      <c r="Y321" s="1029">
        <v>1</v>
      </c>
      <c r="Z321" s="982"/>
      <c r="AA321" s="982"/>
      <c r="AB321" s="982"/>
      <c r="AC321" s="982"/>
      <c r="AD321" s="982"/>
      <c r="AE321" s="982"/>
      <c r="AF321" s="982"/>
      <c r="AG321" s="982"/>
      <c r="AJ321" s="1029">
        <v>1</v>
      </c>
      <c r="AK321" s="983"/>
      <c r="AL321" s="983"/>
      <c r="AM321" s="983"/>
      <c r="AN321" s="983"/>
      <c r="AO321" s="983"/>
      <c r="AP321" s="983"/>
      <c r="AQ321" s="983"/>
      <c r="AR321" s="983"/>
    </row>
    <row r="322" spans="1:44" ht="12.75" hidden="1" customHeight="1" x14ac:dyDescent="0.35">
      <c r="A322" s="953"/>
      <c r="L322" s="4"/>
      <c r="M322" s="980"/>
      <c r="O322" s="981"/>
      <c r="P322" s="981"/>
      <c r="Q322" s="981"/>
      <c r="R322" s="981"/>
      <c r="S322" s="981"/>
      <c r="T322" s="981"/>
      <c r="U322" s="981"/>
      <c r="V322" s="981"/>
      <c r="W322" s="981"/>
      <c r="Y322" s="982"/>
      <c r="Z322" s="982"/>
      <c r="AA322" s="982"/>
      <c r="AB322" s="982"/>
      <c r="AC322" s="982"/>
      <c r="AD322" s="982"/>
      <c r="AE322" s="982"/>
      <c r="AF322" s="982"/>
      <c r="AG322" s="982"/>
      <c r="AJ322" s="983"/>
      <c r="AK322" s="983"/>
      <c r="AL322" s="983"/>
      <c r="AM322" s="983"/>
      <c r="AN322" s="983"/>
      <c r="AO322" s="983"/>
      <c r="AP322" s="983"/>
      <c r="AQ322" s="983"/>
      <c r="AR322" s="983"/>
    </row>
    <row r="323" spans="1:44" ht="12.75" hidden="1" customHeight="1" x14ac:dyDescent="0.4">
      <c r="A323" s="953"/>
      <c r="L323" s="4"/>
      <c r="M323" s="980"/>
      <c r="O323" s="981"/>
      <c r="P323" s="981"/>
      <c r="Q323" s="981"/>
      <c r="R323" s="1249"/>
      <c r="S323" s="1250"/>
      <c r="T323" s="1250"/>
      <c r="U323" s="981"/>
      <c r="V323" s="981"/>
      <c r="W323" s="981"/>
      <c r="Y323" s="982"/>
      <c r="Z323" s="982"/>
      <c r="AA323" s="982"/>
      <c r="AB323" s="982"/>
      <c r="AC323" s="982"/>
      <c r="AD323" s="982"/>
      <c r="AE323" s="982"/>
      <c r="AF323" s="982"/>
      <c r="AG323" s="982"/>
      <c r="AJ323" s="983"/>
      <c r="AK323" s="983"/>
      <c r="AL323" s="983"/>
      <c r="AM323" s="983"/>
      <c r="AN323" s="983"/>
      <c r="AO323" s="983"/>
      <c r="AP323" s="983"/>
      <c r="AQ323" s="983"/>
      <c r="AR323" s="983"/>
    </row>
    <row r="324" spans="1:44" ht="12.75" hidden="1" customHeight="1" x14ac:dyDescent="0.4">
      <c r="A324" s="953"/>
      <c r="L324" s="4"/>
      <c r="M324" s="980"/>
      <c r="O324" s="1030" t="s">
        <v>196</v>
      </c>
      <c r="P324" s="981"/>
      <c r="Q324" s="981"/>
      <c r="R324" s="1249"/>
      <c r="S324" s="1250"/>
      <c r="T324" s="1250"/>
      <c r="U324" s="981"/>
      <c r="V324" s="981"/>
      <c r="W324" s="981"/>
    </row>
    <row r="325" spans="1:44" ht="18" hidden="1" customHeight="1" thickBot="1" x14ac:dyDescent="0.4">
      <c r="A325" s="953"/>
      <c r="L325" s="4"/>
      <c r="M325" s="980"/>
      <c r="O325" s="1171" t="s">
        <v>197</v>
      </c>
      <c r="P325" s="1172"/>
      <c r="Q325" s="1173" t="s">
        <v>198</v>
      </c>
      <c r="R325" s="1247" t="s">
        <v>199</v>
      </c>
      <c r="S325" s="1248"/>
      <c r="T325" s="1248"/>
      <c r="U325" s="1248"/>
      <c r="V325" s="981"/>
      <c r="W325" s="981"/>
    </row>
    <row r="326" spans="1:44" ht="13.5" hidden="1" customHeight="1" thickBot="1" x14ac:dyDescent="0.45">
      <c r="A326" s="953"/>
      <c r="L326" s="4"/>
      <c r="M326" s="980"/>
      <c r="O326" s="1174">
        <f>References!B15</f>
        <v>0</v>
      </c>
      <c r="P326" s="1174">
        <f>References!C15</f>
        <v>18200</v>
      </c>
      <c r="Q326" s="1175">
        <f>References!D15</f>
        <v>0</v>
      </c>
      <c r="R326" s="1247"/>
      <c r="S326" s="1248"/>
      <c r="T326" s="1248"/>
      <c r="U326" s="1248"/>
      <c r="V326" s="1031" t="s">
        <v>200</v>
      </c>
      <c r="W326" s="981"/>
      <c r="X326" s="1032"/>
    </row>
    <row r="327" spans="1:44" ht="12.75" hidden="1" customHeight="1" x14ac:dyDescent="0.35">
      <c r="A327" s="953"/>
      <c r="L327" s="4"/>
      <c r="M327" s="980"/>
      <c r="O327" s="1174">
        <f>References!B16</f>
        <v>18201</v>
      </c>
      <c r="P327" s="1174">
        <f>References!C16</f>
        <v>45000</v>
      </c>
      <c r="Q327" s="1175">
        <f>References!D16</f>
        <v>0.16</v>
      </c>
      <c r="R327" s="1247"/>
      <c r="S327" s="1248"/>
      <c r="T327" s="1248"/>
      <c r="U327" s="1248"/>
      <c r="V327" s="981"/>
      <c r="W327" s="981"/>
    </row>
    <row r="328" spans="1:44" ht="12.75" hidden="1" customHeight="1" x14ac:dyDescent="0.35">
      <c r="A328" s="953"/>
      <c r="L328" s="4"/>
      <c r="M328" s="980"/>
      <c r="O328" s="1174">
        <f>References!B17</f>
        <v>45001</v>
      </c>
      <c r="P328" s="1174">
        <f>References!C17</f>
        <v>135000</v>
      </c>
      <c r="Q328" s="1175">
        <f>References!D17</f>
        <v>0.3</v>
      </c>
      <c r="R328" s="981"/>
      <c r="S328" s="981"/>
      <c r="T328" s="981"/>
      <c r="U328" s="981"/>
      <c r="V328" s="981"/>
      <c r="W328" s="981"/>
    </row>
    <row r="329" spans="1:44" ht="12.75" hidden="1" customHeight="1" x14ac:dyDescent="0.4">
      <c r="A329" s="953"/>
      <c r="L329" s="4"/>
      <c r="M329" s="980"/>
      <c r="O329" s="1174">
        <f>References!B18</f>
        <v>135001</v>
      </c>
      <c r="P329" s="1174">
        <f>References!C18</f>
        <v>190000</v>
      </c>
      <c r="Q329" s="1175">
        <f>References!D18</f>
        <v>0.37</v>
      </c>
      <c r="R329" s="1033"/>
      <c r="S329" s="1030"/>
      <c r="T329" s="1030"/>
      <c r="U329" s="1030"/>
      <c r="V329" s="981"/>
      <c r="W329" s="981"/>
    </row>
    <row r="330" spans="1:44" ht="12.75" hidden="1" customHeight="1" x14ac:dyDescent="0.35">
      <c r="A330" s="953"/>
      <c r="L330" s="4"/>
      <c r="M330" s="980"/>
      <c r="O330" s="1174">
        <f>References!B19</f>
        <v>190001</v>
      </c>
      <c r="P330" s="1174">
        <f>References!C19</f>
        <v>0</v>
      </c>
      <c r="Q330" s="1175">
        <f>References!D19</f>
        <v>0.45</v>
      </c>
      <c r="R330" s="981"/>
      <c r="S330" s="981"/>
      <c r="T330" s="981"/>
      <c r="U330" s="981"/>
      <c r="V330" s="981"/>
      <c r="W330" s="981"/>
    </row>
    <row r="331" spans="1:44" ht="14.25" hidden="1" customHeight="1" x14ac:dyDescent="0.4">
      <c r="A331" s="953"/>
      <c r="L331" s="4"/>
      <c r="M331" s="980"/>
      <c r="O331" s="1176"/>
      <c r="P331" s="981"/>
      <c r="Q331" s="981"/>
      <c r="R331" s="981"/>
      <c r="S331" s="981"/>
      <c r="T331" s="981"/>
      <c r="U331" s="981"/>
      <c r="V331" s="981"/>
      <c r="W331" s="981"/>
      <c r="AA331" s="1034"/>
    </row>
    <row r="332" spans="1:44" ht="12.75" hidden="1" customHeight="1" x14ac:dyDescent="0.35">
      <c r="A332" s="953"/>
    </row>
    <row r="333" spans="1:44" ht="12.75" hidden="1" customHeight="1" x14ac:dyDescent="0.35">
      <c r="A333" s="953"/>
      <c r="AB333" s="1035" t="s">
        <v>201</v>
      </c>
      <c r="AD333" s="1036">
        <v>1000000000000000</v>
      </c>
      <c r="AH333" s="1037">
        <v>10000000</v>
      </c>
      <c r="AI333" s="1038">
        <v>1000000000000000</v>
      </c>
    </row>
    <row r="334" spans="1:44" ht="12.75" hidden="1" customHeight="1" x14ac:dyDescent="0.4">
      <c r="A334" s="953"/>
      <c r="W334" s="1039" t="s">
        <v>202</v>
      </c>
      <c r="X334" s="1040" t="s">
        <v>203</v>
      </c>
      <c r="Y334" s="1039" t="s">
        <v>73</v>
      </c>
      <c r="Z334" s="1039" t="s">
        <v>180</v>
      </c>
      <c r="AA334" s="1039" t="s">
        <v>202</v>
      </c>
      <c r="AB334" s="1039" t="s">
        <v>204</v>
      </c>
      <c r="AC334" s="1039" t="s">
        <v>205</v>
      </c>
      <c r="AD334" s="1039" t="s">
        <v>206</v>
      </c>
      <c r="AE334" s="1039"/>
      <c r="AF334" s="1039"/>
      <c r="AG334" s="1039"/>
      <c r="AH334" s="1039" t="s">
        <v>207</v>
      </c>
      <c r="AI334" s="1041" t="s">
        <v>208</v>
      </c>
      <c r="AJ334" s="1042" t="s">
        <v>180</v>
      </c>
      <c r="AK334" s="1042" t="s">
        <v>209</v>
      </c>
      <c r="AL334" s="1042" t="s">
        <v>210</v>
      </c>
    </row>
    <row r="335" spans="1:44" ht="12.75" hidden="1" customHeight="1" x14ac:dyDescent="0.35">
      <c r="A335" s="953"/>
      <c r="W335" s="955">
        <v>1</v>
      </c>
      <c r="X335" s="1043" t="s">
        <v>211</v>
      </c>
      <c r="Y335" s="1044">
        <f>O321</f>
        <v>1</v>
      </c>
      <c r="Z335" s="1045">
        <f>W319</f>
        <v>4280000</v>
      </c>
      <c r="AA335" s="955">
        <v>1</v>
      </c>
      <c r="AB335" s="1046">
        <f>SecValue</f>
        <v>5800000</v>
      </c>
      <c r="AC335" s="1047">
        <f>IF(ISERROR(Z335/AB335),0,Z335/AB335)</f>
        <v>0.73793103448275865</v>
      </c>
      <c r="AD335" s="1046">
        <f>AB335*$AD$333</f>
        <v>5.8E+21</v>
      </c>
      <c r="AE335" s="1048"/>
      <c r="AF335" s="1048"/>
      <c r="AG335" s="1048"/>
      <c r="AH335" s="1049"/>
      <c r="AI335" s="1048"/>
      <c r="AJ335" s="1046">
        <f>IF(AD335=0,Z335,MIN(Z335,AD335))</f>
        <v>4280000</v>
      </c>
      <c r="AK335" s="1046">
        <f>IF(AC335&gt;90%,IF(AB335&gt;0,MIN(MAX(AB335*90%,$Z$341),AB335*$AD$333),$Z$341),AJ335)</f>
        <v>4280000</v>
      </c>
      <c r="AL335" s="1046">
        <f>IF(AK335&gt;2000000,MAX($Z$339,2000000),AK335)</f>
        <v>4280000</v>
      </c>
    </row>
    <row r="336" spans="1:44" ht="12.75" hidden="1" customHeight="1" x14ac:dyDescent="0.35">
      <c r="A336" s="953"/>
      <c r="W336" s="955">
        <v>2</v>
      </c>
      <c r="X336" s="1043" t="s">
        <v>212</v>
      </c>
      <c r="Y336" s="1044">
        <f>O321</f>
        <v>1</v>
      </c>
      <c r="Z336" s="1046">
        <f>W319</f>
        <v>4280000</v>
      </c>
      <c r="AA336" s="955">
        <v>2</v>
      </c>
      <c r="AB336" s="1046">
        <f>SecValue</f>
        <v>5800000</v>
      </c>
      <c r="AC336" s="1047">
        <f>IF(ISERROR(Z336/AB336),0,Z336/AB336)</f>
        <v>0.73793103448275865</v>
      </c>
      <c r="AD336" s="1046">
        <f>AB336*$AD$333</f>
        <v>5.8E+21</v>
      </c>
      <c r="AE336" s="1048"/>
      <c r="AF336" s="1048"/>
      <c r="AG336" s="1048"/>
      <c r="AH336" s="1049"/>
      <c r="AI336" s="1048"/>
      <c r="AJ336" s="1046">
        <f>IF(AD336=0,Z336,MIN(Z336,AD336))</f>
        <v>4280000</v>
      </c>
      <c r="AK336" s="1046">
        <f>IF(AC336&gt;90%,IF(AB336&gt;0,MIN(MAX(AB336*90%,$Z$341),AB336*$AD$333),$Z$341),AJ336)</f>
        <v>4280000</v>
      </c>
      <c r="AL336" s="1046">
        <f>IF(AK336&gt;2000000,MAX($Z$339,2000000),AK336)</f>
        <v>4280000</v>
      </c>
    </row>
    <row r="337" spans="1:38" ht="12.75" hidden="1" customHeight="1" x14ac:dyDescent="0.35">
      <c r="A337" s="953"/>
      <c r="W337" s="955">
        <v>3</v>
      </c>
      <c r="X337" s="1043" t="s">
        <v>213</v>
      </c>
      <c r="Y337" s="1044">
        <v>1</v>
      </c>
      <c r="Z337" s="1046">
        <f>AG319</f>
        <v>4280000</v>
      </c>
      <c r="AA337" s="955">
        <v>3</v>
      </c>
      <c r="AB337" s="1046">
        <f>SecValue</f>
        <v>5800000</v>
      </c>
      <c r="AC337" s="1047">
        <f>IF(ISERROR(Z337/AB337),0,Z337/AB337)</f>
        <v>0.73793103448275865</v>
      </c>
      <c r="AD337" s="1048"/>
      <c r="AE337" s="1050"/>
      <c r="AF337" s="1050"/>
      <c r="AG337" s="1050"/>
      <c r="AH337" s="1045">
        <f>AH333</f>
        <v>10000000</v>
      </c>
      <c r="AI337" s="1051">
        <f>AB337*$AI$333</f>
        <v>5.8E+21</v>
      </c>
      <c r="AJ337" s="1046">
        <f>MIN(AH337,Z337,AI337)</f>
        <v>4280000</v>
      </c>
      <c r="AK337" s="1046">
        <f>IF(AC337&gt;90%,IF(AB337&gt;0,MIN(MAX(AB337*90%,$Z$341),AB337*$AI$333),$Z$341),AJ337)</f>
        <v>4280000</v>
      </c>
      <c r="AL337" s="1046">
        <f>IF(AK337&gt;2000000,MAX($Z$339,2000000),AK337)</f>
        <v>4280000</v>
      </c>
    </row>
    <row r="338" spans="1:38" ht="12.75" hidden="1" customHeight="1" x14ac:dyDescent="0.35">
      <c r="A338" s="953"/>
      <c r="W338" s="955">
        <v>4</v>
      </c>
      <c r="X338" s="1043" t="s">
        <v>214</v>
      </c>
      <c r="Y338" s="1044">
        <v>1</v>
      </c>
      <c r="Z338" s="1046">
        <f>AG319</f>
        <v>4280000</v>
      </c>
      <c r="AA338" s="955">
        <v>4</v>
      </c>
      <c r="AB338" s="1050"/>
      <c r="AC338" s="1050"/>
      <c r="AD338" s="1050"/>
      <c r="AE338" s="1050"/>
      <c r="AF338" s="1052"/>
      <c r="AG338" s="1052"/>
      <c r="AH338" s="1050"/>
      <c r="AI338" s="1050"/>
      <c r="AJ338" s="1045">
        <f>Z338</f>
        <v>4280000</v>
      </c>
      <c r="AL338" s="1045">
        <f>AJ338</f>
        <v>4280000</v>
      </c>
    </row>
    <row r="339" spans="1:38" ht="12.75" hidden="1" customHeight="1" x14ac:dyDescent="0.35">
      <c r="A339" s="953"/>
      <c r="W339" s="955">
        <v>5</v>
      </c>
      <c r="X339" s="1043" t="s">
        <v>215</v>
      </c>
      <c r="Y339" s="1044">
        <v>1</v>
      </c>
      <c r="Z339" s="1046">
        <f>AG319</f>
        <v>4280000</v>
      </c>
      <c r="AA339" s="955">
        <v>5</v>
      </c>
      <c r="AB339" s="1050"/>
      <c r="AC339" s="1050"/>
      <c r="AD339" s="1050"/>
      <c r="AE339" s="1050"/>
      <c r="AF339" s="1052"/>
      <c r="AG339" s="1052"/>
      <c r="AH339" s="1050"/>
      <c r="AI339" s="1050"/>
      <c r="AJ339" s="1045">
        <f>Z339</f>
        <v>4280000</v>
      </c>
      <c r="AL339" s="1045">
        <f>AJ339</f>
        <v>4280000</v>
      </c>
    </row>
    <row r="340" spans="1:38" ht="12.75" hidden="1" customHeight="1" x14ac:dyDescent="0.35">
      <c r="A340" s="953"/>
    </row>
    <row r="341" spans="1:38" ht="12.75" hidden="1" customHeight="1" x14ac:dyDescent="0.35">
      <c r="A341" s="953"/>
      <c r="X341" s="1043" t="s">
        <v>216</v>
      </c>
      <c r="Y341" s="1044">
        <v>1</v>
      </c>
      <c r="Z341" s="1046">
        <f>AR319</f>
        <v>4280000</v>
      </c>
    </row>
    <row r="342" spans="1:38" ht="12.75" hidden="1" customHeight="1" x14ac:dyDescent="0.4">
      <c r="A342" s="953"/>
      <c r="AD342" s="1053" t="s">
        <v>217</v>
      </c>
      <c r="AE342" s="1054">
        <f>IF(ISERROR(W319),2,IF(W319&gt;2000000,5,product))</f>
        <v>5</v>
      </c>
    </row>
    <row r="343" spans="1:38" ht="12.75" hidden="1" customHeight="1" x14ac:dyDescent="0.4">
      <c r="A343" s="953"/>
      <c r="AD343" s="1053" t="s">
        <v>218</v>
      </c>
      <c r="AE343" s="1046">
        <f>VLOOKUP(AE342,AA335:AM339,12,0)</f>
        <v>4280000</v>
      </c>
    </row>
    <row r="344" spans="1:38" ht="12.75" hidden="1" customHeight="1" x14ac:dyDescent="0.35">
      <c r="A344" s="953"/>
    </row>
    <row r="345" spans="1:38" ht="12.75" hidden="1" customHeight="1" x14ac:dyDescent="0.35">
      <c r="A345" s="953"/>
    </row>
    <row r="346" spans="1:38" ht="12.75" hidden="1" customHeight="1" x14ac:dyDescent="0.4">
      <c r="A346" s="953"/>
      <c r="AD346" s="1053" t="s">
        <v>180</v>
      </c>
      <c r="AE346" s="1046">
        <f>IF(VLOOKUP(AE342,W335:Z339,4,0)&gt;2000000,MAX($Z$339,2000000),VLOOKUP(AE342,W335:Z339,4,0))</f>
        <v>4280000</v>
      </c>
    </row>
    <row r="347" spans="1:38" ht="12.75" hidden="1" customHeight="1" x14ac:dyDescent="0.4">
      <c r="A347" s="953"/>
      <c r="AD347" s="1053" t="s">
        <v>219</v>
      </c>
      <c r="AE347" s="1046">
        <f>Z341</f>
        <v>4280000</v>
      </c>
    </row>
    <row r="348" spans="1:38" ht="12.75" hidden="1" customHeight="1" x14ac:dyDescent="0.4">
      <c r="A348" s="953"/>
      <c r="AD348" s="1053" t="s">
        <v>220</v>
      </c>
      <c r="AE348" s="1046">
        <f>IF(FinalLVR&gt;90%,Z341,VLOOKUP(AE342,W335:Z339,4,0))</f>
        <v>4280000</v>
      </c>
    </row>
    <row r="349" spans="1:38" ht="12.75" hidden="1" customHeight="1" x14ac:dyDescent="0.35">
      <c r="A349" s="953"/>
    </row>
    <row r="350" spans="1:38" ht="12.75" hidden="1" customHeight="1" x14ac:dyDescent="0.35">
      <c r="A350" s="953"/>
    </row>
    <row r="351" spans="1:38" ht="12.75" hidden="1" customHeight="1" x14ac:dyDescent="0.35">
      <c r="A351" s="953"/>
    </row>
    <row r="352" spans="1:38" ht="12.75" hidden="1" customHeight="1" x14ac:dyDescent="0.35">
      <c r="A352" s="953"/>
    </row>
    <row r="353" spans="1:34" ht="12.75" hidden="1" customHeight="1" x14ac:dyDescent="0.35">
      <c r="A353" s="953"/>
    </row>
    <row r="354" spans="1:34" ht="12.75" hidden="1" customHeight="1" x14ac:dyDescent="0.35">
      <c r="A354" s="953"/>
    </row>
    <row r="355" spans="1:34" ht="38.25" hidden="1" x14ac:dyDescent="0.35">
      <c r="A355" s="953"/>
      <c r="AD355" s="1286"/>
      <c r="AE355" s="1287"/>
      <c r="AF355" s="1055" t="s">
        <v>221</v>
      </c>
      <c r="AG355" s="1056" t="s">
        <v>222</v>
      </c>
      <c r="AH355" s="955"/>
    </row>
    <row r="356" spans="1:34" ht="12.75" hidden="1" customHeight="1" x14ac:dyDescent="0.35">
      <c r="A356" s="953"/>
      <c r="AD356" s="1285" t="s">
        <v>223</v>
      </c>
      <c r="AE356" s="1285"/>
      <c r="AF356" s="955">
        <f>+I201*12</f>
        <v>280296</v>
      </c>
      <c r="AG356" s="1057">
        <f>-PMT(IF(Mortgage_1_Rate&lt;&gt;0,MAX(Mortgage_1_Rate+Var_buffer,minVar_rate)/12, (minVar_rate/12)),IF(Mortgage_1_PI_Term&lt;&gt;0, Mortgage_1_PI_Term, Default_Loan_Assess_Term_Months),Mortgage_1_Limit,0,0)*12</f>
        <v>360779.72509465762</v>
      </c>
      <c r="AH356" s="955"/>
    </row>
    <row r="357" spans="1:34" ht="12.75" hidden="1" customHeight="1" x14ac:dyDescent="0.35">
      <c r="A357" s="953"/>
      <c r="AD357" s="1285" t="s">
        <v>224</v>
      </c>
      <c r="AE357" s="1285"/>
      <c r="AF357" s="955">
        <f>+I203*12</f>
        <v>280248</v>
      </c>
      <c r="AG357" s="1057">
        <f>-PMT(IF(Mortgage_2_Rate&lt;&gt;0,MAX(Mortgage_2_Rate+Var_buffer,minVar_rate)/12, (minVar_rate/12)),IF(Mortgage_2_PI_Term&lt;&gt;0, Mortgage_2_PI_Term, Default_Loan_Assess_Term_Months),Mortgage_2_Limit,0,0)*12</f>
        <v>363876.65863982431</v>
      </c>
      <c r="AH357" s="955"/>
    </row>
    <row r="358" spans="1:34" ht="12.75" hidden="1" customHeight="1" x14ac:dyDescent="0.35">
      <c r="A358" s="953"/>
      <c r="AD358" s="1285" t="s">
        <v>225</v>
      </c>
      <c r="AE358" s="1285"/>
      <c r="AF358" s="955">
        <f>+I205*12</f>
        <v>0</v>
      </c>
      <c r="AG358" s="1057">
        <f>-PMT(IF(Mortgage_3_Rate&lt;&gt;0,MAX(Mortgage_3_Rate+Var_buffer, minVar_rate)/12, (minVar_rate/12)),IF(Mortgage_3_PI_Term&lt;&gt;0, Mortgage_3_PI_Term, Default_Loan_Assess_Term_Months),Mortgage_3_Limit,0,0)*12</f>
        <v>0</v>
      </c>
      <c r="AH358" s="955"/>
    </row>
    <row r="359" spans="1:34" ht="12.75" hidden="1" customHeight="1" x14ac:dyDescent="0.35">
      <c r="A359" s="953"/>
      <c r="AD359" s="1285" t="s">
        <v>226</v>
      </c>
      <c r="AE359" s="1285"/>
      <c r="AF359" s="955">
        <f>+I207*12</f>
        <v>0</v>
      </c>
      <c r="AG359" s="1057">
        <f>-PMT(IF(Mortgage_4_Rate&lt;&gt;0,MAX(Mortgage_4_Rate+Var_buffer, minVar_rate)/12, (minVar_rate/12)),IF(Mortgage_4_PI_Term&lt;&gt;0, Mortgage_4_PI_Term, Default_Loan_Assess_Term_Months),Mortgage_4_Limit,0,0)*12</f>
        <v>0</v>
      </c>
      <c r="AH359" s="955"/>
    </row>
    <row r="360" spans="1:34" ht="12.75" hidden="1" customHeight="1" x14ac:dyDescent="0.35">
      <c r="A360" s="953"/>
      <c r="AD360" s="1285" t="s">
        <v>113</v>
      </c>
      <c r="AE360" s="1285"/>
      <c r="AF360" s="955">
        <f>+I209*12</f>
        <v>0</v>
      </c>
      <c r="AG360" s="1057">
        <f>-PMT(IF(Mortgage_PERSONAL_Rate&lt;&gt;0, MAX(Mortgage_PERSONAL_Rate+Var_buffer, minVar_rate)/12, minVar_rate/12),IF(Mortgage_PERSONAL_PI_Term&lt;&gt;0,Mortgage_PERSONAL_PI_Term,294),Personal_Limit,0,0)*12</f>
        <v>0</v>
      </c>
      <c r="AH360" s="955"/>
    </row>
    <row r="361" spans="1:34" ht="12.75" hidden="1" customHeight="1" x14ac:dyDescent="0.35">
      <c r="A361" s="953"/>
      <c r="AD361" s="1285" t="s">
        <v>114</v>
      </c>
      <c r="AE361" s="1285"/>
      <c r="AF361" s="955">
        <f>+I211*12</f>
        <v>0</v>
      </c>
      <c r="AG361" s="1057">
        <f>-PMT(IF(Mortgage_HIRE_Rate&lt;&gt;0, MAX(Mortgage_HIRE_Rate+Var_buffer, minVar_rate)/12, minVar_rate/12),IF(Mortgage_HIRE_PI_Term&lt;&gt;0,Mortgage_HIRE_PI_Term,294),Hire_Limit,0,0)*12</f>
        <v>0</v>
      </c>
      <c r="AH361" s="955"/>
    </row>
    <row r="362" spans="1:34" ht="12.75" hidden="1" customHeight="1" x14ac:dyDescent="0.35">
      <c r="A362" s="953"/>
      <c r="AD362" s="1285" t="s">
        <v>115</v>
      </c>
      <c r="AE362" s="1285"/>
      <c r="AF362" s="955">
        <f>+I213*12</f>
        <v>0</v>
      </c>
      <c r="AG362" s="1057">
        <f>-PMT(IF(Mortgage_LEASE_Rate&lt;&gt;0, MAX(Mortgage_LEASE_Rate+Var_buffer, minVar_rate)/12, minVar_rate/12),IF(Mortgage_LEASE_PI_Term&lt;&gt;0,Mortgage_LEASE_PI_Term,294),Lease_Limit,0,0)*12</f>
        <v>0</v>
      </c>
      <c r="AH362" s="955"/>
    </row>
    <row r="363" spans="1:34" ht="12.75" hidden="1" customHeight="1" x14ac:dyDescent="0.35">
      <c r="A363" s="953"/>
      <c r="AD363" s="1285" t="s">
        <v>116</v>
      </c>
      <c r="AE363" s="1285"/>
      <c r="AF363" s="955">
        <f>+I215*12</f>
        <v>0</v>
      </c>
      <c r="AG363" s="1057">
        <f>-PMT(IF(Other_Debt_Rate&lt;&gt;0,MAX(Other_Debt_Rate+Var_buffer, minVar_rate)/12, (minVar_rate/12)),IF(Other_Debt_PI_Term&lt;&gt;0, Other_Debt_PI_Term, Default_Loan_Assess_Term_Months),Other_Debt_Limit,0,0)*12</f>
        <v>0</v>
      </c>
      <c r="AH363" s="955"/>
    </row>
    <row r="364" spans="1:34" ht="12.75" hidden="1" customHeight="1" x14ac:dyDescent="0.35">
      <c r="A364" s="953"/>
      <c r="AD364" s="1285" t="s">
        <v>117</v>
      </c>
      <c r="AE364" s="1285"/>
      <c r="AF364" s="955">
        <f>+I217*12</f>
        <v>0</v>
      </c>
      <c r="AG364" s="1057">
        <f>-PMT(IF(Margin_Rate&lt;&gt;0,MAX(Margin_Rate+Var_buffer, minVar_rate )/12, (minVar_rate/12)),IF(Margin_PI_Term&lt;&gt;0, Margin_PI_Term, Default_Loan_Assess_Term_Months),Margin_Limit,0,0)*12</f>
        <v>0</v>
      </c>
      <c r="AH364" s="955"/>
    </row>
    <row r="365" spans="1:34" ht="12.75" hidden="1" customHeight="1" x14ac:dyDescent="0.35">
      <c r="A365" s="953"/>
      <c r="AE365" s="853" t="s">
        <v>120</v>
      </c>
      <c r="AF365" s="1068">
        <f>I221*12</f>
        <v>0</v>
      </c>
      <c r="AG365" s="1068">
        <f>E221</f>
        <v>0</v>
      </c>
    </row>
    <row r="366" spans="1:34" ht="12.75" hidden="1" customHeight="1" x14ac:dyDescent="0.35">
      <c r="A366" s="953"/>
    </row>
    <row r="367" spans="1:34" ht="12.75" hidden="1" customHeight="1" x14ac:dyDescent="0.35">
      <c r="A367" s="953"/>
    </row>
    <row r="368" spans="1:34" ht="12.75" hidden="1" customHeight="1" x14ac:dyDescent="0.35">
      <c r="A368" s="953"/>
    </row>
    <row r="369" spans="1:32" ht="12.75" hidden="1" customHeight="1" x14ac:dyDescent="0.35">
      <c r="A369" s="953"/>
    </row>
    <row r="370" spans="1:32" ht="12.75" hidden="1" customHeight="1" x14ac:dyDescent="0.35">
      <c r="A370" s="953"/>
    </row>
    <row r="371" spans="1:32" ht="12.75" hidden="1" customHeight="1" x14ac:dyDescent="0.35">
      <c r="A371" s="953"/>
    </row>
    <row r="372" spans="1:32" ht="12.75" hidden="1" customHeight="1" x14ac:dyDescent="0.35">
      <c r="A372" s="953"/>
    </row>
    <row r="373" spans="1:32" ht="12.75" hidden="1" customHeight="1" x14ac:dyDescent="0.35">
      <c r="A373" s="953"/>
    </row>
    <row r="374" spans="1:32" ht="12.75" hidden="1" customHeight="1" x14ac:dyDescent="0.35">
      <c r="A374" s="953"/>
    </row>
    <row r="375" spans="1:32" ht="12.75" hidden="1" customHeight="1" x14ac:dyDescent="0.35">
      <c r="A375" s="953"/>
    </row>
    <row r="376" spans="1:32" ht="12.75" hidden="1" customHeight="1" x14ac:dyDescent="0.35">
      <c r="A376" s="953"/>
    </row>
    <row r="377" spans="1:32" ht="12.75" hidden="1" customHeight="1" x14ac:dyDescent="0.35">
      <c r="A377" s="953"/>
      <c r="K377" s="853"/>
      <c r="L377" s="853"/>
      <c r="M377" s="8"/>
      <c r="N377" s="943"/>
      <c r="O377" s="853"/>
      <c r="P377" s="853"/>
      <c r="Q377" s="853"/>
      <c r="R377" s="853"/>
      <c r="S377" s="853"/>
      <c r="T377" s="853"/>
      <c r="U377" s="853"/>
      <c r="V377" s="853"/>
      <c r="W377" s="853"/>
      <c r="X377" s="853"/>
      <c r="Y377" s="853"/>
      <c r="Z377" s="853"/>
      <c r="AA377" s="853"/>
      <c r="AB377" s="853"/>
      <c r="AC377" s="853"/>
      <c r="AD377" s="853"/>
      <c r="AE377" s="853"/>
      <c r="AF377" s="853"/>
    </row>
    <row r="378" spans="1:32" ht="12.75" hidden="1" customHeight="1" x14ac:dyDescent="0.35">
      <c r="A378" s="953"/>
      <c r="K378" s="853"/>
      <c r="L378" s="853"/>
      <c r="M378" s="8"/>
      <c r="N378" s="943"/>
      <c r="O378" s="853"/>
      <c r="P378" s="853"/>
      <c r="Q378" s="853"/>
      <c r="R378" s="853"/>
      <c r="S378" s="853"/>
      <c r="T378" s="853"/>
      <c r="U378" s="853"/>
      <c r="V378" s="853"/>
      <c r="W378" s="853"/>
      <c r="X378" s="853"/>
      <c r="Y378" s="853"/>
      <c r="Z378" s="853"/>
      <c r="AA378" s="853"/>
      <c r="AB378" s="853"/>
      <c r="AC378" s="853"/>
      <c r="AD378" s="853"/>
      <c r="AE378" s="853"/>
      <c r="AF378" s="853"/>
    </row>
    <row r="379" spans="1:32" ht="12.75" hidden="1" customHeight="1" x14ac:dyDescent="0.35">
      <c r="A379" s="953"/>
      <c r="K379" s="853"/>
      <c r="L379" s="853"/>
      <c r="M379" s="8"/>
      <c r="N379" s="943"/>
      <c r="O379" s="853"/>
      <c r="P379" s="853"/>
      <c r="Q379" s="853"/>
      <c r="R379" s="853"/>
      <c r="S379" s="853"/>
      <c r="T379" s="853"/>
      <c r="U379" s="853"/>
      <c r="V379" s="853"/>
      <c r="W379" s="853"/>
      <c r="X379" s="853"/>
      <c r="Y379" s="853"/>
      <c r="Z379" s="853"/>
      <c r="AA379" s="853"/>
      <c r="AB379" s="853"/>
      <c r="AC379" s="853"/>
      <c r="AD379" s="853"/>
      <c r="AE379" s="853"/>
      <c r="AF379" s="853"/>
    </row>
    <row r="380" spans="1:32" ht="12.75" hidden="1" customHeight="1" x14ac:dyDescent="0.35">
      <c r="A380" s="953"/>
      <c r="K380" s="746"/>
      <c r="L380" s="746"/>
      <c r="M380" s="789" t="s">
        <v>227</v>
      </c>
      <c r="N380" s="784"/>
      <c r="O380" s="853"/>
      <c r="P380" s="853"/>
      <c r="Q380" s="853"/>
      <c r="R380" s="853"/>
      <c r="S380" s="853"/>
      <c r="T380" s="853"/>
      <c r="U380" s="853"/>
      <c r="V380" s="853"/>
      <c r="W380" s="853"/>
      <c r="X380" s="853"/>
      <c r="Y380" s="853"/>
      <c r="Z380" s="853"/>
      <c r="AA380" s="853"/>
      <c r="AB380" s="853"/>
      <c r="AC380" s="853"/>
      <c r="AD380" s="853"/>
      <c r="AE380" s="853"/>
      <c r="AF380" s="853"/>
    </row>
    <row r="381" spans="1:32" ht="12.75" hidden="1" customHeight="1" x14ac:dyDescent="0.35">
      <c r="A381" s="953"/>
      <c r="K381" s="746"/>
      <c r="L381" s="746"/>
      <c r="M381" s="789"/>
      <c r="N381" s="784"/>
      <c r="O381" s="853"/>
      <c r="P381" s="853"/>
      <c r="Q381" s="853"/>
      <c r="R381" s="853"/>
      <c r="S381" s="853"/>
      <c r="T381" s="853"/>
      <c r="U381" s="853"/>
      <c r="V381" s="853"/>
      <c r="W381" s="853"/>
      <c r="X381" s="853"/>
      <c r="Y381" s="853"/>
      <c r="Z381" s="853"/>
      <c r="AA381" s="853"/>
      <c r="AB381" s="853"/>
      <c r="AC381" s="853"/>
      <c r="AD381" s="853"/>
      <c r="AE381" s="853"/>
      <c r="AF381" s="853"/>
    </row>
    <row r="382" spans="1:32" ht="12.75" hidden="1" customHeight="1" x14ac:dyDescent="0.4">
      <c r="A382" s="953"/>
      <c r="K382" s="746"/>
      <c r="L382" s="746"/>
      <c r="M382" s="1211" t="s">
        <v>228</v>
      </c>
      <c r="N382" s="1212">
        <f>(IF(Loanamt=0,0,IF(Acct1IntOnlyPrd&gt;0,Acct1LoanAmt*Acct1LoanIntRate,-PMT(Acct1LoanIntRate/12, Acct1LoanTerm*12, Acct1LoanAmt,0,0)*12)+IF(Acct2IntOnlyPrd&gt;0,Acct2LoanAmt*Acct2LoanIntRate,-PMT(Acct2LoanIntRate/12, Acct2LoanTerm*12, Acct2LoanAmt,0,0)*12)+IF(Acct3IntOnlyPrd&gt;0,Acct3LoanAmt*Acct3LoanIntRate,-PMT(Acct3LoanIntRate/12, Acct3LoanTerm*12, Acct3LoanAmt,0,0)*12)+IF(Acct4IntOnlyPrd&gt;0,Acct4LoanAmt*Acct4LoanIntRate,-PMT(Acct4LoanIntRate/12, Acct4LoanTerm*12, Acct4LoanAmt,0,0)*12)+IF(Acct5IntOnlyPrd&gt;0,Acct5LoanAmt*Acct5LoanIntRate,-PMT(Acct5LoanIntRate/12, Acct5LoanTerm*12, Acct5LoanAmt,0,0)*12)+IF(Acct6IntOnlyPrd&gt;0,Acct6LoanAmt*Acct6LoanIntRate,-PMT(Acct6LoanIntRate/12, Acct6LoanTerm*12, Acct6LoanAmt,0,0)*12)+IF(LMIcap_flag="Y",IF(AND(ISNUMBER(LDFValue),LMIcap_flag="Y",Acct1IntOnlyPrd&gt;0),LDFValue*Acct1LoanIntRate,-PMT(Acct1LoanIntRate/12, Acct1LoanTerm*12, LDFValue,0,0)*12),0)))/GrossIncome_preHC</f>
        <v>0.12041204160023056</v>
      </c>
      <c r="O382" s="853"/>
      <c r="P382" s="853"/>
      <c r="Q382" s="853"/>
      <c r="R382" s="853"/>
      <c r="S382" s="853"/>
      <c r="T382" s="853"/>
      <c r="U382" s="853"/>
      <c r="V382" s="853"/>
      <c r="W382" s="853"/>
      <c r="X382" s="853"/>
      <c r="Y382" s="853"/>
      <c r="Z382" s="853"/>
      <c r="AA382" s="853"/>
      <c r="AB382" s="853"/>
      <c r="AC382" s="853"/>
      <c r="AD382" s="853"/>
      <c r="AE382" s="853"/>
      <c r="AF382" s="853"/>
    </row>
    <row r="383" spans="1:32" hidden="1" x14ac:dyDescent="0.35">
      <c r="A383" s="953"/>
      <c r="K383" s="746"/>
      <c r="L383" s="746"/>
      <c r="M383" s="1213" t="s">
        <v>229</v>
      </c>
      <c r="N383" s="1214">
        <f>Final_Loan</f>
        <v>4060000</v>
      </c>
      <c r="O383" s="853"/>
      <c r="P383" s="853"/>
      <c r="Q383" s="853"/>
      <c r="R383" s="853"/>
      <c r="S383" s="853"/>
      <c r="T383" s="853"/>
      <c r="U383" s="853"/>
      <c r="V383" s="853"/>
      <c r="W383" s="853"/>
      <c r="X383" s="853"/>
      <c r="Y383" s="853"/>
      <c r="Z383" s="853"/>
      <c r="AA383" s="853"/>
      <c r="AB383" s="853"/>
      <c r="AC383" s="853"/>
      <c r="AD383" s="853"/>
      <c r="AE383" s="853"/>
      <c r="AF383" s="853"/>
    </row>
    <row r="384" spans="1:32" hidden="1" x14ac:dyDescent="0.35">
      <c r="A384" s="953"/>
      <c r="K384" s="746"/>
      <c r="L384" s="746"/>
      <c r="M384" s="1213" t="s">
        <v>230</v>
      </c>
      <c r="N384" s="1214">
        <f>Applicant1+Overtime1+Bonus1+OtherIncome1+NonTaxInc1+_SE1+Applicant2+Overtime2+Bonus2+OtherIncome2+NonTaxInc2+_SE2+Applicant3+Overtime3+Bonus3+OtherIncome3+NonTaxInc3+_SE3+Applicant4+Overtime4+Bonus4+OtherIncome4+NonTaxInc4+_SE4+RentalInc1+RentalIncOth1+RentalInc2+RentalIncOth2+RentalInc3+RentalIncOth3+RentalInc4+RentalIncOth4</f>
        <v>2120834.4</v>
      </c>
      <c r="O384" s="853"/>
      <c r="P384" s="853"/>
      <c r="Q384" s="853"/>
      <c r="R384" s="853"/>
      <c r="S384" s="853"/>
      <c r="T384" s="853"/>
      <c r="U384" s="853"/>
      <c r="V384" s="853"/>
      <c r="W384" s="853"/>
      <c r="X384" s="853"/>
      <c r="Y384" s="853"/>
      <c r="Z384" s="853"/>
      <c r="AA384" s="853"/>
      <c r="AB384" s="853"/>
      <c r="AC384" s="853"/>
      <c r="AD384" s="853"/>
      <c r="AE384" s="853"/>
      <c r="AF384" s="853"/>
    </row>
    <row r="385" spans="1:32" ht="13.15" hidden="1" x14ac:dyDescent="0.4">
      <c r="A385" s="953"/>
      <c r="K385" s="746"/>
      <c r="L385" s="746"/>
      <c r="M385" s="1215" t="s">
        <v>231</v>
      </c>
      <c r="N385" s="1216">
        <f>Final_Loan/GrossIncome_preHC</f>
        <v>1.9143408839464318</v>
      </c>
      <c r="O385" s="853"/>
      <c r="P385" s="853"/>
      <c r="Q385" s="853"/>
      <c r="R385" s="853"/>
      <c r="S385" s="853"/>
      <c r="T385" s="853"/>
      <c r="U385" s="853"/>
      <c r="V385" s="853"/>
      <c r="W385" s="853"/>
      <c r="X385" s="853"/>
      <c r="Y385" s="853"/>
      <c r="Z385" s="853"/>
      <c r="AA385" s="853"/>
      <c r="AB385" s="853"/>
      <c r="AC385" s="853"/>
      <c r="AD385" s="853"/>
      <c r="AE385" s="853"/>
      <c r="AF385" s="853"/>
    </row>
    <row r="386" spans="1:32" hidden="1" x14ac:dyDescent="0.35">
      <c r="A386" s="953"/>
      <c r="K386" s="746"/>
      <c r="L386" s="746"/>
      <c r="M386" s="1213" t="s">
        <v>232</v>
      </c>
      <c r="N386" s="1214">
        <f>Final_Loan+Mortgage_1_Limit+Mortgage_2_Limit+Mortgage_3_Limit+Mortgage_4_Limit+Personal_Limit+Hire_Limit+Lease_Limit+Other_Debt_Limit+Margin_Limit+Credit_card+CC_proposed+C221</f>
        <v>11597331</v>
      </c>
      <c r="O386" s="853"/>
      <c r="P386" s="853"/>
      <c r="Q386" s="853"/>
      <c r="R386" s="853"/>
      <c r="S386" s="853"/>
      <c r="T386" s="853"/>
      <c r="U386" s="853"/>
      <c r="V386" s="853"/>
      <c r="W386" s="853"/>
      <c r="X386" s="853"/>
      <c r="Y386" s="853"/>
      <c r="Z386" s="853"/>
      <c r="AA386" s="853"/>
      <c r="AB386" s="853"/>
      <c r="AC386" s="853"/>
      <c r="AD386" s="853"/>
      <c r="AE386" s="853"/>
      <c r="AF386" s="853"/>
    </row>
    <row r="387" spans="1:32" ht="13.15" hidden="1" x14ac:dyDescent="0.4">
      <c r="A387" s="953"/>
      <c r="K387" s="746"/>
      <c r="L387" s="746"/>
      <c r="M387" s="1215" t="s">
        <v>233</v>
      </c>
      <c r="N387" s="1216">
        <f>AllDebt/GrossIncome_preHC</f>
        <v>5.4682869157535361</v>
      </c>
      <c r="O387" s="853"/>
      <c r="P387" s="853"/>
      <c r="Q387" s="853"/>
      <c r="R387" s="853"/>
      <c r="S387" s="853"/>
      <c r="T387" s="853"/>
      <c r="U387" s="853"/>
      <c r="V387" s="853"/>
      <c r="W387" s="853"/>
      <c r="X387" s="853"/>
      <c r="Y387" s="853"/>
      <c r="Z387" s="853"/>
      <c r="AA387" s="853"/>
      <c r="AB387" s="853"/>
      <c r="AC387" s="853"/>
      <c r="AD387" s="853"/>
      <c r="AE387" s="853"/>
      <c r="AF387" s="853"/>
    </row>
    <row r="388" spans="1:32" ht="13.15" hidden="1" x14ac:dyDescent="0.4">
      <c r="A388" s="953"/>
      <c r="K388" s="746"/>
      <c r="L388" s="746"/>
      <c r="M388" s="1215" t="s">
        <v>73</v>
      </c>
      <c r="N388" s="1217">
        <f>NSR</f>
        <v>1.01</v>
      </c>
      <c r="O388" s="853"/>
      <c r="P388" s="853"/>
      <c r="Q388" s="853"/>
      <c r="R388" s="853"/>
      <c r="S388" s="853"/>
      <c r="T388" s="853"/>
      <c r="U388" s="853"/>
      <c r="V388" s="853"/>
      <c r="W388" s="853"/>
      <c r="X388" s="853"/>
      <c r="Y388" s="853"/>
      <c r="Z388" s="853"/>
      <c r="AA388" s="853"/>
      <c r="AB388" s="853"/>
      <c r="AC388" s="853"/>
      <c r="AD388" s="853"/>
      <c r="AE388" s="853"/>
      <c r="AF388" s="853"/>
    </row>
    <row r="389" spans="1:32" ht="13.15" hidden="1" x14ac:dyDescent="0.4">
      <c r="A389" s="953"/>
      <c r="K389" s="746"/>
      <c r="L389" s="746"/>
      <c r="M389" s="1218" t="s">
        <v>234</v>
      </c>
      <c r="N389" s="1214">
        <f>SURPLUS</f>
        <v>22740.861211330863</v>
      </c>
      <c r="O389" s="853"/>
      <c r="P389" s="853"/>
      <c r="Q389" s="853"/>
      <c r="R389" s="853"/>
      <c r="S389" s="853"/>
      <c r="T389" s="853"/>
      <c r="U389" s="853"/>
      <c r="V389" s="853"/>
      <c r="W389" s="853"/>
      <c r="X389" s="853"/>
      <c r="Y389" s="853"/>
      <c r="Z389" s="853"/>
      <c r="AA389" s="853"/>
      <c r="AB389" s="853"/>
      <c r="AC389" s="853"/>
      <c r="AD389" s="853"/>
      <c r="AE389" s="853"/>
      <c r="AF389" s="853"/>
    </row>
    <row r="390" spans="1:32" ht="13.15" hidden="1" x14ac:dyDescent="0.4">
      <c r="A390" s="953"/>
      <c r="K390" s="746"/>
      <c r="L390" s="746"/>
      <c r="M390" s="1215" t="s">
        <v>235</v>
      </c>
      <c r="N390" s="1212">
        <f>SURPLUS/GrossIncome_preHC</f>
        <v>1.0722601072168041E-2</v>
      </c>
      <c r="O390" s="853"/>
      <c r="P390" s="853"/>
      <c r="Q390" s="853"/>
      <c r="R390" s="853"/>
      <c r="S390" s="853"/>
      <c r="T390" s="853"/>
      <c r="U390" s="853"/>
      <c r="V390" s="853"/>
      <c r="W390" s="853"/>
      <c r="X390" s="853"/>
      <c r="Y390" s="853"/>
      <c r="Z390" s="853"/>
      <c r="AA390" s="853"/>
      <c r="AB390" s="853"/>
      <c r="AC390" s="853"/>
      <c r="AD390" s="853"/>
      <c r="AE390" s="853"/>
      <c r="AF390" s="853"/>
    </row>
    <row r="391" spans="1:32" ht="13.15" hidden="1" x14ac:dyDescent="0.4">
      <c r="A391" s="953"/>
      <c r="K391" s="746"/>
      <c r="L391" s="746"/>
      <c r="M391" s="1215" t="s">
        <v>236</v>
      </c>
      <c r="N391" s="1212">
        <f>IF(Loanamt=0,0,(MAX(minVar_rate,Acct1LoanIntRate+Var_buffer)*(Acct1LoanAmt/Final_Loan)+MAX(minVar_rate,Acct2LoanIntRate+Var_buffer)*(Acct2LoanAmt/Final_Loan)+MAX(minVar_rate,Acct3LoanIntRate+Var_buffer)*(Acct3LoanAmt/Final_Loan)+MAX(minVar_rate,Acct4LoanIntRate+Var_buffer)*(Acct4LoanAmt/Final_Loan)+MAX(minVar_rate,Acct5LoanIntRate+Var_buffer)*(Acct5LoanAmt/Final_Loan)+MAX(minVar_rate,Acct6LoanIntRate+Var_buffer)*(Acct6LoanAmt/Final_Loan)+MAX(minVar_rate,Acct1LoanIntRate+Var_buffer)*(IF(AND(ISNUMBER(LDFValue),LMIcap_flag="Y"),LDFValue,0)/Final_Loan)))</f>
        <v>9.2899999999999996E-2</v>
      </c>
      <c r="O391" s="853"/>
      <c r="P391" s="853"/>
      <c r="Q391" s="853"/>
      <c r="R391" s="853"/>
      <c r="S391" s="853"/>
      <c r="T391" s="853"/>
      <c r="U391" s="853"/>
      <c r="V391" s="853"/>
      <c r="W391" s="853"/>
      <c r="X391" s="853"/>
      <c r="Y391" s="853"/>
      <c r="Z391" s="853"/>
      <c r="AA391" s="853"/>
      <c r="AB391" s="853"/>
      <c r="AC391" s="853"/>
      <c r="AD391" s="853"/>
      <c r="AE391" s="853"/>
      <c r="AF391" s="853"/>
    </row>
    <row r="392" spans="1:32" hidden="1" x14ac:dyDescent="0.35">
      <c r="A392" s="953"/>
      <c r="K392" s="853"/>
      <c r="L392" s="853"/>
      <c r="M392" s="8"/>
      <c r="N392" s="943"/>
      <c r="O392" s="853"/>
      <c r="P392" s="853"/>
      <c r="Q392" s="853"/>
      <c r="R392" s="853"/>
      <c r="S392" s="853"/>
      <c r="T392" s="853"/>
      <c r="U392" s="853"/>
      <c r="V392" s="853"/>
      <c r="W392" s="853"/>
      <c r="X392" s="853"/>
      <c r="Y392" s="853"/>
      <c r="Z392" s="853"/>
      <c r="AA392" s="853"/>
      <c r="AB392" s="853"/>
      <c r="AC392" s="853"/>
      <c r="AD392" s="853"/>
      <c r="AE392" s="853"/>
      <c r="AF392" s="853"/>
    </row>
    <row r="393" spans="1:32" hidden="1" x14ac:dyDescent="0.35">
      <c r="A393" s="953"/>
    </row>
    <row r="394" spans="1:32" hidden="1" x14ac:dyDescent="0.35">
      <c r="A394" s="953"/>
    </row>
    <row r="395" spans="1:32" hidden="1" x14ac:dyDescent="0.35">
      <c r="A395" s="953"/>
    </row>
    <row r="396" spans="1:32" ht="9" customHeight="1" x14ac:dyDescent="0.35"/>
    <row r="398" spans="1:32" ht="13.9" customHeight="1" x14ac:dyDescent="0.35"/>
  </sheetData>
  <sheetProtection algorithmName="SHA-512" hashValue="kUgle8XxOALrqZ34nQGiAmFttydEoVQb3ELDwFDNku/J0AoF1AS/TxTcS7sHNOeGtUXKDQruyRr96bKH4xkFGA==" saltValue="9tY+TfWcIvK+GPqoN8ZsDg==" spinCount="100000" sheet="1" objects="1" scenarios="1" formatRows="0" selectLockedCells="1"/>
  <dataConsolidate/>
  <mergeCells count="54">
    <mergeCell ref="G17:H17"/>
    <mergeCell ref="G198:H198"/>
    <mergeCell ref="AD364:AE364"/>
    <mergeCell ref="AD355:AE355"/>
    <mergeCell ref="AD356:AE356"/>
    <mergeCell ref="AD357:AE357"/>
    <mergeCell ref="AD358:AE358"/>
    <mergeCell ref="AD359:AE359"/>
    <mergeCell ref="AD360:AE360"/>
    <mergeCell ref="AD361:AE361"/>
    <mergeCell ref="AD362:AE362"/>
    <mergeCell ref="AD363:AE363"/>
    <mergeCell ref="F266:J266"/>
    <mergeCell ref="M260:P260"/>
    <mergeCell ref="R324:T324"/>
    <mergeCell ref="B191:K191"/>
    <mergeCell ref="K11:K15"/>
    <mergeCell ref="R325:U327"/>
    <mergeCell ref="R323:T323"/>
    <mergeCell ref="B3:D3"/>
    <mergeCell ref="B269:L269"/>
    <mergeCell ref="B186:K186"/>
    <mergeCell ref="C177:I177"/>
    <mergeCell ref="G5:L5"/>
    <mergeCell ref="C253:I254"/>
    <mergeCell ref="B4:G4"/>
    <mergeCell ref="I39:K39"/>
    <mergeCell ref="C257:I258"/>
    <mergeCell ref="C260:I260"/>
    <mergeCell ref="C7:K7"/>
    <mergeCell ref="B289:C289"/>
    <mergeCell ref="G36:K37"/>
    <mergeCell ref="E198:E200"/>
    <mergeCell ref="B288:C288"/>
    <mergeCell ref="B268:L268"/>
    <mergeCell ref="C266:D266"/>
    <mergeCell ref="C263:I263"/>
    <mergeCell ref="C238:I238"/>
    <mergeCell ref="E232:I233"/>
    <mergeCell ref="E235:I236"/>
    <mergeCell ref="E237:I237"/>
    <mergeCell ref="B194:E194"/>
    <mergeCell ref="M40:N40"/>
    <mergeCell ref="M41:N41"/>
    <mergeCell ref="M42:N42"/>
    <mergeCell ref="M43:N43"/>
    <mergeCell ref="M44:N44"/>
    <mergeCell ref="M45:N45"/>
    <mergeCell ref="B180:K180"/>
    <mergeCell ref="B189:E189"/>
    <mergeCell ref="I60:K60"/>
    <mergeCell ref="C52:K52"/>
    <mergeCell ref="B185:I185"/>
    <mergeCell ref="G48:I48"/>
  </mergeCells>
  <phoneticPr fontId="0" type="noConversion"/>
  <conditionalFormatting sqref="C79 E79 G79 I79">
    <cfRule type="cellIs" dxfId="112" priority="97" stopIfTrue="1" operator="equal">
      <formula>D$79</formula>
    </cfRule>
  </conditionalFormatting>
  <conditionalFormatting sqref="K78">
    <cfRule type="cellIs" dxfId="111" priority="96" stopIfTrue="1" operator="notEqual">
      <formula>""</formula>
    </cfRule>
  </conditionalFormatting>
  <conditionalFormatting sqref="G78">
    <cfRule type="cellIs" dxfId="110" priority="111" stopIfTrue="1" operator="equal">
      <formula>$G$251</formula>
    </cfRule>
  </conditionalFormatting>
  <conditionalFormatting sqref="I78">
    <cfRule type="cellIs" dxfId="109" priority="112" stopIfTrue="1" operator="equal">
      <formula>$I$251</formula>
    </cfRule>
  </conditionalFormatting>
  <conditionalFormatting sqref="E78">
    <cfRule type="cellIs" dxfId="108" priority="113" stopIfTrue="1" operator="equal">
      <formula>$E$251</formula>
    </cfRule>
  </conditionalFormatting>
  <conditionalFormatting sqref="C78">
    <cfRule type="cellIs" dxfId="107" priority="114" stopIfTrue="1" operator="equal">
      <formula>$C$251</formula>
    </cfRule>
  </conditionalFormatting>
  <conditionalFormatting sqref="J258:J263 K261 C259:I259 C260 C261:I262 C263">
    <cfRule type="cellIs" dxfId="106" priority="25" stopIfTrue="1" operator="equal">
      <formula>NSRTest2</formula>
    </cfRule>
    <cfRule type="cellIs" dxfId="105" priority="126" stopIfTrue="1" operator="equal">
      <formula>NSRTest3</formula>
    </cfRule>
    <cfRule type="cellIs" dxfId="104" priority="127" stopIfTrue="1" operator="equal">
      <formula>NSRTest1</formula>
    </cfRule>
  </conditionalFormatting>
  <conditionalFormatting sqref="K260 K262:K263">
    <cfRule type="cellIs" dxfId="103" priority="129" stopIfTrue="1" operator="equal">
      <formula>$L$260-1</formula>
    </cfRule>
    <cfRule type="cellIs" dxfId="102" priority="130" stopIfTrue="1" operator="equal">
      <formula>$L$260</formula>
    </cfRule>
    <cfRule type="cellIs" dxfId="101" priority="131" stopIfTrue="1" operator="equal">
      <formula>$L$260-2</formula>
    </cfRule>
  </conditionalFormatting>
  <conditionalFormatting sqref="C257:I258">
    <cfRule type="cellIs" dxfId="100" priority="177" stopIfTrue="1" operator="equal">
      <formula>"Please check the NOTES and GUIDELINES page to ensure this NSR ratio and surplus is applicable for this type of transaction"</formula>
    </cfRule>
  </conditionalFormatting>
  <conditionalFormatting sqref="K258">
    <cfRule type="cellIs" dxfId="99" priority="178" stopIfTrue="1" operator="equal">
      <formula>0</formula>
    </cfRule>
    <cfRule type="cellIs" dxfId="98" priority="179" stopIfTrue="1" operator="lessThan">
      <formula>1</formula>
    </cfRule>
  </conditionalFormatting>
  <conditionalFormatting sqref="I40:I45 I61:I66 C67:G67 C47:G47">
    <cfRule type="cellIs" dxfId="97" priority="147" stopIfTrue="1" operator="equal">
      <formula>"Invalid postcode"</formula>
    </cfRule>
  </conditionalFormatting>
  <conditionalFormatting sqref="I198:I199 K54:K55">
    <cfRule type="cellIs" dxfId="96" priority="99" stopIfTrue="1" operator="equal">
      <formula>1</formula>
    </cfRule>
  </conditionalFormatting>
  <conditionalFormatting sqref="K61:K66 K40:K45">
    <cfRule type="cellIs" dxfId="95" priority="151" stopIfTrue="1" operator="equal">
      <formula>1</formula>
    </cfRule>
  </conditionalFormatting>
  <conditionalFormatting sqref="G5:L5">
    <cfRule type="cellIs" dxfId="94" priority="154" stopIfTrue="1" operator="notEqual">
      <formula>""</formula>
    </cfRule>
  </conditionalFormatting>
  <conditionalFormatting sqref="C52">
    <cfRule type="cellIs" dxfId="93" priority="75" stopIfTrue="1" operator="notEqual">
      <formula>""</formula>
    </cfRule>
  </conditionalFormatting>
  <conditionalFormatting sqref="K56">
    <cfRule type="cellIs" dxfId="92" priority="235" stopIfTrue="1" operator="greaterThan">
      <formula>0.95</formula>
    </cfRule>
  </conditionalFormatting>
  <conditionalFormatting sqref="G54">
    <cfRule type="cellIs" dxfId="91" priority="237" stopIfTrue="1" operator="equal">
      <formula>IF(OR($G$54="Y",$G$54="N"),1,$G$54)</formula>
    </cfRule>
  </conditionalFormatting>
  <conditionalFormatting sqref="C56">
    <cfRule type="cellIs" dxfId="90" priority="238" stopIfTrue="1" operator="equal">
      <formula>IF(OR($C$56="Y",$C$56="N"),1,$C$56)</formula>
    </cfRule>
  </conditionalFormatting>
  <conditionalFormatting sqref="I50 I56">
    <cfRule type="cellIs" dxfId="89" priority="240" stopIfTrue="1" operator="equal">
      <formula>"LVR Exceeded"</formula>
    </cfRule>
  </conditionalFormatting>
  <conditionalFormatting sqref="C50 G23">
    <cfRule type="cellIs" dxfId="88" priority="411" stopIfTrue="1" operator="equal">
      <formula>IF(OR($K$50="",$K$50&lt;=80%),"[Please select]")</formula>
    </cfRule>
  </conditionalFormatting>
  <conditionalFormatting sqref="G61">
    <cfRule type="cellIs" dxfId="87" priority="473" stopIfTrue="1" operator="equal">
      <formula>IF(AND($C61&gt;0,$C$50="Y",OR($I61="",$I61="[Please select]")),$I61,1)</formula>
    </cfRule>
    <cfRule type="cellIs" dxfId="86" priority="474" stopIfTrue="1" operator="equal">
      <formula>IF($C$61="","[Please select]")</formula>
    </cfRule>
  </conditionalFormatting>
  <conditionalFormatting sqref="G63">
    <cfRule type="cellIs" dxfId="85" priority="475" stopIfTrue="1" operator="equal">
      <formula>IF(AND($C63&gt;0,$C$50="Y",OR($I63="",$I63="[Please select]")),$I63,1)</formula>
    </cfRule>
    <cfRule type="cellIs" dxfId="84" priority="476" stopIfTrue="1" operator="equal">
      <formula>IF($C$63="","[Please select]")</formula>
    </cfRule>
  </conditionalFormatting>
  <conditionalFormatting sqref="G62">
    <cfRule type="cellIs" dxfId="83" priority="477" stopIfTrue="1" operator="equal">
      <formula>IF(AND($C62&gt;0,$C$50="Y",OR($I62="",$I62="[Please select]")),$I62,1)</formula>
    </cfRule>
    <cfRule type="cellIs" dxfId="82" priority="478" stopIfTrue="1" operator="equal">
      <formula>IF($C$62="","[Please select]")</formula>
    </cfRule>
  </conditionalFormatting>
  <conditionalFormatting sqref="G64">
    <cfRule type="cellIs" dxfId="81" priority="479" stopIfTrue="1" operator="equal">
      <formula>IF(AND($C64&gt;0,$C$50="Y",OR($I64="",$I64="[Please select]")),$I64,1)</formula>
    </cfRule>
    <cfRule type="cellIs" dxfId="80" priority="480" stopIfTrue="1" operator="equal">
      <formula>IF($C$64="","[Please select]")</formula>
    </cfRule>
  </conditionalFormatting>
  <conditionalFormatting sqref="G66">
    <cfRule type="cellIs" dxfId="79" priority="481" stopIfTrue="1" operator="equal">
      <formula>IF(AND($C66&gt;0,$C$50="Y",OR($I66="",$I66="[Please select]")),$I66,1)</formula>
    </cfRule>
    <cfRule type="cellIs" dxfId="78" priority="482" stopIfTrue="1" operator="equal">
      <formula>IF($C$66="","[Please select]")</formula>
    </cfRule>
  </conditionalFormatting>
  <conditionalFormatting sqref="G65">
    <cfRule type="cellIs" dxfId="77" priority="483" stopIfTrue="1" operator="equal">
      <formula>IF(AND($C65&gt;0,$C$50="Y",OR($I65="",$I65="[Please select]")),$I65,1)</formula>
    </cfRule>
    <cfRule type="cellIs" dxfId="76" priority="484" stopIfTrue="1" operator="equal">
      <formula>IF($C$65="","[Please select]")</formula>
    </cfRule>
  </conditionalFormatting>
  <conditionalFormatting sqref="K68">
    <cfRule type="expression" dxfId="75" priority="524" stopIfTrue="1">
      <formula>ISERROR($K$68*1)</formula>
    </cfRule>
  </conditionalFormatting>
  <conditionalFormatting sqref="G40">
    <cfRule type="cellIs" dxfId="74" priority="578" stopIfTrue="1" operator="equal">
      <formula>IF(AND($C40&gt;0,$C$50="Y",OR($G40="",$G40="[Please select]")),$G40,1)</formula>
    </cfRule>
    <cfRule type="cellIs" dxfId="73" priority="579" stopIfTrue="1" operator="equal">
      <formula>IF($C$40="","[Please select]")</formula>
    </cfRule>
  </conditionalFormatting>
  <conditionalFormatting sqref="G42">
    <cfRule type="cellIs" dxfId="72" priority="582" stopIfTrue="1" operator="equal">
      <formula>IF(AND($C42&gt;0,$C$50="Y",OR($G42="",$G42="[Please select]")),$G42,1)</formula>
    </cfRule>
    <cfRule type="cellIs" dxfId="71" priority="583" stopIfTrue="1" operator="equal">
      <formula>IF($C$42="","[Please select]")</formula>
    </cfRule>
  </conditionalFormatting>
  <conditionalFormatting sqref="G41">
    <cfRule type="cellIs" dxfId="70" priority="586" stopIfTrue="1" operator="equal">
      <formula>IF(AND($C41&gt;0,$C$50="Y",OR($G41="",$G41="[Please select]")),$G41,1)</formula>
    </cfRule>
    <cfRule type="cellIs" dxfId="69" priority="587" stopIfTrue="1" operator="equal">
      <formula>IF($C$41="","[Please select]")</formula>
    </cfRule>
  </conditionalFormatting>
  <conditionalFormatting sqref="G43">
    <cfRule type="cellIs" dxfId="68" priority="590" stopIfTrue="1" operator="equal">
      <formula>IF(AND($C43&gt;0,$C$50="Y",OR($G43="",$G43="[Please select]")),$G43,1)</formula>
    </cfRule>
    <cfRule type="cellIs" dxfId="67" priority="591" stopIfTrue="1" operator="equal">
      <formula>IF($C$43="","[Please select]")</formula>
    </cfRule>
  </conditionalFormatting>
  <conditionalFormatting sqref="G45">
    <cfRule type="cellIs" dxfId="66" priority="594" stopIfTrue="1" operator="equal">
      <formula>IF(AND($C45&gt;0,$C$50="Y",OR($G45="",$G45="[Please select]")),$G45,1)</formula>
    </cfRule>
    <cfRule type="cellIs" dxfId="65" priority="595" stopIfTrue="1" operator="equal">
      <formula>IF($C$45="","[Please select]")</formula>
    </cfRule>
  </conditionalFormatting>
  <conditionalFormatting sqref="G44">
    <cfRule type="cellIs" dxfId="64" priority="598" stopIfTrue="1" operator="equal">
      <formula>IF(AND($C44&gt;0,$C$50="Y",OR($G44="",$G44="[Please select]")),$G44,1)</formula>
    </cfRule>
    <cfRule type="cellIs" dxfId="63" priority="599" stopIfTrue="1" operator="equal">
      <formula>IF($C$44="","[Please select]")</formula>
    </cfRule>
  </conditionalFormatting>
  <conditionalFormatting sqref="K48">
    <cfRule type="expression" dxfId="62" priority="33">
      <formula>ISERROR($K$48*1)</formula>
    </cfRule>
  </conditionalFormatting>
  <conditionalFormatting sqref="I23">
    <cfRule type="cellIs" dxfId="61" priority="606" stopIfTrue="1" operator="equal">
      <formula>#REF!</formula>
    </cfRule>
  </conditionalFormatting>
  <conditionalFormatting sqref="B200">
    <cfRule type="cellIs" dxfId="60" priority="27" stopIfTrue="1" operator="equal">
      <formula>"LVR Exceeded"</formula>
    </cfRule>
  </conditionalFormatting>
  <conditionalFormatting sqref="O201">
    <cfRule type="cellIs" dxfId="59" priority="26" stopIfTrue="1" operator="equal">
      <formula>1</formula>
    </cfRule>
  </conditionalFormatting>
  <conditionalFormatting sqref="C260:I260">
    <cfRule type="cellIs" dxfId="58" priority="128" stopIfTrue="1" operator="equal">
      <formula>$C$260</formula>
    </cfRule>
  </conditionalFormatting>
  <conditionalFormatting sqref="G25">
    <cfRule type="cellIs" dxfId="57" priority="23" stopIfTrue="1" operator="equal">
      <formula>IF(OR($K$50="",$K$50&lt;=80%),"[Please select]")</formula>
    </cfRule>
  </conditionalFormatting>
  <conditionalFormatting sqref="I25">
    <cfRule type="cellIs" dxfId="56" priority="24" stopIfTrue="1" operator="equal">
      <formula>#REF!</formula>
    </cfRule>
  </conditionalFormatting>
  <conditionalFormatting sqref="G27">
    <cfRule type="cellIs" dxfId="55" priority="21" stopIfTrue="1" operator="equal">
      <formula>IF(OR($K$50="",$K$50&lt;=80%),"[Please select]")</formula>
    </cfRule>
  </conditionalFormatting>
  <conditionalFormatting sqref="I27">
    <cfRule type="cellIs" dxfId="54" priority="22" stopIfTrue="1" operator="equal">
      <formula>#REF!</formula>
    </cfRule>
  </conditionalFormatting>
  <conditionalFormatting sqref="G29">
    <cfRule type="cellIs" dxfId="53" priority="19" stopIfTrue="1" operator="equal">
      <formula>IF(OR($K$50="",$K$50&lt;=80%),"[Please select]")</formula>
    </cfRule>
  </conditionalFormatting>
  <conditionalFormatting sqref="G31">
    <cfRule type="cellIs" dxfId="52" priority="18" stopIfTrue="1" operator="equal">
      <formula>IF(OR($K$50="",$K$50&lt;=80%),"[Please select]")</formula>
    </cfRule>
  </conditionalFormatting>
  <conditionalFormatting sqref="G33">
    <cfRule type="cellIs" dxfId="51" priority="17" stopIfTrue="1" operator="equal">
      <formula>IF(OR($K$50="",$K$50&lt;=80%),"[Please select]")</formula>
    </cfRule>
  </conditionalFormatting>
  <conditionalFormatting sqref="I29">
    <cfRule type="cellIs" dxfId="50" priority="16" stopIfTrue="1" operator="equal">
      <formula>#REF!</formula>
    </cfRule>
  </conditionalFormatting>
  <conditionalFormatting sqref="I31">
    <cfRule type="cellIs" dxfId="49" priority="15" stopIfTrue="1" operator="equal">
      <formula>#REF!</formula>
    </cfRule>
  </conditionalFormatting>
  <conditionalFormatting sqref="I33">
    <cfRule type="cellIs" dxfId="48" priority="14" stopIfTrue="1" operator="equal">
      <formula>#REF!</formula>
    </cfRule>
  </conditionalFormatting>
  <conditionalFormatting sqref="E23">
    <cfRule type="cellIs" dxfId="47" priority="13" stopIfTrue="1" operator="equal">
      <formula>#REF!</formula>
    </cfRule>
  </conditionalFormatting>
  <conditionalFormatting sqref="E27">
    <cfRule type="cellIs" dxfId="46" priority="11" stopIfTrue="1" operator="equal">
      <formula>#REF!</formula>
    </cfRule>
  </conditionalFormatting>
  <conditionalFormatting sqref="E29">
    <cfRule type="cellIs" dxfId="45" priority="10" stopIfTrue="1" operator="equal">
      <formula>#REF!</formula>
    </cfRule>
  </conditionalFormatting>
  <conditionalFormatting sqref="E25">
    <cfRule type="cellIs" dxfId="44" priority="9" stopIfTrue="1" operator="equal">
      <formula>#REF!</formula>
    </cfRule>
  </conditionalFormatting>
  <conditionalFormatting sqref="C263:I263">
    <cfRule type="cellIs" dxfId="43" priority="4" operator="equal">
      <formula>"(DTI &gt; 6.00 and LVR &gt; 80%) outside policy – refer BDM"</formula>
    </cfRule>
    <cfRule type="cellIs" dxfId="42" priority="6" operator="equal">
      <formula>"(DTI &gt; 8) outside policy – refer BDM"</formula>
    </cfRule>
  </conditionalFormatting>
  <conditionalFormatting sqref="C238:I238">
    <cfRule type="cellIs" dxfId="41" priority="3" operator="equal">
      <formula>"C232"</formula>
    </cfRule>
  </conditionalFormatting>
  <conditionalFormatting sqref="B36">
    <cfRule type="expression" dxfId="40" priority="1">
      <formula>$B$36="Total Loan Exceeds $10m Limit"</formula>
    </cfRule>
    <cfRule type="expression" dxfId="39" priority="2">
      <formula>$B$36="Loan amount requested exceeds maximum based on security"</formula>
    </cfRule>
  </conditionalFormatting>
  <dataValidations count="27">
    <dataValidation type="list" allowBlank="1" showInputMessage="1" showErrorMessage="1" sqref="G40:G45 G61:G66 C56 G54" xr:uid="{00000000-0002-0000-0000-000000000000}">
      <formula1>"[Please select],Y,N"</formula1>
    </dataValidation>
    <dataValidation type="list" allowBlank="1" showInputMessage="1" showErrorMessage="1" sqref="C50" xr:uid="{00000000-0002-0000-0000-000001000000}">
      <formula1>LMIcap_dropdownList2</formula1>
    </dataValidation>
    <dataValidation type="list" allowBlank="1" showInputMessage="1" showErrorMessage="1" sqref="V326" xr:uid="{00000000-0002-0000-0000-000002000000}">
      <formula1>"Y,N"</formula1>
    </dataValidation>
    <dataValidation type="whole" allowBlank="1" showInputMessage="1" showErrorMessage="1" errorTitle="Cell validation" error="Please enter a positive whole number, zero or leave blank" sqref="K205:K223 G171:G175 K201:K203 I171:I175 K226 C235:C236 E171:E175 C224:C225 C171:C175" xr:uid="{00000000-0002-0000-0000-000003000000}">
      <formula1>0</formula1>
      <formula2>100000000</formula2>
    </dataValidation>
    <dataValidation type="whole" allowBlank="1" showInputMessage="1" showErrorMessage="1" sqref="C279 C48:C49 E279 C281:C282 G187:G188 I181:I182 E181:E182 C181:C182 C187:C188 I187:I188 E187:E188 G181:G182 G281:G282 E281:E282 E192:E193 I279 G279 G192:G193 C192:C193 I192:I193 I281:I282" xr:uid="{00000000-0002-0000-0000-000004000000}">
      <formula1>0</formula1>
      <formula2>50000000</formula2>
    </dataValidation>
    <dataValidation type="list" allowBlank="1" showInputMessage="1" showErrorMessage="1" errorTitle="Validation" error="Please enter 'Yes' or 'No'" sqref="G74" xr:uid="{00000000-0002-0000-0000-000005000000}">
      <formula1>"Yes,No"</formula1>
    </dataValidation>
    <dataValidation type="list" allowBlank="1" showInputMessage="1" showErrorMessage="1" errorTitle="Validation" error="Please enter 'Yes' or 'No'" sqref="K74" xr:uid="{00000000-0002-0000-0000-000006000000}">
      <formula1>"1 year,2 years,3 years,4 years,5 years"</formula1>
    </dataValidation>
    <dataValidation type="list" allowBlank="1" showInputMessage="1" showErrorMessage="1" sqref="I79 I13" xr:uid="{00000000-0002-0000-0000-000007000000}">
      <formula1>AppMatchList4</formula1>
    </dataValidation>
    <dataValidation type="list" allowBlank="1" showInputMessage="1" showErrorMessage="1" sqref="G79 G13" xr:uid="{00000000-0002-0000-0000-000008000000}">
      <formula1>AppMatchList3</formula1>
    </dataValidation>
    <dataValidation type="list" allowBlank="1" showInputMessage="1" showErrorMessage="1" sqref="E79 E13" xr:uid="{00000000-0002-0000-0000-000009000000}">
      <formula1>AppMatchList2</formula1>
    </dataValidation>
    <dataValidation type="list" allowBlank="1" showInputMessage="1" showErrorMessage="1" sqref="C79 C13" xr:uid="{00000000-0002-0000-0000-00000A000000}">
      <formula1>AppMatchList1</formula1>
    </dataValidation>
    <dataValidation type="list" allowBlank="1" showInputMessage="1" showErrorMessage="1" sqref="C78 E11 G78 E78 C11 I11 G11 I78" xr:uid="{00000000-0002-0000-0000-00000B000000}">
      <formula1>"Couple,Single"</formula1>
    </dataValidation>
    <dataValidation type="whole" allowBlank="1" showInputMessage="1" showErrorMessage="1" errorTitle="Cell validation" error="Enter value. Maximum no of children is 20" sqref="C80 E80 G80 I80 C15 E15 G15 I15" xr:uid="{00000000-0002-0000-0000-00000C000000}">
      <formula1>0</formula1>
      <formula2>20</formula2>
    </dataValidation>
    <dataValidation type="whole" allowBlank="1" showInputMessage="1" showErrorMessage="1" errorTitle="Cell validation" error="Please enter a positive whole number" sqref="C232" xr:uid="{00000000-0002-0000-0000-00000D000000}">
      <formula1>0</formula1>
      <formula2>100000000</formula2>
    </dataValidation>
    <dataValidation type="whole" allowBlank="1" showInputMessage="1" showErrorMessage="1" errorTitle="Loan term (years)" error="Please enter loan term (years) as a whole number between 1 and 30" sqref="C198:C199" xr:uid="{00000000-0002-0000-0000-00000E000000}">
      <formula1>1</formula1>
      <formula2>30</formula2>
    </dataValidation>
    <dataValidation type="whole" operator="greaterThanOrEqual" allowBlank="1" showInputMessage="1" showErrorMessage="1" error="Please input whole number greater than or equal to zero" sqref="C61:C64 C40:C45" xr:uid="{00000000-0002-0000-0000-00000F000000}">
      <formula1>0</formula1>
    </dataValidation>
    <dataValidation type="whole" operator="greaterThanOrEqual" allowBlank="1" showInputMessage="1" showErrorMessage="1" error="Please input correct postcode" sqref="E61:E64" xr:uid="{00000000-0002-0000-0000-000010000000}">
      <formula1>0</formula1>
    </dataValidation>
    <dataValidation type="decimal" allowBlank="1" showInputMessage="1" showErrorMessage="1" promptTitle="Borrower rate" prompt="Input carded rate for this account (For fixed rate accounts, enter higher of fixed or revert rate)" sqref="I23 I25 I27 I29 I31 I33" xr:uid="{00000000-0002-0000-0000-000011000000}">
      <formula1>0.01</formula1>
      <formula2>1</formula2>
    </dataValidation>
    <dataValidation type="list" allowBlank="1" showInputMessage="1" showErrorMessage="1" errorTitle="Interest only period" error="Maximum 5 years. Must be a whole number between 0 and 5" sqref="G23 G25 G27 G29 G31 G33" xr:uid="{00000000-0002-0000-0000-000012000000}">
      <formula1>IO_DropdownList</formula1>
    </dataValidation>
    <dataValidation type="whole" allowBlank="1" showInputMessage="1" showErrorMessage="1" errorTitle="Cell Validation" error="Please enter a positive whole number, zero or leave blank" sqref="C201 I217 I201 I203 C215 I205 C203 I207 C205 I209 C207 I211 C209 I213 C211 I215 C213 C217" xr:uid="{00000000-0002-0000-0000-000013000000}">
      <formula1>0</formula1>
      <formula2>1000000000</formula2>
    </dataValidation>
    <dataValidation allowBlank="1" showInputMessage="1" showErrorMessage="1" errorTitle="Loan term (years)" error="Please enter loan term (years) as a whole number between 1 and 30" sqref="C200 I200" xr:uid="{00000000-0002-0000-0000-000014000000}"/>
    <dataValidation type="decimal" allowBlank="1" showInputMessage="1" showErrorMessage="1" sqref="G201 G213 G215 G203 G211 G205 G207 G209 G217" xr:uid="{00000000-0002-0000-0000-000016000000}">
      <formula1>0</formula1>
      <formula2>1</formula2>
    </dataValidation>
    <dataValidation type="whole" allowBlank="1" showInputMessage="1" showErrorMessage="1" sqref="E201 E213 E215 E203 E205 E211 E207 E209 E217" xr:uid="{00000000-0002-0000-0000-000017000000}">
      <formula1>0</formula1>
      <formula2>360</formula2>
    </dataValidation>
    <dataValidation allowBlank="1" sqref="E41:E45" xr:uid="{C16E79E1-EFE1-44E2-9E9A-A96A73B9E084}"/>
    <dataValidation type="whole" showInputMessage="1" showErrorMessage="1" sqref="E23 E25 E27 E29 E31 E33" xr:uid="{8122A0D3-DF92-4555-B359-92354F60B56F}">
      <formula1>1</formula1>
      <formula2>30</formula2>
    </dataValidation>
    <dataValidation type="whole" operator="greaterThanOrEqual" allowBlank="1" showInputMessage="1" showErrorMessage="1" sqref="C23 C25 C27 C29 C31 C33" xr:uid="{9DC38EF0-289A-4511-945D-5ACE6F3A7168}">
      <formula1>0</formula1>
    </dataValidation>
    <dataValidation type="whole" allowBlank="1" showInputMessage="1" showErrorMessage="1" errorTitle="Cell Validation" error="Please enter a positive whole number, zero or leave blank" sqref="C221 E221 I221" xr:uid="{7B68E6AD-C7AA-4945-9362-E4731BA009BF}">
      <formula1>0</formula1>
      <formula2>100000000000</formula2>
    </dataValidation>
  </dataValidations>
  <printOptions horizontalCentered="1"/>
  <pageMargins left="0.23622047244094491" right="0.19685039370078741" top="0.27559055118110237" bottom="0.19685039370078741" header="0.23622047244094491" footer="0.19685039370078741"/>
  <pageSetup paperSize="9" scale="58" orientation="portrait" r:id="rId1"/>
  <headerFooter alignWithMargins="0"/>
  <drawing r:id="rId2"/>
  <legacyDrawing r:id="rId3"/>
  <controls>
    <mc:AlternateContent xmlns:mc="http://schemas.openxmlformats.org/markup-compatibility/2006">
      <mc:Choice Requires="x14">
        <control shapeId="26956" r:id="rId4" name="CommandButton2">
          <controlPr defaultSize="0" autoLine="0" r:id="rId5">
            <anchor moveWithCells="1">
              <from>
                <xdr:col>12</xdr:col>
                <xdr:colOff>76200</xdr:colOff>
                <xdr:row>395</xdr:row>
                <xdr:rowOff>0</xdr:rowOff>
              </from>
              <to>
                <xdr:col>13</xdr:col>
                <xdr:colOff>809625</xdr:colOff>
                <xdr:row>397</xdr:row>
                <xdr:rowOff>0</xdr:rowOff>
              </to>
            </anchor>
          </controlPr>
        </control>
      </mc:Choice>
      <mc:Fallback>
        <control shapeId="26956" r:id="rId4" name="CommandButton2"/>
      </mc:Fallback>
    </mc:AlternateContent>
    <mc:AlternateContent xmlns:mc="http://schemas.openxmlformats.org/markup-compatibility/2006">
      <mc:Choice Requires="x14">
        <control shapeId="26955" r:id="rId6" name="CommandButton1">
          <controlPr defaultSize="0" autoLine="0" autoPict="0" r:id="rId7">
            <anchor moveWithCells="1">
              <from>
                <xdr:col>13</xdr:col>
                <xdr:colOff>866775</xdr:colOff>
                <xdr:row>1</xdr:row>
                <xdr:rowOff>38100</xdr:rowOff>
              </from>
              <to>
                <xdr:col>13</xdr:col>
                <xdr:colOff>1781175</xdr:colOff>
                <xdr:row>1</xdr:row>
                <xdr:rowOff>333375</xdr:rowOff>
              </to>
            </anchor>
          </controlPr>
        </control>
      </mc:Choice>
      <mc:Fallback>
        <control shapeId="26955" r:id="rId6" name="CommandButton1"/>
      </mc:Fallback>
    </mc:AlternateContent>
    <mc:AlternateContent xmlns:mc="http://schemas.openxmlformats.org/markup-compatibility/2006">
      <mc:Choice Requires="x14">
        <control shapeId="5324" r:id="rId8" name="Label1">
          <controlPr defaultSize="0" autoLine="0" autoPict="0" r:id="rId9">
            <anchor moveWithCells="1">
              <from>
                <xdr:col>5</xdr:col>
                <xdr:colOff>142875</xdr:colOff>
                <xdr:row>176</xdr:row>
                <xdr:rowOff>28575</xdr:rowOff>
              </from>
              <to>
                <xdr:col>10</xdr:col>
                <xdr:colOff>28575</xdr:colOff>
                <xdr:row>177</xdr:row>
                <xdr:rowOff>0</xdr:rowOff>
              </to>
            </anchor>
          </controlPr>
        </control>
      </mc:Choice>
      <mc:Fallback>
        <control shapeId="5324" r:id="rId8" name="Label1"/>
      </mc:Fallback>
    </mc:AlternateContent>
    <mc:AlternateContent xmlns:mc="http://schemas.openxmlformats.org/markup-compatibility/2006">
      <mc:Choice Requires="x14">
        <control shapeId="5137" r:id="rId10" name="Drop Down 17">
          <controlPr defaultSize="0" autoLine="0" autoPict="0">
            <anchor moveWithCells="1">
              <from>
                <xdr:col>5</xdr:col>
                <xdr:colOff>104775</xdr:colOff>
                <xdr:row>2</xdr:row>
                <xdr:rowOff>28575</xdr:rowOff>
              </from>
              <to>
                <xdr:col>6</xdr:col>
                <xdr:colOff>942975</xdr:colOff>
                <xdr:row>3</xdr:row>
                <xdr:rowOff>104775</xdr:rowOff>
              </to>
            </anchor>
          </controlPr>
        </control>
      </mc:Choice>
    </mc:AlternateContent>
    <mc:AlternateContent xmlns:mc="http://schemas.openxmlformats.org/markup-compatibility/2006">
      <mc:Choice Requires="x14">
        <control shapeId="5216" r:id="rId11" name="S_E_Worksheet">
          <controlPr defaultSize="0" print="0" autoFill="0" autoPict="0" macro="[0]!S_E_Worksheet_Click">
            <anchor moveWithCells="1" sizeWithCells="1">
              <from>
                <xdr:col>2</xdr:col>
                <xdr:colOff>28575</xdr:colOff>
                <xdr:row>176</xdr:row>
                <xdr:rowOff>66675</xdr:rowOff>
              </from>
              <to>
                <xdr:col>5</xdr:col>
                <xdr:colOff>0</xdr:colOff>
                <xdr:row>176</xdr:row>
                <xdr:rowOff>219075</xdr:rowOff>
              </to>
            </anchor>
          </controlPr>
        </control>
      </mc:Choice>
    </mc:AlternateContent>
    <mc:AlternateContent xmlns:mc="http://schemas.openxmlformats.org/markup-compatibility/2006">
      <mc:Choice Requires="x14">
        <control shapeId="5217" r:id="rId12" name="Button 97">
          <controlPr defaultSize="0" print="0" autoFill="0" autoPict="0" macro="[0]!Button97_Click">
            <anchor moveWithCells="1" sizeWithCells="1">
              <from>
                <xdr:col>5</xdr:col>
                <xdr:colOff>142875</xdr:colOff>
                <xdr:row>176</xdr:row>
                <xdr:rowOff>66675</xdr:rowOff>
              </from>
              <to>
                <xdr:col>9</xdr:col>
                <xdr:colOff>28575</xdr:colOff>
                <xdr:row>176</xdr:row>
                <xdr:rowOff>219075</xdr:rowOff>
              </to>
            </anchor>
          </controlPr>
        </control>
      </mc:Choice>
    </mc:AlternateContent>
    <mc:AlternateContent xmlns:mc="http://schemas.openxmlformats.org/markup-compatibility/2006">
      <mc:Choice Requires="x14">
        <control shapeId="5218" r:id="rId13" name="Drop Down 98">
          <controlPr defaultSize="0" autoLine="0" autoPict="0" macro="[0]!DropDown98_Change">
            <anchor moveWithCells="1">
              <from>
                <xdr:col>2</xdr:col>
                <xdr:colOff>914400</xdr:colOff>
                <xdr:row>4</xdr:row>
                <xdr:rowOff>28575</xdr:rowOff>
              </from>
              <to>
                <xdr:col>6</xdr:col>
                <xdr:colOff>28575</xdr:colOff>
                <xdr:row>4</xdr:row>
                <xdr:rowOff>219075</xdr:rowOff>
              </to>
            </anchor>
          </controlPr>
        </control>
      </mc:Choice>
    </mc:AlternateContent>
    <mc:AlternateContent xmlns:mc="http://schemas.openxmlformats.org/markup-compatibility/2006">
      <mc:Choice Requires="x14">
        <control shapeId="5313" r:id="rId14" name="Drop Down 193">
          <controlPr defaultSize="0" autoLine="0" autoPict="0" macro="[0]!DropDown193_Change">
            <anchor moveWithCells="1">
              <from>
                <xdr:col>10</xdr:col>
                <xdr:colOff>600075</xdr:colOff>
                <xdr:row>51</xdr:row>
                <xdr:rowOff>0</xdr:rowOff>
              </from>
              <to>
                <xdr:col>11</xdr:col>
                <xdr:colOff>28575</xdr:colOff>
                <xdr:row>57</xdr:row>
                <xdr:rowOff>0</xdr:rowOff>
              </to>
            </anchor>
          </controlPr>
        </control>
      </mc:Choice>
    </mc:AlternateContent>
    <mc:AlternateContent xmlns:mc="http://schemas.openxmlformats.org/markup-compatibility/2006">
      <mc:Choice Requires="x14">
        <control shapeId="26940" r:id="rId15" name="Drop Down 1340">
          <controlPr defaultSize="0" autoLine="0" autoPict="0" macro="[0]!DropDown1340_Change">
            <anchor moveWithCells="1">
              <from>
                <xdr:col>10</xdr:col>
                <xdr:colOff>638175</xdr:colOff>
                <xdr:row>37</xdr:row>
                <xdr:rowOff>28575</xdr:rowOff>
              </from>
              <to>
                <xdr:col>11</xdr:col>
                <xdr:colOff>38100</xdr:colOff>
                <xdr:row>38</xdr:row>
                <xdr:rowOff>0</xdr:rowOff>
              </to>
            </anchor>
          </controlPr>
        </control>
      </mc:Choice>
    </mc:AlternateContent>
    <mc:AlternateContent xmlns:mc="http://schemas.openxmlformats.org/markup-compatibility/2006">
      <mc:Choice Requires="x14">
        <control shapeId="26941" r:id="rId16" name="ResetButton">
          <controlPr defaultSize="0" print="0" autoFill="0" autoPict="0" macro="[0]!ResetButton_Click">
            <anchor moveWithCells="1" sizeWithCells="1">
              <from>
                <xdr:col>12</xdr:col>
                <xdr:colOff>152400</xdr:colOff>
                <xdr:row>1</xdr:row>
                <xdr:rowOff>66675</xdr:rowOff>
              </from>
              <to>
                <xdr:col>13</xdr:col>
                <xdr:colOff>790575</xdr:colOff>
                <xdr:row>1</xdr:row>
                <xdr:rowOff>304800</xdr:rowOff>
              </to>
            </anchor>
          </controlPr>
        </control>
      </mc:Choice>
    </mc:AlternateContent>
    <mc:AlternateContent xmlns:mc="http://schemas.openxmlformats.org/markup-compatibility/2006">
      <mc:Choice Requires="x14">
        <control shapeId="26942" r:id="rId17" name="Drop Down 1342">
          <controlPr defaultSize="0" autoLine="0" autoPict="0">
            <anchor moveWithCells="1">
              <from>
                <xdr:col>5</xdr:col>
                <xdr:colOff>104775</xdr:colOff>
                <xdr:row>2</xdr:row>
                <xdr:rowOff>28575</xdr:rowOff>
              </from>
              <to>
                <xdr:col>6</xdr:col>
                <xdr:colOff>942975</xdr:colOff>
                <xdr:row>3</xdr:row>
                <xdr:rowOff>104775</xdr:rowOff>
              </to>
            </anchor>
          </controlPr>
        </control>
      </mc:Choice>
    </mc:AlternateContent>
    <mc:AlternateContent xmlns:mc="http://schemas.openxmlformats.org/markup-compatibility/2006">
      <mc:Choice Requires="x14">
        <control shapeId="26943" r:id="rId18" name="Drop Down 1343">
          <controlPr defaultSize="0" autoLine="0" autoPict="0">
            <anchor moveWithCells="1">
              <from>
                <xdr:col>5</xdr:col>
                <xdr:colOff>104775</xdr:colOff>
                <xdr:row>2</xdr:row>
                <xdr:rowOff>28575</xdr:rowOff>
              </from>
              <to>
                <xdr:col>6</xdr:col>
                <xdr:colOff>942975</xdr:colOff>
                <xdr:row>3</xdr:row>
                <xdr:rowOff>104775</xdr:rowOff>
              </to>
            </anchor>
          </controlPr>
        </control>
      </mc:Choice>
    </mc:AlternateContent>
    <mc:AlternateContent xmlns:mc="http://schemas.openxmlformats.org/markup-compatibility/2006">
      <mc:Choice Requires="x14">
        <control shapeId="26944" r:id="rId19" name="Drop Down 1344">
          <controlPr defaultSize="0" autoLine="0" autoPict="0">
            <anchor moveWithCells="1">
              <from>
                <xdr:col>5</xdr:col>
                <xdr:colOff>104775</xdr:colOff>
                <xdr:row>2</xdr:row>
                <xdr:rowOff>28575</xdr:rowOff>
              </from>
              <to>
                <xdr:col>6</xdr:col>
                <xdr:colOff>942975</xdr:colOff>
                <xdr:row>3</xdr:row>
                <xdr:rowOff>104775</xdr:rowOff>
              </to>
            </anchor>
          </controlPr>
        </control>
      </mc:Choice>
    </mc:AlternateContent>
    <mc:AlternateContent xmlns:mc="http://schemas.openxmlformats.org/markup-compatibility/2006">
      <mc:Choice Requires="x14">
        <control shapeId="26964" r:id="rId20" name="Drop Down 1364">
          <controlPr defaultSize="0" autoLine="0" autoPict="0" macro="[0]!DropDown1364_Change">
            <anchor moveWithCells="1">
              <from>
                <xdr:col>10</xdr:col>
                <xdr:colOff>638175</xdr:colOff>
                <xdr:row>18</xdr:row>
                <xdr:rowOff>28575</xdr:rowOff>
              </from>
              <to>
                <xdr:col>11</xdr:col>
                <xdr:colOff>38100</xdr:colOff>
                <xdr:row>20</xdr:row>
                <xdr:rowOff>28575</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pageSetUpPr autoPageBreaks="0"/>
  </sheetPr>
  <dimension ref="A1:AG311"/>
  <sheetViews>
    <sheetView showGridLines="0" zoomScale="112" zoomScaleNormal="112" workbookViewId="0">
      <selection activeCell="C7" sqref="C7:G7"/>
    </sheetView>
  </sheetViews>
  <sheetFormatPr defaultColWidth="9.265625" defaultRowHeight="12.75" x14ac:dyDescent="0.35"/>
  <cols>
    <col min="1" max="1" width="4.3984375" customWidth="1"/>
    <col min="2" max="2" width="29.59765625" customWidth="1"/>
    <col min="3" max="3" width="14" customWidth="1"/>
    <col min="4" max="4" width="2.265625" customWidth="1"/>
    <col min="5" max="5" width="14.73046875" customWidth="1"/>
    <col min="6" max="6" width="2.3984375" customWidth="1"/>
    <col min="7" max="7" width="14.265625" customWidth="1"/>
    <col min="8" max="8" width="2.3984375" customWidth="1"/>
    <col min="9" max="9" width="14.73046875" customWidth="1"/>
    <col min="10" max="10" width="2" customWidth="1"/>
    <col min="11" max="11" width="16.265625" customWidth="1"/>
    <col min="12" max="12" width="2.59765625" style="6" customWidth="1"/>
    <col min="13" max="13" width="2.59765625" style="39" customWidth="1"/>
    <col min="14" max="14" width="13.73046875" customWidth="1"/>
    <col min="15" max="15" width="22" hidden="1" customWidth="1"/>
    <col min="16" max="16" width="11.265625" hidden="1" customWidth="1"/>
    <col min="17" max="33" width="11.59765625" customWidth="1"/>
  </cols>
  <sheetData>
    <row r="1" spans="2:16" ht="13.15" thickBot="1" x14ac:dyDescent="0.4">
      <c r="B1" s="4"/>
      <c r="C1" s="4"/>
      <c r="D1" s="4"/>
      <c r="E1" s="4"/>
      <c r="F1" s="4"/>
      <c r="G1" s="4"/>
      <c r="H1" s="4"/>
      <c r="I1" s="4"/>
      <c r="J1" s="4"/>
      <c r="K1" s="4"/>
      <c r="L1" s="5"/>
      <c r="M1" s="38"/>
    </row>
    <row r="2" spans="2:16" ht="30.75" customHeight="1" x14ac:dyDescent="0.9">
      <c r="B2" s="717"/>
      <c r="C2" s="718"/>
      <c r="D2" s="719"/>
      <c r="E2" s="718"/>
      <c r="F2" s="720">
        <v>2</v>
      </c>
      <c r="G2" s="721"/>
      <c r="H2" s="719"/>
      <c r="I2" s="722"/>
      <c r="J2" s="719"/>
      <c r="K2" s="719"/>
      <c r="L2" s="723"/>
      <c r="M2" s="38"/>
    </row>
    <row r="3" spans="2:16" ht="18" customHeight="1" x14ac:dyDescent="0.65">
      <c r="B3" s="1310" t="s">
        <v>237</v>
      </c>
      <c r="C3" s="1311"/>
      <c r="D3" s="1311"/>
      <c r="E3" s="1311"/>
      <c r="F3" s="1311"/>
      <c r="G3" s="1311"/>
      <c r="H3" s="1177"/>
      <c r="I3" s="1177"/>
      <c r="J3" s="1177"/>
      <c r="K3" s="711"/>
      <c r="L3" s="724"/>
      <c r="M3" s="38"/>
    </row>
    <row r="4" spans="2:16" ht="14.25" customHeight="1" thickBot="1" x14ac:dyDescent="0.4">
      <c r="B4" s="1312" t="s">
        <v>238</v>
      </c>
      <c r="C4" s="1313"/>
      <c r="D4" s="1313"/>
      <c r="E4" s="1313"/>
      <c r="F4" s="1313"/>
      <c r="G4" s="1313"/>
      <c r="H4" s="1313"/>
      <c r="I4" s="1313"/>
      <c r="J4" s="725"/>
      <c r="K4" s="725"/>
      <c r="L4" s="726"/>
      <c r="M4" s="38"/>
    </row>
    <row r="5" spans="2:16" ht="15" customHeight="1" thickBot="1" x14ac:dyDescent="0.4">
      <c r="B5" s="712" t="s">
        <v>239</v>
      </c>
      <c r="C5" s="713"/>
      <c r="D5" s="714"/>
      <c r="E5" s="713"/>
      <c r="F5" s="713"/>
      <c r="G5" s="713"/>
      <c r="H5" s="713"/>
      <c r="I5" s="495" t="str">
        <f>Version</f>
        <v>Version: (16 Sep 2024)</v>
      </c>
      <c r="J5" s="713"/>
      <c r="K5" s="715"/>
      <c r="L5" s="716"/>
    </row>
    <row r="6" spans="2:16" ht="3" customHeight="1" x14ac:dyDescent="0.35">
      <c r="B6" s="433"/>
      <c r="C6" s="64"/>
      <c r="D6" s="65"/>
      <c r="E6" s="64"/>
      <c r="F6" s="64"/>
      <c r="G6" s="64"/>
      <c r="H6" s="64"/>
      <c r="I6" s="64"/>
      <c r="J6" s="64"/>
      <c r="K6" s="66"/>
      <c r="L6" s="434"/>
    </row>
    <row r="7" spans="2:16" ht="15.75" customHeight="1" x14ac:dyDescent="0.35">
      <c r="B7" s="435" t="s">
        <v>2</v>
      </c>
      <c r="C7" s="1316"/>
      <c r="D7" s="1317"/>
      <c r="E7" s="1317"/>
      <c r="F7" s="1317"/>
      <c r="G7" s="1318"/>
      <c r="H7" s="64"/>
      <c r="I7" s="1319" t="str">
        <f>IF(PledgeResult="","Please complete Pledge Calculator",IF(PledgeResult="Pass","","Error - Refer to Pledge Calculator"))</f>
        <v>Please complete Pledge Calculator</v>
      </c>
      <c r="J7" s="1320"/>
      <c r="K7" s="1321"/>
      <c r="L7" s="434"/>
      <c r="O7" s="840" t="s">
        <v>240</v>
      </c>
      <c r="P7" s="840"/>
    </row>
    <row r="8" spans="2:16" ht="3" customHeight="1" x14ac:dyDescent="0.35">
      <c r="B8" s="435"/>
      <c r="H8" s="64"/>
      <c r="I8" s="64"/>
      <c r="J8" s="64"/>
      <c r="K8" s="66"/>
      <c r="L8" s="434"/>
    </row>
    <row r="9" spans="2:16" s="746" customFormat="1" ht="15.75" customHeight="1" thickBot="1" x14ac:dyDescent="0.4">
      <c r="B9" s="876"/>
      <c r="C9" s="61">
        <v>1</v>
      </c>
      <c r="D9" s="28"/>
      <c r="E9" s="61">
        <v>2</v>
      </c>
      <c r="F9" s="61"/>
      <c r="G9" s="61">
        <v>3</v>
      </c>
      <c r="H9" s="61"/>
      <c r="I9" s="61">
        <v>4</v>
      </c>
      <c r="J9" s="877"/>
      <c r="K9" s="878"/>
      <c r="L9" s="879"/>
      <c r="M9" s="880"/>
    </row>
    <row r="10" spans="2:16" ht="15" hidden="1" customHeight="1" thickBot="1" x14ac:dyDescent="0.4">
      <c r="B10" s="439" t="s">
        <v>56</v>
      </c>
      <c r="C10" s="871"/>
      <c r="D10" s="60"/>
      <c r="E10" s="871"/>
      <c r="F10" s="60"/>
      <c r="G10" s="871"/>
      <c r="H10" s="60"/>
      <c r="I10" s="871"/>
      <c r="J10" s="28"/>
      <c r="K10" s="28"/>
      <c r="L10" s="455"/>
    </row>
    <row r="11" spans="2:16" ht="15.75" customHeight="1" thickBot="1" x14ac:dyDescent="0.4">
      <c r="B11" s="436" t="s">
        <v>7</v>
      </c>
      <c r="C11" s="871"/>
      <c r="D11" s="60"/>
      <c r="E11" s="871"/>
      <c r="F11" s="60"/>
      <c r="G11" s="871"/>
      <c r="H11" s="60"/>
      <c r="I11" s="871"/>
      <c r="J11" s="79" t="str">
        <f>IF(SUMIF(C187:I187,"&gt;0",C187:I187)&lt;4,"Please complete status","")</f>
        <v/>
      </c>
      <c r="L11" s="455"/>
      <c r="O11" s="869" t="s">
        <v>241</v>
      </c>
      <c r="P11" s="870">
        <f>COUNTIF(C11:I11, "Couple")</f>
        <v>0</v>
      </c>
    </row>
    <row r="12" spans="2:16" ht="15.75" customHeight="1" thickBot="1" x14ac:dyDescent="0.4">
      <c r="B12" s="436" t="s">
        <v>57</v>
      </c>
      <c r="C12" s="871"/>
      <c r="D12" s="320" t="str">
        <f>IF(Status1="Couple","",".")</f>
        <v>.</v>
      </c>
      <c r="E12" s="871"/>
      <c r="F12" s="320" t="str">
        <f>IF(Status2="Couple","",".")</f>
        <v>.</v>
      </c>
      <c r="G12" s="871"/>
      <c r="H12" s="320" t="str">
        <f>IF(Status3="Couple","",".")</f>
        <v>.</v>
      </c>
      <c r="I12" s="871"/>
      <c r="J12" s="322" t="str">
        <f>IF(Status4="Couple","",".")</f>
        <v>.</v>
      </c>
      <c r="K12" s="321"/>
      <c r="L12" s="455"/>
      <c r="O12" s="869" t="s">
        <v>242</v>
      </c>
      <c r="P12" s="870">
        <f>COUNTIF(C11:I11, "Single")</f>
        <v>0</v>
      </c>
    </row>
    <row r="13" spans="2:16" ht="15.75" customHeight="1" thickBot="1" x14ac:dyDescent="0.4">
      <c r="B13" s="436" t="s">
        <v>10</v>
      </c>
      <c r="C13" s="871"/>
      <c r="D13" s="60"/>
      <c r="E13" s="871"/>
      <c r="F13" s="60"/>
      <c r="G13" s="871"/>
      <c r="H13" s="60"/>
      <c r="I13" s="871"/>
      <c r="J13" s="28"/>
      <c r="K13" s="28"/>
      <c r="L13" s="455"/>
      <c r="O13" s="869" t="s">
        <v>58</v>
      </c>
      <c r="P13" s="870">
        <f>no_ofchild1+no_ofchild2+no_ofchild3+no_ofchild4</f>
        <v>0</v>
      </c>
    </row>
    <row r="14" spans="2:16" ht="3" customHeight="1" x14ac:dyDescent="0.35">
      <c r="B14" s="435"/>
      <c r="H14" s="64"/>
      <c r="I14" s="64"/>
      <c r="J14" s="64"/>
      <c r="K14" s="66"/>
      <c r="L14" s="434"/>
    </row>
    <row r="15" spans="2:16" ht="15.75" customHeight="1" x14ac:dyDescent="0.35">
      <c r="B15" s="875" t="s">
        <v>11</v>
      </c>
      <c r="D15" s="1315" t="s">
        <v>243</v>
      </c>
      <c r="E15" s="1315"/>
      <c r="F15" s="1315"/>
      <c r="G15" s="603"/>
      <c r="I15" s="606" t="s">
        <v>244</v>
      </c>
      <c r="J15" s="402"/>
      <c r="K15" s="607">
        <f>MIN(Gtr_RefiAmt)+MIN(Pledge)</f>
        <v>0</v>
      </c>
      <c r="L15" s="434" t="str">
        <f>IF(K120&gt;0,"",".")</f>
        <v>.</v>
      </c>
    </row>
    <row r="16" spans="2:16" ht="3" customHeight="1" x14ac:dyDescent="0.35">
      <c r="B16" s="433"/>
      <c r="D16" s="402"/>
      <c r="E16" s="402"/>
      <c r="F16" s="402"/>
      <c r="G16" s="604"/>
      <c r="I16" s="606"/>
      <c r="J16" s="402"/>
      <c r="K16" s="402"/>
      <c r="L16" s="434"/>
    </row>
    <row r="17" spans="1:12" ht="15.75" customHeight="1" x14ac:dyDescent="0.35">
      <c r="B17" s="433"/>
      <c r="D17" s="402"/>
      <c r="E17" s="424" t="s">
        <v>245</v>
      </c>
      <c r="F17" s="402"/>
      <c r="G17" s="605"/>
      <c r="I17" s="606" t="s">
        <v>27</v>
      </c>
      <c r="J17" s="402"/>
      <c r="K17" s="608">
        <f>MIN(Gtr_SecValue)</f>
        <v>0</v>
      </c>
      <c r="L17" s="434"/>
    </row>
    <row r="18" spans="1:12" ht="3" customHeight="1" thickBot="1" x14ac:dyDescent="0.4">
      <c r="B18" s="433"/>
      <c r="D18" s="64"/>
      <c r="E18" s="64"/>
      <c r="F18" s="64"/>
      <c r="G18" s="66"/>
      <c r="I18" s="437"/>
      <c r="J18" s="402"/>
      <c r="K18" s="402"/>
      <c r="L18" s="434"/>
    </row>
    <row r="19" spans="1:12" ht="15.75" customHeight="1" thickBot="1" x14ac:dyDescent="0.4">
      <c r="B19" s="433"/>
      <c r="D19" s="402"/>
      <c r="E19" s="1314" t="s">
        <v>246</v>
      </c>
      <c r="F19" s="1314"/>
      <c r="G19" s="859">
        <f>IF(OR(G17="",G17=0),1,IF(AND(G21="yes",OR(K21="4 years",K21="5 years")),MAX(G17,minVar_rate)+Fix_buffer,MAX(G17,minVar_rate)+Var_buffer))</f>
        <v>1</v>
      </c>
      <c r="I19" s="606" t="str">
        <f>IF(LVR="","LVR    ",IF((LVR&gt;0.9),"Max LVR Breached","LVR    "))</f>
        <v xml:space="preserve">LVR    </v>
      </c>
      <c r="J19" s="402"/>
      <c r="K19" s="403" t="str">
        <f>IF(K17&gt;0,K15/K17,"")</f>
        <v/>
      </c>
      <c r="L19" s="434"/>
    </row>
    <row r="20" spans="1:12" ht="3" customHeight="1" x14ac:dyDescent="0.35">
      <c r="B20" s="433"/>
      <c r="C20" s="64"/>
      <c r="D20" s="65"/>
      <c r="E20" s="566"/>
      <c r="F20" s="64"/>
      <c r="G20" s="64"/>
      <c r="H20" s="64"/>
      <c r="I20" s="64"/>
      <c r="J20" s="64"/>
      <c r="K20" s="66"/>
      <c r="L20" s="434"/>
    </row>
    <row r="21" spans="1:12" ht="15.75" hidden="1" customHeight="1" x14ac:dyDescent="0.35">
      <c r="A21" s="921" t="s">
        <v>247</v>
      </c>
      <c r="B21" s="433"/>
      <c r="C21" s="64"/>
      <c r="D21" s="65"/>
      <c r="E21" s="567" t="s">
        <v>54</v>
      </c>
      <c r="F21" s="64"/>
      <c r="G21" s="81"/>
      <c r="H21" s="64"/>
      <c r="I21" s="1178" t="s">
        <v>55</v>
      </c>
      <c r="J21" s="64"/>
      <c r="K21" s="81"/>
      <c r="L21" s="434"/>
    </row>
    <row r="22" spans="1:12" ht="15.75" hidden="1" customHeight="1" x14ac:dyDescent="0.35">
      <c r="A22" s="920"/>
      <c r="B22" s="448" t="s">
        <v>59</v>
      </c>
      <c r="C22" s="63"/>
      <c r="D22" s="63"/>
      <c r="E22" s="63"/>
      <c r="F22" s="63"/>
      <c r="G22" s="63"/>
      <c r="H22" s="63"/>
      <c r="I22" s="63"/>
      <c r="J22" s="63"/>
      <c r="K22" s="63"/>
      <c r="L22" s="449"/>
    </row>
    <row r="23" spans="1:12" ht="15.75" hidden="1" customHeight="1" x14ac:dyDescent="0.35">
      <c r="A23" s="920"/>
      <c r="B23" s="444" t="s">
        <v>60</v>
      </c>
      <c r="C23" s="132">
        <f>C120</f>
        <v>0</v>
      </c>
      <c r="D23" s="63"/>
      <c r="E23" s="132">
        <f>E120</f>
        <v>0</v>
      </c>
      <c r="F23" s="63"/>
      <c r="G23" s="132">
        <f>G120</f>
        <v>0</v>
      </c>
      <c r="H23" s="63"/>
      <c r="I23" s="132">
        <f>I120</f>
        <v>0</v>
      </c>
      <c r="J23" s="63"/>
      <c r="K23" s="63"/>
      <c r="L23" s="449"/>
    </row>
    <row r="24" spans="1:12" ht="15.75" hidden="1" customHeight="1" x14ac:dyDescent="0.35">
      <c r="A24" s="920"/>
      <c r="B24" s="444" t="s">
        <v>75</v>
      </c>
      <c r="C24" s="132" t="e">
        <f>HLOOKUP(C12,$C$9:$I$23,15,0)</f>
        <v>#N/A</v>
      </c>
      <c r="D24" s="63"/>
      <c r="E24" s="132" t="e">
        <f>HLOOKUP(E12,$C$9:$I$23,15,0)</f>
        <v>#N/A</v>
      </c>
      <c r="F24" s="63"/>
      <c r="G24" s="132" t="e">
        <f>HLOOKUP(G12,$C$9:$I$23,15,0)</f>
        <v>#N/A</v>
      </c>
      <c r="H24" s="63"/>
      <c r="I24" s="132" t="e">
        <f>HLOOKUP(I12,$C$9:$I$23,15,0)</f>
        <v>#N/A</v>
      </c>
      <c r="J24" s="63"/>
      <c r="K24" s="63"/>
      <c r="L24" s="449"/>
    </row>
    <row r="25" spans="1:12" ht="15.75" hidden="1" customHeight="1" x14ac:dyDescent="0.35">
      <c r="A25" s="920"/>
      <c r="B25" s="444" t="s">
        <v>63</v>
      </c>
      <c r="C25" s="132">
        <f>SUMIF(C23:C24,"&gt;0")</f>
        <v>0</v>
      </c>
      <c r="D25" s="63"/>
      <c r="E25" s="132">
        <f>SUMIF(E23:E24,"&gt;0")</f>
        <v>0</v>
      </c>
      <c r="F25" s="63"/>
      <c r="G25" s="132">
        <f>SUMIF(G23:G24,"&gt;0")</f>
        <v>0</v>
      </c>
      <c r="H25" s="63"/>
      <c r="I25" s="132">
        <f>SUMIF(I23:I24,"&gt;0")</f>
        <v>0</v>
      </c>
      <c r="J25" s="63"/>
      <c r="K25" s="63"/>
      <c r="L25" s="449"/>
    </row>
    <row r="26" spans="1:12" ht="15.75" hidden="1" customHeight="1" x14ac:dyDescent="0.35">
      <c r="A26" s="920"/>
      <c r="B26" s="444" t="s">
        <v>61</v>
      </c>
      <c r="C26" s="132">
        <f>(SUM(C113:C118)+((SUM(C123:C124)*0.8)+C179+C180))-C182</f>
        <v>0</v>
      </c>
      <c r="D26" s="132"/>
      <c r="E26" s="132">
        <f>(SUM(E113:E118)+((SUM(E123:E124)*0.8)+E179+E180))-E182</f>
        <v>0</v>
      </c>
      <c r="F26" s="132"/>
      <c r="G26" s="132">
        <f>(SUM(G113:G118)+((SUM(G123:G124)*0.8)+G179+G180))-G182</f>
        <v>0</v>
      </c>
      <c r="H26" s="132"/>
      <c r="I26" s="132">
        <f>(SUM(I113:I118)+((SUM(I123:I124)*0.8)+I179+I180))-I182</f>
        <v>0</v>
      </c>
      <c r="J26" s="63"/>
      <c r="K26" s="63"/>
      <c r="L26" s="449"/>
    </row>
    <row r="27" spans="1:12" ht="15.75" hidden="1" customHeight="1" x14ac:dyDescent="0.35">
      <c r="A27" s="920"/>
      <c r="B27" s="444" t="s">
        <v>248</v>
      </c>
      <c r="C27" s="132">
        <f>IFERROR(HLOOKUP(C12,$C$9:$I$26,18,0),0)</f>
        <v>0</v>
      </c>
      <c r="D27" s="132"/>
      <c r="E27" s="132">
        <f>IFERROR(HLOOKUP(E12,$C$9:$I$26,18,0),0)</f>
        <v>0</v>
      </c>
      <c r="F27" s="132"/>
      <c r="G27" s="132">
        <f t="shared" ref="G27:I27" si="0">IFERROR(HLOOKUP(G12,$C$9:$I$26,18,0),0)</f>
        <v>0</v>
      </c>
      <c r="H27" s="132"/>
      <c r="I27" s="132">
        <f t="shared" si="0"/>
        <v>0</v>
      </c>
      <c r="J27" s="63"/>
      <c r="K27" s="63"/>
      <c r="L27" s="449"/>
    </row>
    <row r="28" spans="1:12" ht="15.75" hidden="1" customHeight="1" x14ac:dyDescent="0.35">
      <c r="A28" s="920"/>
      <c r="B28" s="444" t="s">
        <v>64</v>
      </c>
      <c r="C28" s="132">
        <f>SUM(C26:C27)</f>
        <v>0</v>
      </c>
      <c r="D28" s="132"/>
      <c r="E28" s="132">
        <f t="shared" ref="E28:I28" si="1">SUM(E26:E27)</f>
        <v>0</v>
      </c>
      <c r="F28" s="132"/>
      <c r="G28" s="132">
        <f t="shared" si="1"/>
        <v>0</v>
      </c>
      <c r="H28" s="132"/>
      <c r="I28" s="132">
        <f t="shared" si="1"/>
        <v>0</v>
      </c>
      <c r="J28" s="63"/>
      <c r="K28" s="63"/>
      <c r="L28" s="449"/>
    </row>
    <row r="29" spans="1:12" ht="15.75" hidden="1" customHeight="1" x14ac:dyDescent="0.35">
      <c r="A29" s="920"/>
      <c r="B29" s="444" t="s">
        <v>65</v>
      </c>
      <c r="C29" s="132" t="b">
        <v>0</v>
      </c>
      <c r="D29" s="63"/>
      <c r="E29" s="132" t="b">
        <f>E9=C12</f>
        <v>0</v>
      </c>
      <c r="F29" s="63"/>
      <c r="G29" s="132" t="b">
        <f>OR(G9=E12,G9=C12)</f>
        <v>0</v>
      </c>
      <c r="H29" s="63"/>
      <c r="I29" s="132" t="b">
        <f>OR(I9=G12,I9=E12,I9=C12)</f>
        <v>0</v>
      </c>
      <c r="J29" s="63"/>
      <c r="K29" s="63"/>
      <c r="L29" s="449"/>
    </row>
    <row r="30" spans="1:12" ht="15.75" hidden="1" customHeight="1" x14ac:dyDescent="0.35">
      <c r="A30" s="920"/>
      <c r="B30" s="444" t="s">
        <v>66</v>
      </c>
      <c r="C30" s="62">
        <f>C13</f>
        <v>0</v>
      </c>
      <c r="D30" s="62"/>
      <c r="E30" s="62">
        <f>E13</f>
        <v>0</v>
      </c>
      <c r="F30" s="62"/>
      <c r="G30" s="62">
        <f>G13</f>
        <v>0</v>
      </c>
      <c r="H30" s="62"/>
      <c r="I30" s="62">
        <f>I13</f>
        <v>0</v>
      </c>
      <c r="J30" s="63"/>
      <c r="K30" s="63"/>
      <c r="L30" s="449"/>
    </row>
    <row r="31" spans="1:12" ht="15.75" hidden="1" customHeight="1" x14ac:dyDescent="0.35">
      <c r="A31" s="920"/>
      <c r="B31" s="444" t="s">
        <v>67</v>
      </c>
      <c r="C31" s="62" t="e">
        <f>HLOOKUP(C12,$C$9:$I$13,5,0)</f>
        <v>#N/A</v>
      </c>
      <c r="D31" s="62"/>
      <c r="E31" s="62" t="e">
        <f>HLOOKUP(E12,$C$9:$I$13,5,0)</f>
        <v>#N/A</v>
      </c>
      <c r="F31" s="62"/>
      <c r="G31" s="62" t="e">
        <f>HLOOKUP(G12,$C$9:$I$13,5,0)</f>
        <v>#N/A</v>
      </c>
      <c r="H31" s="62"/>
      <c r="I31" s="62" t="e">
        <f>HLOOKUP(I12,$C$9:$I$13,5,0)</f>
        <v>#N/A</v>
      </c>
      <c r="J31" s="63"/>
      <c r="K31" s="63"/>
      <c r="L31" s="449"/>
    </row>
    <row r="32" spans="1:12" ht="15.75" hidden="1" customHeight="1" x14ac:dyDescent="0.35">
      <c r="A32" s="920"/>
      <c r="B32" s="444" t="s">
        <v>68</v>
      </c>
      <c r="C32" s="62">
        <f>SUMIF(C30:C31,"&gt;0")</f>
        <v>0</v>
      </c>
      <c r="D32" s="62"/>
      <c r="E32" s="62">
        <f>SUMIF(E30:E31,"&gt;0")</f>
        <v>0</v>
      </c>
      <c r="F32" s="62"/>
      <c r="G32" s="62">
        <f>SUMIF(G30:G31,"&gt;0")</f>
        <v>0</v>
      </c>
      <c r="H32" s="62"/>
      <c r="I32" s="62">
        <f>SUMIF(I30:I31,"&gt;0")</f>
        <v>0</v>
      </c>
      <c r="J32" s="63"/>
      <c r="K32" s="63"/>
      <c r="L32" s="449"/>
    </row>
    <row r="33" spans="1:12" ht="15.75" hidden="1" customHeight="1" x14ac:dyDescent="0.35">
      <c r="A33" s="920"/>
      <c r="B33" s="444" t="s">
        <v>69</v>
      </c>
      <c r="C33" s="62" t="str">
        <f>IF(C29=FALSE,IF(AND(C11="",C10&lt;&gt;""),"S",LEFT(C11))&amp;MIN(C32,20),"")</f>
        <v>0</v>
      </c>
      <c r="D33" s="62"/>
      <c r="E33" s="62" t="str">
        <f>IF(E29=FALSE,IF(AND(E11="",E10&lt;&gt;""),"S",LEFT(E11))&amp;MIN(E32,20),"")</f>
        <v>0</v>
      </c>
      <c r="F33" s="62"/>
      <c r="G33" s="62" t="str">
        <f>IF(G29=FALSE,IF(AND(G11="",G10&lt;&gt;""),"S",LEFT(G11))&amp;MIN(G32,20),"")</f>
        <v>0</v>
      </c>
      <c r="H33" s="62"/>
      <c r="I33" s="62" t="str">
        <f>IF(I29=FALSE,IF(AND(I11="",I10&lt;&gt;""),"S",LEFT(I11))&amp;MIN(I32,20),"")</f>
        <v>0</v>
      </c>
      <c r="J33" s="63"/>
      <c r="K33" s="63"/>
      <c r="L33" s="449"/>
    </row>
    <row r="34" spans="1:12" ht="15.75" hidden="1" customHeight="1" x14ac:dyDescent="0.35">
      <c r="A34" s="920"/>
      <c r="B34" s="444" t="s">
        <v>70</v>
      </c>
      <c r="C34" s="872" t="e">
        <f>IF(C28&lt;0,VLOOKUP(C33,'HEM Table'!B8:C30,2,TRUE)*52,HLOOKUP(C28, 'HEM Table'!$C$7:$W$30, MATCH(C33, 'HEM Table'!$B$7:$B$30, 0),TRUE)*52)</f>
        <v>#N/A</v>
      </c>
      <c r="D34" s="872"/>
      <c r="E34" s="872" t="e">
        <f>IF(E28&lt;0,VLOOKUP(E33,'HEM Table'!B8:C30,2,TRUE)*52,HLOOKUP(E28, 'HEM Table'!$C$7:$W$30, MATCH(E33, 'HEM Table'!$B$7:$B$30, 0),TRUE)*52)</f>
        <v>#N/A</v>
      </c>
      <c r="F34" s="872"/>
      <c r="G34" s="872" t="e">
        <f>IF(G28&lt;0,VLOOKUP(G33,'HEM Table'!B8:C30,2,TRUE)*52,HLOOKUP(G28, 'HEM Table'!$C$7:$W$30, MATCH(G33, 'HEM Table'!$B$7:$B$30, 0),TRUE)*52)</f>
        <v>#N/A</v>
      </c>
      <c r="H34" s="872"/>
      <c r="I34" s="872" t="e">
        <f>IF(I28&lt;0,VLOOKUP(I33,'HEM Table'!B8:C30,2,TRUE)*52,HLOOKUP(I28, 'HEM Table'!$C$7:$W$30, MATCH(I33, 'HEM Table'!$B$7:$B$30, 0),TRUE)*52)</f>
        <v>#N/A</v>
      </c>
      <c r="J34" s="63"/>
      <c r="K34" s="131">
        <f>IF(Inc_Tier="Y",SUMIF(C34:I34,"&gt;0"),($P$11*LE_Couple+$P$12*LE_Single+IF(No_couples=0,$P$13*LE_Single_Child,$P$13*LE_Couple_Child))*52)</f>
        <v>0</v>
      </c>
      <c r="L34" s="449"/>
    </row>
    <row r="35" spans="1:12" ht="15.75" hidden="1" customHeight="1" x14ac:dyDescent="0.35">
      <c r="A35" s="920"/>
      <c r="B35" s="444" t="s">
        <v>71</v>
      </c>
      <c r="C35" s="63" t="b">
        <f>OR(C10&lt;&gt;"",C11&lt;&gt;"",C185&gt;0)</f>
        <v>0</v>
      </c>
      <c r="D35" s="63"/>
      <c r="E35" s="63" t="b">
        <f>OR(E10&lt;&gt;"",E11&lt;&gt;"",E185&gt;0)</f>
        <v>0</v>
      </c>
      <c r="F35" s="63"/>
      <c r="G35" s="63" t="b">
        <f>OR(G10&lt;&gt;"",G11&lt;&gt;"",G185&gt;0)</f>
        <v>0</v>
      </c>
      <c r="H35" s="63"/>
      <c r="I35" s="63" t="b">
        <f>OR(I10&lt;&gt;"",I11&lt;&gt;"",I185&gt;0)</f>
        <v>0</v>
      </c>
      <c r="J35" s="63"/>
      <c r="K35" s="139">
        <f>COUNTIF(C35:I35,TRUE)</f>
        <v>0</v>
      </c>
      <c r="L35" s="449"/>
    </row>
    <row r="36" spans="1:12" ht="15.75" hidden="1" customHeight="1" thickBot="1" x14ac:dyDescent="0.4">
      <c r="A36" s="920"/>
      <c r="B36" s="444"/>
      <c r="C36" s="63"/>
      <c r="D36" s="63"/>
      <c r="E36" s="63"/>
      <c r="F36" s="63"/>
      <c r="G36" s="63"/>
      <c r="H36" s="63"/>
      <c r="I36" s="63"/>
      <c r="J36" s="63"/>
      <c r="K36" s="63"/>
      <c r="L36" s="449"/>
    </row>
    <row r="37" spans="1:12" ht="15.75" hidden="1" customHeight="1" x14ac:dyDescent="0.35">
      <c r="A37" s="920"/>
      <c r="B37" s="568" t="s">
        <v>72</v>
      </c>
      <c r="C37" s="136" t="s">
        <v>73</v>
      </c>
      <c r="D37" s="137"/>
      <c r="E37" s="138">
        <f>O250</f>
        <v>1</v>
      </c>
      <c r="F37" s="137"/>
      <c r="G37" s="137"/>
      <c r="H37" s="137"/>
      <c r="I37" s="137"/>
      <c r="J37" s="137"/>
      <c r="K37" s="137"/>
      <c r="L37" s="569"/>
    </row>
    <row r="38" spans="1:12" ht="15.75" hidden="1" customHeight="1" x14ac:dyDescent="0.35">
      <c r="A38" s="920"/>
      <c r="B38" s="448" t="s">
        <v>74</v>
      </c>
      <c r="C38" s="129">
        <v>1</v>
      </c>
      <c r="D38" s="130"/>
      <c r="E38" s="129">
        <v>2</v>
      </c>
      <c r="F38" s="129"/>
      <c r="G38" s="129">
        <v>3</v>
      </c>
      <c r="H38" s="129"/>
      <c r="I38" s="129">
        <v>4</v>
      </c>
      <c r="J38" s="63"/>
      <c r="K38" s="63"/>
      <c r="L38" s="449"/>
    </row>
    <row r="39" spans="1:12" ht="15.75" hidden="1" customHeight="1" x14ac:dyDescent="0.35">
      <c r="A39" s="920"/>
      <c r="B39" s="444" t="s">
        <v>60</v>
      </c>
      <c r="C39" s="131">
        <f>Q216-C207</f>
        <v>0</v>
      </c>
      <c r="D39" s="132"/>
      <c r="E39" s="133">
        <f>Q221-E207</f>
        <v>0</v>
      </c>
      <c r="F39" s="132"/>
      <c r="G39" s="132">
        <f>Q226-G207</f>
        <v>0</v>
      </c>
      <c r="H39" s="132"/>
      <c r="I39" s="132">
        <f>Q231-I207</f>
        <v>0</v>
      </c>
      <c r="J39" s="63"/>
      <c r="K39" s="63"/>
      <c r="L39" s="449"/>
    </row>
    <row r="40" spans="1:12" ht="15.75" hidden="1" customHeight="1" x14ac:dyDescent="0.35">
      <c r="A40" s="920"/>
      <c r="B40" s="444" t="s">
        <v>75</v>
      </c>
      <c r="C40" s="131" t="e">
        <f>HLOOKUP(C$12,$C38:$I39,2,0)</f>
        <v>#N/A</v>
      </c>
      <c r="D40" s="132"/>
      <c r="E40" s="131" t="e">
        <f>HLOOKUP(E$12,$C38:$I39,2,0)</f>
        <v>#N/A</v>
      </c>
      <c r="F40" s="132"/>
      <c r="G40" s="131" t="e">
        <f>HLOOKUP(G$12,$C38:$I39,2,0)</f>
        <v>#N/A</v>
      </c>
      <c r="H40" s="132"/>
      <c r="I40" s="131" t="e">
        <f>HLOOKUP(I$12,$C38:$I39,2,0)</f>
        <v>#N/A</v>
      </c>
      <c r="J40" s="63"/>
      <c r="K40" s="63"/>
      <c r="L40" s="449"/>
    </row>
    <row r="41" spans="1:12" ht="15.75" hidden="1" customHeight="1" x14ac:dyDescent="0.35">
      <c r="A41" s="920"/>
      <c r="B41" s="444" t="s">
        <v>63</v>
      </c>
      <c r="C41" s="132">
        <f>SUMIF(C39:C40,"&gt;0")</f>
        <v>0</v>
      </c>
      <c r="D41" s="132"/>
      <c r="E41" s="132">
        <f>SUMIF(E39:E40,"&gt;0")</f>
        <v>0</v>
      </c>
      <c r="F41" s="132"/>
      <c r="G41" s="132">
        <f>SUMIF(G39:G40,"&gt;0")</f>
        <v>0</v>
      </c>
      <c r="H41" s="132"/>
      <c r="I41" s="132">
        <f>SUMIF(I39:I40,"&gt;0")</f>
        <v>0</v>
      </c>
      <c r="J41" s="63"/>
      <c r="K41" s="63"/>
      <c r="L41" s="449"/>
    </row>
    <row r="42" spans="1:12" ht="15.75" hidden="1" customHeight="1" x14ac:dyDescent="0.35">
      <c r="A42" s="920"/>
      <c r="B42" s="444" t="s">
        <v>70</v>
      </c>
      <c r="C42" s="872" t="e">
        <f>HLOOKUP(C41, 'HEM Table'!$C$7:$W$30, MATCH(C33, 'HEM Table'!$B$7:$B$30, 0),TRUE)*52</f>
        <v>#N/A</v>
      </c>
      <c r="D42" s="63"/>
      <c r="E42" s="131" t="e">
        <f>HLOOKUP(E41, 'HEM Table'!$C$7:$W$30, MATCH(E33, 'HEM Table'!$B$7:$B$30, 0),TRUE)*52</f>
        <v>#N/A</v>
      </c>
      <c r="F42" s="63"/>
      <c r="G42" s="131" t="e">
        <f>HLOOKUP(G41, 'HEM Table'!$C$7:$W$30, MATCH(G33, 'HEM Table'!$B$7:$B$30, 0),TRUE)*52</f>
        <v>#N/A</v>
      </c>
      <c r="H42" s="63"/>
      <c r="I42" s="131" t="e">
        <f>HLOOKUP(I41, 'HEM Table'!$C$7:$W$30, MATCH(I33, 'HEM Table'!$B$7:$B$30, 0),TRUE)*52</f>
        <v>#N/A</v>
      </c>
      <c r="J42" s="63"/>
      <c r="K42" s="131">
        <f>IF(Inc_Tier="Y",MAX(SUMIF(C42:I42,"&gt;0"),$K$173),MAX($K$173,($P$11*LE_Couple+$P$12*LE_Single+IF(No_couples=0,$P$13*LE_Single_Child,$P$13*LE_Couple_Child))*52))</f>
        <v>0</v>
      </c>
      <c r="L42" s="449"/>
    </row>
    <row r="43" spans="1:12" ht="15.75" hidden="1" customHeight="1" x14ac:dyDescent="0.35">
      <c r="A43" s="920"/>
      <c r="B43" s="448" t="s">
        <v>76</v>
      </c>
      <c r="C43" s="129">
        <v>1</v>
      </c>
      <c r="D43" s="130"/>
      <c r="E43" s="129">
        <v>2</v>
      </c>
      <c r="F43" s="129"/>
      <c r="G43" s="129">
        <v>3</v>
      </c>
      <c r="H43" s="129"/>
      <c r="I43" s="129">
        <v>4</v>
      </c>
      <c r="J43" s="63"/>
      <c r="K43" s="63"/>
      <c r="L43" s="449"/>
    </row>
    <row r="44" spans="1:12" ht="15.75" hidden="1" customHeight="1" x14ac:dyDescent="0.35">
      <c r="A44" s="920"/>
      <c r="B44" s="444" t="s">
        <v>60</v>
      </c>
      <c r="C44" s="132">
        <f>R216-C207</f>
        <v>0</v>
      </c>
      <c r="D44" s="63"/>
      <c r="E44" s="133">
        <f>R221-E207</f>
        <v>0</v>
      </c>
      <c r="F44" s="63"/>
      <c r="G44" s="132">
        <f>R226-G207</f>
        <v>0</v>
      </c>
      <c r="H44" s="63"/>
      <c r="I44" s="132">
        <f>R231-I207</f>
        <v>0</v>
      </c>
      <c r="J44" s="63"/>
      <c r="K44" s="63"/>
      <c r="L44" s="449"/>
    </row>
    <row r="45" spans="1:12" ht="15.75" hidden="1" customHeight="1" x14ac:dyDescent="0.35">
      <c r="A45" s="920"/>
      <c r="B45" s="444" t="s">
        <v>75</v>
      </c>
      <c r="C45" s="131" t="e">
        <f>HLOOKUP(C$12,$C43:$I44,2,0)</f>
        <v>#N/A</v>
      </c>
      <c r="D45" s="63"/>
      <c r="E45" s="131" t="e">
        <f>HLOOKUP(E$12,$C43:$I44,2,0)</f>
        <v>#N/A</v>
      </c>
      <c r="F45" s="63"/>
      <c r="G45" s="131" t="e">
        <f>HLOOKUP(G$12,$C43:$I44,2,0)</f>
        <v>#N/A</v>
      </c>
      <c r="H45" s="63"/>
      <c r="I45" s="131" t="e">
        <f>HLOOKUP(I$12,$C43:$I44,2,0)</f>
        <v>#N/A</v>
      </c>
      <c r="J45" s="63"/>
      <c r="K45" s="63"/>
      <c r="L45" s="449"/>
    </row>
    <row r="46" spans="1:12" ht="15.75" hidden="1" customHeight="1" x14ac:dyDescent="0.35">
      <c r="A46" s="920"/>
      <c r="B46" s="444" t="s">
        <v>63</v>
      </c>
      <c r="C46" s="132">
        <f>SUMIF(C44:C45,"&gt;0")</f>
        <v>0</v>
      </c>
      <c r="D46" s="63"/>
      <c r="E46" s="132">
        <f>SUMIF(E44:E45,"&gt;0")</f>
        <v>0</v>
      </c>
      <c r="F46" s="63"/>
      <c r="G46" s="132">
        <f>SUMIF(G44:G45,"&gt;0")</f>
        <v>0</v>
      </c>
      <c r="H46" s="63"/>
      <c r="I46" s="132">
        <f>SUMIF(I44:I45,"&gt;0")</f>
        <v>0</v>
      </c>
      <c r="J46" s="63"/>
      <c r="K46" s="63"/>
      <c r="L46" s="449"/>
    </row>
    <row r="47" spans="1:12" ht="15.75" hidden="1" customHeight="1" x14ac:dyDescent="0.35">
      <c r="A47" s="920"/>
      <c r="B47" s="444" t="s">
        <v>70</v>
      </c>
      <c r="C47" s="872" t="e">
        <f>HLOOKUP(C46, 'HEM Table'!$C$7:$W$30, MATCH(C33, 'HEM Table'!$B$7:$B$30, 0),TRUE)*52</f>
        <v>#N/A</v>
      </c>
      <c r="D47" s="63"/>
      <c r="E47" s="131" t="e">
        <f>HLOOKUP(E46, 'HEM Table'!$C$7:$W$30, MATCH(E33, 'HEM Table'!$B$7:$B$30, 0),TRUE)*52</f>
        <v>#N/A</v>
      </c>
      <c r="F47" s="63"/>
      <c r="G47" s="131" t="e">
        <f>HLOOKUP(G46, 'HEM Table'!$C$7:$W$30, MATCH(G33, 'HEM Table'!$B$7:$B$30, 0),TRUE)*52</f>
        <v>#N/A</v>
      </c>
      <c r="H47" s="63"/>
      <c r="I47" s="131" t="e">
        <f>HLOOKUP(I46, 'HEM Table'!$C$7:$W$30, MATCH(I33, 'HEM Table'!$B$7:$B$30, 0),TRUE)*52</f>
        <v>#N/A</v>
      </c>
      <c r="J47" s="63"/>
      <c r="K47" s="131">
        <f>IF(Inc_Tier="Y",MAX(SUMIF(C47:I47,"&gt;0"),$K$173),MAX($K$173,($P$11*LE_Couple+$P$12*LE_Single+IF(No_couples=0,$P$13*LE_Single_Child,$P$13*LE_Couple_Child))*52))</f>
        <v>0</v>
      </c>
      <c r="L47" s="449"/>
    </row>
    <row r="48" spans="1:12" ht="15.75" hidden="1" customHeight="1" x14ac:dyDescent="0.35">
      <c r="A48" s="920"/>
      <c r="B48" s="448" t="s">
        <v>77</v>
      </c>
      <c r="C48" s="129">
        <v>1</v>
      </c>
      <c r="D48" s="130"/>
      <c r="E48" s="129">
        <v>2</v>
      </c>
      <c r="F48" s="129"/>
      <c r="G48" s="129">
        <v>3</v>
      </c>
      <c r="H48" s="129"/>
      <c r="I48" s="129">
        <v>4</v>
      </c>
      <c r="J48" s="63"/>
      <c r="K48" s="63"/>
      <c r="L48" s="449"/>
    </row>
    <row r="49" spans="1:12" ht="15.75" hidden="1" customHeight="1" x14ac:dyDescent="0.35">
      <c r="A49" s="920"/>
      <c r="B49" s="444" t="s">
        <v>60</v>
      </c>
      <c r="C49" s="132">
        <f>S216-C207</f>
        <v>0</v>
      </c>
      <c r="D49" s="63"/>
      <c r="E49" s="133">
        <f>S221-E207</f>
        <v>0</v>
      </c>
      <c r="F49" s="63"/>
      <c r="G49" s="132">
        <f>S226-G207</f>
        <v>0</v>
      </c>
      <c r="H49" s="63"/>
      <c r="I49" s="132">
        <f>S231-I207</f>
        <v>0</v>
      </c>
      <c r="J49" s="63"/>
      <c r="K49" s="63"/>
      <c r="L49" s="449"/>
    </row>
    <row r="50" spans="1:12" ht="15.75" hidden="1" customHeight="1" x14ac:dyDescent="0.35">
      <c r="A50" s="920"/>
      <c r="B50" s="444" t="s">
        <v>75</v>
      </c>
      <c r="C50" s="131" t="e">
        <f>HLOOKUP(C$12,$C48:$I49,2,0)</f>
        <v>#N/A</v>
      </c>
      <c r="D50" s="63"/>
      <c r="E50" s="131" t="e">
        <f>HLOOKUP(E$12,$C48:$I49,2,0)</f>
        <v>#N/A</v>
      </c>
      <c r="F50" s="63"/>
      <c r="G50" s="131" t="e">
        <f>HLOOKUP(G$12,$C48:$I49,2,0)</f>
        <v>#N/A</v>
      </c>
      <c r="H50" s="63"/>
      <c r="I50" s="131" t="e">
        <f>HLOOKUP(I$12,$C48:$I49,2,0)</f>
        <v>#N/A</v>
      </c>
      <c r="J50" s="63"/>
      <c r="K50" s="63"/>
      <c r="L50" s="449"/>
    </row>
    <row r="51" spans="1:12" ht="15.75" hidden="1" customHeight="1" x14ac:dyDescent="0.35">
      <c r="A51" s="920"/>
      <c r="B51" s="444" t="s">
        <v>63</v>
      </c>
      <c r="C51" s="132">
        <f>SUMIF(C49:C50,"&gt;0")</f>
        <v>0</v>
      </c>
      <c r="D51" s="63"/>
      <c r="E51" s="132">
        <f>SUMIF(E49:E50,"&gt;0")</f>
        <v>0</v>
      </c>
      <c r="F51" s="63"/>
      <c r="G51" s="132">
        <f>SUMIF(G49:G50,"&gt;0")</f>
        <v>0</v>
      </c>
      <c r="H51" s="63"/>
      <c r="I51" s="132">
        <f>SUMIF(I49:I50,"&gt;0")</f>
        <v>0</v>
      </c>
      <c r="J51" s="63"/>
      <c r="K51" s="63"/>
      <c r="L51" s="449"/>
    </row>
    <row r="52" spans="1:12" ht="15.75" hidden="1" customHeight="1" x14ac:dyDescent="0.35">
      <c r="A52" s="920"/>
      <c r="B52" s="444" t="s">
        <v>70</v>
      </c>
      <c r="C52" s="872" t="e">
        <f>HLOOKUP(C51, 'HEM Table'!$C$7:$W$30, MATCH(C33, 'HEM Table'!$B$7:$B$30, 0),TRUE)*52</f>
        <v>#N/A</v>
      </c>
      <c r="D52" s="63"/>
      <c r="E52" s="131" t="e">
        <f>HLOOKUP(E51, 'HEM Table'!$C$7:$W$30, MATCH(E33, 'HEM Table'!$B$7:$B$30, 0),TRUE)*52</f>
        <v>#N/A</v>
      </c>
      <c r="F52" s="63"/>
      <c r="G52" s="131" t="e">
        <f>HLOOKUP(G51, 'HEM Table'!$C$7:$W$30, MATCH(G33, 'HEM Table'!$B$7:$B$30, 0),TRUE)*52</f>
        <v>#N/A</v>
      </c>
      <c r="H52" s="63"/>
      <c r="I52" s="131" t="e">
        <f>HLOOKUP(I51, 'HEM Table'!$C$7:$W$30, MATCH(I33, 'HEM Table'!$B$7:$B$30, 0),TRUE)*52</f>
        <v>#N/A</v>
      </c>
      <c r="J52" s="63"/>
      <c r="K52" s="131">
        <f>IF(Inc_Tier="Y",MAX(SUMIF(C52:I52,"&gt;0"),$K$173),MAX($K$173,($P$11*LE_Couple+$P$12*LE_Single+IF(No_couples=0,$P$13*LE_Single_Child,$P$13*LE_Couple_Child))*52))</f>
        <v>0</v>
      </c>
      <c r="L52" s="449"/>
    </row>
    <row r="53" spans="1:12" ht="15.75" hidden="1" customHeight="1" x14ac:dyDescent="0.35">
      <c r="A53" s="920"/>
      <c r="B53" s="448" t="s">
        <v>78</v>
      </c>
      <c r="C53" s="129">
        <v>1</v>
      </c>
      <c r="D53" s="130"/>
      <c r="E53" s="129">
        <v>2</v>
      </c>
      <c r="F53" s="129"/>
      <c r="G53" s="129">
        <v>3</v>
      </c>
      <c r="H53" s="129"/>
      <c r="I53" s="129">
        <v>4</v>
      </c>
      <c r="J53" s="63"/>
      <c r="K53" s="63"/>
      <c r="L53" s="449"/>
    </row>
    <row r="54" spans="1:12" ht="15.75" hidden="1" customHeight="1" x14ac:dyDescent="0.35">
      <c r="A54" s="920"/>
      <c r="B54" s="444" t="s">
        <v>60</v>
      </c>
      <c r="C54" s="132">
        <f>T216-C207</f>
        <v>0</v>
      </c>
      <c r="D54" s="63"/>
      <c r="E54" s="133">
        <f>T221-E207</f>
        <v>0</v>
      </c>
      <c r="F54" s="63"/>
      <c r="G54" s="132">
        <f>T226-G207</f>
        <v>0</v>
      </c>
      <c r="H54" s="63"/>
      <c r="I54" s="132">
        <f>T231-I207</f>
        <v>0</v>
      </c>
      <c r="J54" s="63"/>
      <c r="K54" s="63"/>
      <c r="L54" s="449"/>
    </row>
    <row r="55" spans="1:12" ht="15.75" hidden="1" customHeight="1" x14ac:dyDescent="0.35">
      <c r="A55" s="920"/>
      <c r="B55" s="444" t="s">
        <v>75</v>
      </c>
      <c r="C55" s="131" t="e">
        <f>HLOOKUP(C$12,$C53:$I54,2,0)</f>
        <v>#N/A</v>
      </c>
      <c r="D55" s="63"/>
      <c r="E55" s="131" t="e">
        <f>HLOOKUP(E$12,$C53:$I54,2,0)</f>
        <v>#N/A</v>
      </c>
      <c r="F55" s="63"/>
      <c r="G55" s="131" t="e">
        <f>HLOOKUP(G$12,$C53:$I54,2,0)</f>
        <v>#N/A</v>
      </c>
      <c r="H55" s="63"/>
      <c r="I55" s="131" t="e">
        <f>HLOOKUP(I$12,$C53:$I54,2,0)</f>
        <v>#N/A</v>
      </c>
      <c r="J55" s="63"/>
      <c r="K55" s="63"/>
      <c r="L55" s="449"/>
    </row>
    <row r="56" spans="1:12" ht="15.75" hidden="1" customHeight="1" x14ac:dyDescent="0.35">
      <c r="A56" s="920"/>
      <c r="B56" s="444" t="s">
        <v>63</v>
      </c>
      <c r="C56" s="132">
        <f>SUMIF(C54:C55,"&gt;0")</f>
        <v>0</v>
      </c>
      <c r="D56" s="63"/>
      <c r="E56" s="132">
        <f>SUMIF(E54:E55,"&gt;0")</f>
        <v>0</v>
      </c>
      <c r="F56" s="63"/>
      <c r="G56" s="132">
        <f>SUMIF(G54:G55,"&gt;0")</f>
        <v>0</v>
      </c>
      <c r="H56" s="63"/>
      <c r="I56" s="132">
        <f>SUMIF(I54:I55,"&gt;0")</f>
        <v>0</v>
      </c>
      <c r="J56" s="63"/>
      <c r="K56" s="63"/>
      <c r="L56" s="449"/>
    </row>
    <row r="57" spans="1:12" ht="15.75" hidden="1" customHeight="1" x14ac:dyDescent="0.35">
      <c r="A57" s="920"/>
      <c r="B57" s="444" t="s">
        <v>70</v>
      </c>
      <c r="C57" s="872" t="e">
        <f>HLOOKUP(C56, 'HEM Table'!$C$7:$W$30, MATCH(C33, 'HEM Table'!$B$7:$B$30, 0),TRUE)*52</f>
        <v>#N/A</v>
      </c>
      <c r="D57" s="63"/>
      <c r="E57" s="131" t="e">
        <f>HLOOKUP(E56, 'HEM Table'!$C$7:$W$30, MATCH(E33, 'HEM Table'!$B$7:$B$30, 0),TRUE)*52</f>
        <v>#N/A</v>
      </c>
      <c r="F57" s="63"/>
      <c r="G57" s="131" t="e">
        <f>HLOOKUP(G56, 'HEM Table'!$C$7:$W$30, MATCH(G33, 'HEM Table'!$B$7:$B$30, 0),TRUE)*52</f>
        <v>#N/A</v>
      </c>
      <c r="H57" s="63"/>
      <c r="I57" s="131" t="e">
        <f>HLOOKUP(I56, 'HEM Table'!$C$7:$W$30, MATCH(I33, 'HEM Table'!$B$7:$B$30, 0),TRUE)*52</f>
        <v>#N/A</v>
      </c>
      <c r="J57" s="63"/>
      <c r="K57" s="131">
        <f>IF(Inc_Tier="Y",MAX(SUMIF(C57:I57,"&gt;0"),$K$173),MAX($K$173,($P$11*LE_Couple+$P$12*LE_Single+IF(No_couples=0,$P$13*LE_Single_Child,$P$13*LE_Couple_Child))*52))</f>
        <v>0</v>
      </c>
      <c r="L57" s="449"/>
    </row>
    <row r="58" spans="1:12" ht="15.75" hidden="1" customHeight="1" x14ac:dyDescent="0.35">
      <c r="A58" s="920"/>
      <c r="B58" s="448" t="s">
        <v>79</v>
      </c>
      <c r="C58" s="129">
        <v>1</v>
      </c>
      <c r="D58" s="130"/>
      <c r="E58" s="129">
        <v>2</v>
      </c>
      <c r="F58" s="129"/>
      <c r="G58" s="129">
        <v>3</v>
      </c>
      <c r="H58" s="129"/>
      <c r="I58" s="129">
        <v>4</v>
      </c>
      <c r="J58" s="63"/>
      <c r="K58" s="63"/>
      <c r="L58" s="449"/>
    </row>
    <row r="59" spans="1:12" ht="15.75" hidden="1" customHeight="1" x14ac:dyDescent="0.35">
      <c r="A59" s="920"/>
      <c r="B59" s="444" t="s">
        <v>60</v>
      </c>
      <c r="C59" s="132">
        <f>U216-C207</f>
        <v>0</v>
      </c>
      <c r="D59" s="63"/>
      <c r="E59" s="133">
        <f>U221-E207</f>
        <v>0</v>
      </c>
      <c r="F59" s="63"/>
      <c r="G59" s="132">
        <f>U226-G207</f>
        <v>0</v>
      </c>
      <c r="H59" s="63"/>
      <c r="I59" s="132">
        <f>U231-I207</f>
        <v>0</v>
      </c>
      <c r="J59" s="63"/>
      <c r="K59" s="63"/>
      <c r="L59" s="449"/>
    </row>
    <row r="60" spans="1:12" ht="15.75" hidden="1" customHeight="1" x14ac:dyDescent="0.35">
      <c r="A60" s="920"/>
      <c r="B60" s="444" t="s">
        <v>75</v>
      </c>
      <c r="C60" s="131" t="e">
        <f>HLOOKUP(C$12,$C58:$I59,2,0)</f>
        <v>#N/A</v>
      </c>
      <c r="D60" s="63"/>
      <c r="E60" s="131" t="e">
        <f>HLOOKUP(E$12,$C58:$I59,2,0)</f>
        <v>#N/A</v>
      </c>
      <c r="F60" s="63"/>
      <c r="G60" s="131" t="e">
        <f>HLOOKUP(G$12,$C58:$I59,2,0)</f>
        <v>#N/A</v>
      </c>
      <c r="H60" s="63"/>
      <c r="I60" s="131" t="e">
        <f>HLOOKUP(I$12,$C58:$I59,2,0)</f>
        <v>#N/A</v>
      </c>
      <c r="J60" s="63"/>
      <c r="K60" s="63"/>
      <c r="L60" s="449"/>
    </row>
    <row r="61" spans="1:12" ht="15.75" hidden="1" customHeight="1" x14ac:dyDescent="0.35">
      <c r="A61" s="920"/>
      <c r="B61" s="444" t="s">
        <v>63</v>
      </c>
      <c r="C61" s="132">
        <f>SUMIF(C59:C60,"&gt;0")</f>
        <v>0</v>
      </c>
      <c r="D61" s="63"/>
      <c r="E61" s="132">
        <f>SUMIF(E59:E60,"&gt;0")</f>
        <v>0</v>
      </c>
      <c r="F61" s="63"/>
      <c r="G61" s="132">
        <f>SUMIF(G59:G60,"&gt;0")</f>
        <v>0</v>
      </c>
      <c r="H61" s="63"/>
      <c r="I61" s="132">
        <f>SUMIF(I59:I60,"&gt;0")</f>
        <v>0</v>
      </c>
      <c r="J61" s="63"/>
      <c r="K61" s="63"/>
      <c r="L61" s="449"/>
    </row>
    <row r="62" spans="1:12" ht="15.75" hidden="1" customHeight="1" x14ac:dyDescent="0.35">
      <c r="A62" s="920"/>
      <c r="B62" s="444" t="s">
        <v>70</v>
      </c>
      <c r="C62" s="872" t="e">
        <f>HLOOKUP(C61, 'HEM Table'!$C$7:$W$30, MATCH(C33, 'HEM Table'!$B$7:$B$30, 0),TRUE)*52</f>
        <v>#N/A</v>
      </c>
      <c r="D62" s="63"/>
      <c r="E62" s="131" t="e">
        <f>HLOOKUP(E61, 'HEM Table'!$C$7:$W$30, MATCH(E33, 'HEM Table'!$B$7:$B$30, 0),TRUE)*52</f>
        <v>#N/A</v>
      </c>
      <c r="F62" s="63"/>
      <c r="G62" s="131" t="e">
        <f>HLOOKUP(G61, 'HEM Table'!$C$7:$W$30, MATCH(G33, 'HEM Table'!$B$7:$B$30, 0),TRUE)*52</f>
        <v>#N/A</v>
      </c>
      <c r="H62" s="63"/>
      <c r="I62" s="131" t="e">
        <f>HLOOKUP(I61, 'HEM Table'!$C$7:$W$30, MATCH(I33, 'HEM Table'!$B$7:$B$30, 0),TRUE)*52</f>
        <v>#N/A</v>
      </c>
      <c r="J62" s="63"/>
      <c r="K62" s="131">
        <f>IF(Inc_Tier="Y",MAX(SUMIF(C62:I62,"&gt;0"),$K$173),MAX($K$173,($P$11*LE_Couple+$P$12*LE_Single+IF(No_couples=0,$P$13*LE_Single_Child,$P$13*LE_Couple_Child))*52))</f>
        <v>0</v>
      </c>
      <c r="L62" s="449"/>
    </row>
    <row r="63" spans="1:12" ht="15.75" hidden="1" customHeight="1" x14ac:dyDescent="0.35">
      <c r="A63" s="920"/>
      <c r="B63" s="448" t="s">
        <v>80</v>
      </c>
      <c r="C63" s="129">
        <v>1</v>
      </c>
      <c r="D63" s="130"/>
      <c r="E63" s="129">
        <v>2</v>
      </c>
      <c r="F63" s="129"/>
      <c r="G63" s="129">
        <v>3</v>
      </c>
      <c r="H63" s="129"/>
      <c r="I63" s="129">
        <v>4</v>
      </c>
      <c r="J63" s="63"/>
      <c r="K63" s="63"/>
      <c r="L63" s="449"/>
    </row>
    <row r="64" spans="1:12" ht="15.75" hidden="1" customHeight="1" x14ac:dyDescent="0.35">
      <c r="A64" s="920"/>
      <c r="B64" s="444" t="s">
        <v>60</v>
      </c>
      <c r="C64" s="132">
        <f>V216-C207</f>
        <v>0</v>
      </c>
      <c r="D64" s="63"/>
      <c r="E64" s="133">
        <f>V221-E207</f>
        <v>0</v>
      </c>
      <c r="F64" s="63"/>
      <c r="G64" s="132">
        <f>V226-G207</f>
        <v>0</v>
      </c>
      <c r="H64" s="63"/>
      <c r="I64" s="132">
        <f>V231-I207</f>
        <v>0</v>
      </c>
      <c r="J64" s="63"/>
      <c r="K64" s="63"/>
      <c r="L64" s="449"/>
    </row>
    <row r="65" spans="1:12" ht="15.75" hidden="1" customHeight="1" x14ac:dyDescent="0.35">
      <c r="A65" s="920"/>
      <c r="B65" s="444" t="s">
        <v>75</v>
      </c>
      <c r="C65" s="131" t="e">
        <f>HLOOKUP(C$12,$C63:$I64,2,0)</f>
        <v>#N/A</v>
      </c>
      <c r="D65" s="63"/>
      <c r="E65" s="131" t="e">
        <f>HLOOKUP(E$12,$C63:$I64,2,0)</f>
        <v>#N/A</v>
      </c>
      <c r="F65" s="63"/>
      <c r="G65" s="131" t="e">
        <f>HLOOKUP(G$12,$C63:$I64,2,0)</f>
        <v>#N/A</v>
      </c>
      <c r="H65" s="63"/>
      <c r="I65" s="131" t="e">
        <f>HLOOKUP(I$12,$C63:$I64,2,0)</f>
        <v>#N/A</v>
      </c>
      <c r="J65" s="63"/>
      <c r="K65" s="63"/>
      <c r="L65" s="449"/>
    </row>
    <row r="66" spans="1:12" ht="15.75" hidden="1" customHeight="1" x14ac:dyDescent="0.35">
      <c r="A66" s="920"/>
      <c r="B66" s="444" t="s">
        <v>63</v>
      </c>
      <c r="C66" s="132">
        <f>SUMIF(C64:C65,"&gt;0")</f>
        <v>0</v>
      </c>
      <c r="D66" s="63"/>
      <c r="E66" s="132">
        <f>SUMIF(E64:E65,"&gt;0")</f>
        <v>0</v>
      </c>
      <c r="F66" s="63"/>
      <c r="G66" s="132">
        <f>SUMIF(G64:G65,"&gt;0")</f>
        <v>0</v>
      </c>
      <c r="H66" s="63"/>
      <c r="I66" s="132">
        <f>SUMIF(I64:I65,"&gt;0")</f>
        <v>0</v>
      </c>
      <c r="J66" s="63"/>
      <c r="K66" s="63"/>
      <c r="L66" s="449"/>
    </row>
    <row r="67" spans="1:12" ht="15.75" hidden="1" customHeight="1" x14ac:dyDescent="0.35">
      <c r="A67" s="920"/>
      <c r="B67" s="444" t="s">
        <v>70</v>
      </c>
      <c r="C67" s="872" t="e">
        <f>HLOOKUP(C66, 'HEM Table'!$C$7:$W$30, MATCH(C33, 'HEM Table'!$B$7:$B$30, 0),TRUE)*52</f>
        <v>#N/A</v>
      </c>
      <c r="D67" s="63"/>
      <c r="E67" s="131" t="e">
        <f>HLOOKUP(E66, 'HEM Table'!$C$7:$W$30, MATCH(E33, 'HEM Table'!$B$7:$B$30, 0),TRUE)*52</f>
        <v>#N/A</v>
      </c>
      <c r="F67" s="63"/>
      <c r="G67" s="131" t="e">
        <f>HLOOKUP(G66, 'HEM Table'!$C$7:$W$30, MATCH(G33, 'HEM Table'!$B$7:$B$30, 0),TRUE)*52</f>
        <v>#N/A</v>
      </c>
      <c r="H67" s="63"/>
      <c r="I67" s="131" t="e">
        <f>HLOOKUP(I66, 'HEM Table'!$C$7:$W$30, MATCH(I33, 'HEM Table'!$B$7:$B$30, 0),TRUE)*52</f>
        <v>#N/A</v>
      </c>
      <c r="J67" s="63"/>
      <c r="K67" s="131">
        <f>IF(Inc_Tier="Y",MAX(SUMIF(C67:I67,"&gt;0"),$K$173),MAX($K$173,($P$11*LE_Couple+$P$12*LE_Single+IF(No_couples=0,$P$13*LE_Single_Child,$P$13*LE_Couple_Child))*52))</f>
        <v>0</v>
      </c>
      <c r="L67" s="449"/>
    </row>
    <row r="68" spans="1:12" ht="15.75" hidden="1" customHeight="1" x14ac:dyDescent="0.35">
      <c r="A68" s="920"/>
      <c r="B68" s="448" t="s">
        <v>81</v>
      </c>
      <c r="C68" s="129">
        <v>1</v>
      </c>
      <c r="D68" s="130"/>
      <c r="E68" s="129">
        <v>2</v>
      </c>
      <c r="F68" s="129"/>
      <c r="G68" s="129">
        <v>3</v>
      </c>
      <c r="H68" s="129"/>
      <c r="I68" s="129">
        <v>4</v>
      </c>
      <c r="J68" s="63"/>
      <c r="K68" s="63"/>
      <c r="L68" s="449"/>
    </row>
    <row r="69" spans="1:12" ht="15.75" hidden="1" customHeight="1" x14ac:dyDescent="0.35">
      <c r="A69" s="920"/>
      <c r="B69" s="444" t="s">
        <v>60</v>
      </c>
      <c r="C69" s="132">
        <f>W216-C207</f>
        <v>0</v>
      </c>
      <c r="D69" s="63"/>
      <c r="E69" s="133">
        <f>W221-E207</f>
        <v>0</v>
      </c>
      <c r="F69" s="63"/>
      <c r="G69" s="132">
        <f>W226-G207</f>
        <v>0</v>
      </c>
      <c r="H69" s="63"/>
      <c r="I69" s="132">
        <f>W231-I207</f>
        <v>0</v>
      </c>
      <c r="J69" s="63"/>
      <c r="K69" s="63"/>
      <c r="L69" s="449"/>
    </row>
    <row r="70" spans="1:12" ht="15.75" hidden="1" customHeight="1" x14ac:dyDescent="0.35">
      <c r="A70" s="920"/>
      <c r="B70" s="444" t="s">
        <v>75</v>
      </c>
      <c r="C70" s="131" t="e">
        <f>HLOOKUP(C$12,$C68:$I69,2,0)</f>
        <v>#N/A</v>
      </c>
      <c r="D70" s="63"/>
      <c r="E70" s="131" t="e">
        <f>HLOOKUP(E$12,$C68:$I69,2,0)</f>
        <v>#N/A</v>
      </c>
      <c r="F70" s="63"/>
      <c r="G70" s="131" t="e">
        <f>HLOOKUP(G$12,$C68:$I69,2,0)</f>
        <v>#N/A</v>
      </c>
      <c r="H70" s="63"/>
      <c r="I70" s="131" t="e">
        <f>HLOOKUP(I$12,$C68:$I69,2,0)</f>
        <v>#N/A</v>
      </c>
      <c r="J70" s="63"/>
      <c r="K70" s="63"/>
      <c r="L70" s="449"/>
    </row>
    <row r="71" spans="1:12" ht="15.75" hidden="1" customHeight="1" x14ac:dyDescent="0.35">
      <c r="A71" s="920"/>
      <c r="B71" s="444" t="s">
        <v>63</v>
      </c>
      <c r="C71" s="132">
        <f>SUMIF(C69:C70,"&gt;0")</f>
        <v>0</v>
      </c>
      <c r="D71" s="445"/>
      <c r="E71" s="132">
        <f>SUMIF(E69:E70,"&gt;0")</f>
        <v>0</v>
      </c>
      <c r="F71" s="63"/>
      <c r="G71" s="132">
        <f>SUMIF(G69:G70,"&gt;0")</f>
        <v>0</v>
      </c>
      <c r="H71" s="63"/>
      <c r="I71" s="132">
        <f>SUMIF(I69:I70,"&gt;0")</f>
        <v>0</v>
      </c>
      <c r="J71" s="63"/>
      <c r="K71" s="63"/>
      <c r="L71" s="449"/>
    </row>
    <row r="72" spans="1:12" ht="15.75" hidden="1" customHeight="1" x14ac:dyDescent="0.35">
      <c r="A72" s="920"/>
      <c r="B72" s="444" t="s">
        <v>70</v>
      </c>
      <c r="C72" s="872" t="e">
        <f>HLOOKUP(C71, 'HEM Table'!$C$7:$W$30, MATCH(C33, 'HEM Table'!$B$7:$B$30, 0),TRUE)*52</f>
        <v>#N/A</v>
      </c>
      <c r="D72" s="63"/>
      <c r="E72" s="131" t="e">
        <f>HLOOKUP(E71, 'HEM Table'!$C$7:$W$30, MATCH(E33, 'HEM Table'!$B$7:$B$30, 0),TRUE)*52</f>
        <v>#N/A</v>
      </c>
      <c r="F72" s="63"/>
      <c r="G72" s="131" t="e">
        <f>HLOOKUP(G71, 'HEM Table'!$C$7:$W$30, MATCH(G33, 'HEM Table'!$B$7:$B$30, 0),TRUE)*52</f>
        <v>#N/A</v>
      </c>
      <c r="H72" s="63"/>
      <c r="I72" s="131" t="e">
        <f>HLOOKUP(I71, 'HEM Table'!$C$7:$W$30, MATCH(I33, 'HEM Table'!$B$7:$B$30, 0),TRUE)*52</f>
        <v>#N/A</v>
      </c>
      <c r="J72" s="63"/>
      <c r="K72" s="131">
        <f>IF(Inc_Tier="Y",MAX(SUMIF(C72:I72,"&gt;0"),$K$173),MAX($K$173,($P$11*LE_Couple+$P$12*LE_Single+IF(No_couples=0,$P$13*LE_Single_Child,$P$13*LE_Couple_Child))*52))</f>
        <v>0</v>
      </c>
      <c r="L72" s="449"/>
    </row>
    <row r="73" spans="1:12" ht="15.75" hidden="1" customHeight="1" x14ac:dyDescent="0.35">
      <c r="A73" s="920"/>
      <c r="B73" s="439" t="s">
        <v>72</v>
      </c>
      <c r="C73" s="127" t="s">
        <v>73</v>
      </c>
      <c r="D73" s="28"/>
      <c r="E73" s="128">
        <f>Y250</f>
        <v>1.1000000000000001</v>
      </c>
      <c r="F73" s="28"/>
      <c r="G73" s="28"/>
      <c r="H73" s="28"/>
      <c r="I73" s="28"/>
      <c r="J73" s="28"/>
      <c r="K73" s="28"/>
      <c r="L73" s="455"/>
    </row>
    <row r="74" spans="1:12" ht="15.75" hidden="1" customHeight="1" x14ac:dyDescent="0.35">
      <c r="A74" s="920"/>
      <c r="B74" s="448" t="s">
        <v>74</v>
      </c>
      <c r="C74" s="129">
        <v>1</v>
      </c>
      <c r="D74" s="130"/>
      <c r="E74" s="129">
        <v>2</v>
      </c>
      <c r="F74" s="129"/>
      <c r="G74" s="129">
        <v>3</v>
      </c>
      <c r="H74" s="129"/>
      <c r="I74" s="129">
        <v>4</v>
      </c>
      <c r="J74" s="63"/>
      <c r="K74" s="63"/>
      <c r="L74" s="449"/>
    </row>
    <row r="75" spans="1:12" ht="15.75" hidden="1" customHeight="1" x14ac:dyDescent="0.35">
      <c r="A75" s="920"/>
      <c r="B75" s="444" t="s">
        <v>60</v>
      </c>
      <c r="C75" s="132">
        <f>AA216-C207</f>
        <v>0</v>
      </c>
      <c r="D75" s="63"/>
      <c r="E75" s="132">
        <f>AA221-E207</f>
        <v>0</v>
      </c>
      <c r="F75" s="63"/>
      <c r="G75" s="132">
        <f>AA226-G207</f>
        <v>0</v>
      </c>
      <c r="H75" s="63"/>
      <c r="I75" s="132">
        <f>AA231-I207</f>
        <v>0</v>
      </c>
      <c r="J75" s="63"/>
      <c r="K75" s="63"/>
      <c r="L75" s="449"/>
    </row>
    <row r="76" spans="1:12" ht="15.75" hidden="1" customHeight="1" x14ac:dyDescent="0.35">
      <c r="A76" s="920"/>
      <c r="B76" s="444" t="s">
        <v>75</v>
      </c>
      <c r="C76" s="131" t="e">
        <f>HLOOKUP(C$12,$C74:$I75,2,0)</f>
        <v>#N/A</v>
      </c>
      <c r="D76" s="63"/>
      <c r="E76" s="131" t="e">
        <f>HLOOKUP(E$12,$C74:$I75,2,0)</f>
        <v>#N/A</v>
      </c>
      <c r="F76" s="63"/>
      <c r="G76" s="131" t="e">
        <f>HLOOKUP(G$12,$C74:$I75,2,0)</f>
        <v>#N/A</v>
      </c>
      <c r="H76" s="63"/>
      <c r="I76" s="131" t="e">
        <f>HLOOKUP(I$12,$C74:$I75,2,0)</f>
        <v>#N/A</v>
      </c>
      <c r="J76" s="63"/>
      <c r="K76" s="63"/>
      <c r="L76" s="449"/>
    </row>
    <row r="77" spans="1:12" ht="15.75" hidden="1" customHeight="1" x14ac:dyDescent="0.35">
      <c r="A77" s="920"/>
      <c r="B77" s="444" t="s">
        <v>63</v>
      </c>
      <c r="C77" s="132">
        <f>SUMIF(C75:C76,"&gt;0")</f>
        <v>0</v>
      </c>
      <c r="D77" s="63"/>
      <c r="E77" s="132">
        <f>SUMIF(E75:E76,"&gt;0")</f>
        <v>0</v>
      </c>
      <c r="F77" s="63"/>
      <c r="G77" s="132">
        <f>SUMIF(G75:G76,"&gt;0")</f>
        <v>0</v>
      </c>
      <c r="H77" s="63"/>
      <c r="I77" s="132">
        <f>SUMIF(I75:I76,"&gt;0")</f>
        <v>0</v>
      </c>
      <c r="J77" s="63"/>
      <c r="K77" s="63"/>
      <c r="L77" s="449"/>
    </row>
    <row r="78" spans="1:12" ht="15.75" hidden="1" customHeight="1" x14ac:dyDescent="0.35">
      <c r="A78" s="920"/>
      <c r="B78" s="444" t="s">
        <v>70</v>
      </c>
      <c r="C78" s="872" t="e">
        <f>HLOOKUP(C77, 'HEM Table'!$C$7:$W$30, MATCH(C33, 'HEM Table'!$B$7:$B$30, 0),TRUE)*52</f>
        <v>#N/A</v>
      </c>
      <c r="D78" s="63"/>
      <c r="E78" s="131" t="e">
        <f>HLOOKUP(E77, 'HEM Table'!$C$7:$W$30, MATCH(E33, 'HEM Table'!$B$7:$B$30, 0),TRUE)*52</f>
        <v>#N/A</v>
      </c>
      <c r="F78" s="63"/>
      <c r="G78" s="131" t="e">
        <f>HLOOKUP(G77, 'HEM Table'!$C$7:$W$30, MATCH(G33, 'HEM Table'!$B$7:$B$30, 0),TRUE)*52</f>
        <v>#N/A</v>
      </c>
      <c r="H78" s="63"/>
      <c r="I78" s="131" t="e">
        <f>HLOOKUP(I77, 'HEM Table'!$C$7:$W$30, MATCH(I33, 'HEM Table'!$B$7:$B$30, 0),TRUE)*52</f>
        <v>#N/A</v>
      </c>
      <c r="J78" s="63"/>
      <c r="K78" s="131">
        <f>IF(Inc_Tier="Y",MAX(SUMIF(C78:I78,"&gt;0"),$K$173),MAX($K$173,($P$11*LE_Couple+$P$12*LE_Single+IF(No_couples=0,$P$13*LE_Single_Child,$P$13*LE_Couple_Child))*52))</f>
        <v>0</v>
      </c>
      <c r="L78" s="449"/>
    </row>
    <row r="79" spans="1:12" ht="15.75" hidden="1" customHeight="1" x14ac:dyDescent="0.35">
      <c r="A79" s="920"/>
      <c r="B79" s="448" t="s">
        <v>76</v>
      </c>
      <c r="C79" s="129">
        <v>1</v>
      </c>
      <c r="D79" s="130"/>
      <c r="E79" s="129">
        <v>2</v>
      </c>
      <c r="F79" s="129"/>
      <c r="G79" s="129">
        <v>3</v>
      </c>
      <c r="H79" s="129"/>
      <c r="I79" s="129">
        <v>4</v>
      </c>
      <c r="J79" s="63"/>
      <c r="K79" s="63"/>
      <c r="L79" s="449"/>
    </row>
    <row r="80" spans="1:12" ht="15.75" hidden="1" customHeight="1" x14ac:dyDescent="0.35">
      <c r="A80" s="920"/>
      <c r="B80" s="444" t="s">
        <v>60</v>
      </c>
      <c r="C80" s="132">
        <f>AB216-C207</f>
        <v>0</v>
      </c>
      <c r="D80" s="63"/>
      <c r="E80" s="132">
        <f>AB221-E207</f>
        <v>0</v>
      </c>
      <c r="F80" s="63"/>
      <c r="G80" s="132">
        <f>AB226-G207</f>
        <v>0</v>
      </c>
      <c r="H80" s="63"/>
      <c r="I80" s="132">
        <f>AB231-I207</f>
        <v>0</v>
      </c>
      <c r="J80" s="63"/>
      <c r="K80" s="63"/>
      <c r="L80" s="449"/>
    </row>
    <row r="81" spans="1:12" ht="15.75" hidden="1" customHeight="1" x14ac:dyDescent="0.35">
      <c r="A81" s="920"/>
      <c r="B81" s="444" t="s">
        <v>75</v>
      </c>
      <c r="C81" s="131" t="e">
        <f>HLOOKUP(C$12,$C79:$I80,2,0)</f>
        <v>#N/A</v>
      </c>
      <c r="D81" s="63"/>
      <c r="E81" s="131" t="e">
        <f>HLOOKUP(E$12,$C79:$I80,2,0)</f>
        <v>#N/A</v>
      </c>
      <c r="F81" s="63"/>
      <c r="G81" s="131" t="e">
        <f>HLOOKUP(G$12,$C79:$I80,2,0)</f>
        <v>#N/A</v>
      </c>
      <c r="H81" s="63"/>
      <c r="I81" s="131" t="e">
        <f>HLOOKUP(I$12,$C79:$I80,2,0)</f>
        <v>#N/A</v>
      </c>
      <c r="J81" s="63"/>
      <c r="K81" s="63"/>
      <c r="L81" s="449"/>
    </row>
    <row r="82" spans="1:12" ht="15.75" hidden="1" customHeight="1" x14ac:dyDescent="0.35">
      <c r="A82" s="920"/>
      <c r="B82" s="444" t="s">
        <v>63</v>
      </c>
      <c r="C82" s="132">
        <f>SUMIF(C80:C81,"&gt;0")</f>
        <v>0</v>
      </c>
      <c r="D82" s="63"/>
      <c r="E82" s="132">
        <f>SUMIF(E80:E81,"&gt;0")</f>
        <v>0</v>
      </c>
      <c r="F82" s="63"/>
      <c r="G82" s="132">
        <f>SUMIF(G80:G81,"&gt;0")</f>
        <v>0</v>
      </c>
      <c r="H82" s="63"/>
      <c r="I82" s="132">
        <f>SUMIF(I80:I81,"&gt;0")</f>
        <v>0</v>
      </c>
      <c r="J82" s="63"/>
      <c r="K82" s="63"/>
      <c r="L82" s="449"/>
    </row>
    <row r="83" spans="1:12" ht="15.75" hidden="1" customHeight="1" x14ac:dyDescent="0.35">
      <c r="A83" s="920"/>
      <c r="B83" s="444" t="s">
        <v>70</v>
      </c>
      <c r="C83" s="872" t="e">
        <f>HLOOKUP(C82, 'HEM Table'!$C$7:$W$30, MATCH(C33, 'HEM Table'!$B$7:$B$30, 0),TRUE)*52</f>
        <v>#N/A</v>
      </c>
      <c r="D83" s="63"/>
      <c r="E83" s="131" t="e">
        <f>HLOOKUP(E82, 'HEM Table'!$C$7:$W$30, MATCH(E33, 'HEM Table'!$B$7:$B$30, 0),TRUE)*52</f>
        <v>#N/A</v>
      </c>
      <c r="F83" s="63"/>
      <c r="G83" s="131" t="e">
        <f>HLOOKUP(G82, 'HEM Table'!$C$7:$W$30, MATCH(G33, 'HEM Table'!$B$7:$B$30, 0),TRUE)*52</f>
        <v>#N/A</v>
      </c>
      <c r="H83" s="63"/>
      <c r="I83" s="131" t="e">
        <f>HLOOKUP(I82, 'HEM Table'!$C$7:$W$30, MATCH(I33, 'HEM Table'!$B$7:$B$30, 0),TRUE)*52</f>
        <v>#N/A</v>
      </c>
      <c r="J83" s="63"/>
      <c r="K83" s="131">
        <f>IF(Inc_Tier="Y",MAX(SUMIF(C83:I83,"&gt;0"),$K$173),MAX($K$173,($P$11*LE_Couple+$P$12*LE_Single+IF(No_couples=0,$P$13*LE_Single_Child,$P$13*LE_Couple_Child))*52))</f>
        <v>0</v>
      </c>
      <c r="L83" s="449"/>
    </row>
    <row r="84" spans="1:12" ht="15.75" hidden="1" customHeight="1" x14ac:dyDescent="0.35">
      <c r="A84" s="920"/>
      <c r="B84" s="448" t="s">
        <v>77</v>
      </c>
      <c r="C84" s="129">
        <v>1</v>
      </c>
      <c r="D84" s="130"/>
      <c r="E84" s="129">
        <v>2</v>
      </c>
      <c r="F84" s="129"/>
      <c r="G84" s="129">
        <v>3</v>
      </c>
      <c r="H84" s="129"/>
      <c r="I84" s="129">
        <v>4</v>
      </c>
      <c r="J84" s="63"/>
      <c r="K84" s="63"/>
      <c r="L84" s="449"/>
    </row>
    <row r="85" spans="1:12" ht="15.75" hidden="1" customHeight="1" x14ac:dyDescent="0.35">
      <c r="A85" s="920"/>
      <c r="B85" s="444" t="s">
        <v>60</v>
      </c>
      <c r="C85" s="132">
        <f>AC216-C207</f>
        <v>0</v>
      </c>
      <c r="D85" s="63"/>
      <c r="E85" s="132">
        <f>AC221-E207</f>
        <v>0</v>
      </c>
      <c r="F85" s="63"/>
      <c r="G85" s="132">
        <f>AC226-G207</f>
        <v>0</v>
      </c>
      <c r="H85" s="63"/>
      <c r="I85" s="132">
        <f>AC231-I207</f>
        <v>0</v>
      </c>
      <c r="J85" s="63"/>
      <c r="K85" s="63"/>
      <c r="L85" s="449"/>
    </row>
    <row r="86" spans="1:12" ht="15.75" hidden="1" customHeight="1" x14ac:dyDescent="0.35">
      <c r="A86" s="920"/>
      <c r="B86" s="444" t="s">
        <v>75</v>
      </c>
      <c r="C86" s="131" t="e">
        <f>HLOOKUP(C$12,$C84:$I85,2,0)</f>
        <v>#N/A</v>
      </c>
      <c r="D86" s="63"/>
      <c r="E86" s="131" t="e">
        <f>HLOOKUP(E$12,$C84:$I85,2,0)</f>
        <v>#N/A</v>
      </c>
      <c r="F86" s="63"/>
      <c r="G86" s="131" t="e">
        <f>HLOOKUP(G$12,$C84:$I85,2,0)</f>
        <v>#N/A</v>
      </c>
      <c r="H86" s="63"/>
      <c r="I86" s="131" t="e">
        <f>HLOOKUP(I$12,$C84:$I85,2,0)</f>
        <v>#N/A</v>
      </c>
      <c r="J86" s="63"/>
      <c r="K86" s="63"/>
      <c r="L86" s="449"/>
    </row>
    <row r="87" spans="1:12" ht="15.75" hidden="1" customHeight="1" x14ac:dyDescent="0.35">
      <c r="A87" s="920"/>
      <c r="B87" s="444" t="s">
        <v>63</v>
      </c>
      <c r="C87" s="132">
        <f>SUMIF(C85:C86,"&gt;0")</f>
        <v>0</v>
      </c>
      <c r="D87" s="63"/>
      <c r="E87" s="132">
        <f>SUMIF(E85:E86,"&gt;0")</f>
        <v>0</v>
      </c>
      <c r="F87" s="63"/>
      <c r="G87" s="132">
        <f>SUMIF(G85:G86,"&gt;0")</f>
        <v>0</v>
      </c>
      <c r="H87" s="63"/>
      <c r="I87" s="132">
        <f>SUMIF(I85:I86,"&gt;0")</f>
        <v>0</v>
      </c>
      <c r="J87" s="63"/>
      <c r="K87" s="63"/>
      <c r="L87" s="449"/>
    </row>
    <row r="88" spans="1:12" ht="15.75" hidden="1" customHeight="1" x14ac:dyDescent="0.35">
      <c r="A88" s="920"/>
      <c r="B88" s="444" t="s">
        <v>70</v>
      </c>
      <c r="C88" s="872" t="e">
        <f>HLOOKUP(C87, 'HEM Table'!$C$7:$W$30, MATCH(C33, 'HEM Table'!$B$7:$B$30, 0),TRUE)*52</f>
        <v>#N/A</v>
      </c>
      <c r="D88" s="63"/>
      <c r="E88" s="131" t="e">
        <f>HLOOKUP(E87, 'HEM Table'!$C$7:$W$30, MATCH(E33, 'HEM Table'!$B$7:$B$30, 0),TRUE)*52</f>
        <v>#N/A</v>
      </c>
      <c r="F88" s="63"/>
      <c r="G88" s="131" t="e">
        <f>HLOOKUP(G87, 'HEM Table'!$C$7:$W$30, MATCH(G33, 'HEM Table'!$B$7:$B$30, 0),TRUE)*52</f>
        <v>#N/A</v>
      </c>
      <c r="H88" s="63"/>
      <c r="I88" s="131" t="e">
        <f>HLOOKUP(I87, 'HEM Table'!$C$7:$W$30, MATCH(I33, 'HEM Table'!$B$7:$B$30, 0),TRUE)*52</f>
        <v>#N/A</v>
      </c>
      <c r="J88" s="63"/>
      <c r="K88" s="131">
        <f>IF(Inc_Tier="Y",MAX(SUMIF(C88:I88,"&gt;0"),$K$173),MAX($K$173,($P$11*LE_Couple+$P$12*LE_Single+IF(No_couples=0,$P$13*LE_Single_Child,$P$13*LE_Couple_Child))*52))</f>
        <v>0</v>
      </c>
      <c r="L88" s="449"/>
    </row>
    <row r="89" spans="1:12" ht="15.75" hidden="1" customHeight="1" x14ac:dyDescent="0.35">
      <c r="A89" s="920"/>
      <c r="B89" s="448" t="s">
        <v>78</v>
      </c>
      <c r="C89" s="129">
        <v>1</v>
      </c>
      <c r="D89" s="130"/>
      <c r="E89" s="129">
        <v>2</v>
      </c>
      <c r="F89" s="129"/>
      <c r="G89" s="129">
        <v>3</v>
      </c>
      <c r="H89" s="129"/>
      <c r="I89" s="129">
        <v>4</v>
      </c>
      <c r="J89" s="63"/>
      <c r="K89" s="63"/>
      <c r="L89" s="449"/>
    </row>
    <row r="90" spans="1:12" ht="15.75" hidden="1" customHeight="1" x14ac:dyDescent="0.35">
      <c r="A90" s="920"/>
      <c r="B90" s="444" t="s">
        <v>60</v>
      </c>
      <c r="C90" s="132">
        <f>AD216-C207</f>
        <v>0</v>
      </c>
      <c r="D90" s="63"/>
      <c r="E90" s="132">
        <f>AD221-E207</f>
        <v>0</v>
      </c>
      <c r="F90" s="63"/>
      <c r="G90" s="132">
        <f>AD226-G207</f>
        <v>0</v>
      </c>
      <c r="H90" s="63"/>
      <c r="I90" s="132">
        <f>AD231-I207</f>
        <v>0</v>
      </c>
      <c r="J90" s="63"/>
      <c r="K90" s="63"/>
      <c r="L90" s="449"/>
    </row>
    <row r="91" spans="1:12" ht="15.75" hidden="1" customHeight="1" x14ac:dyDescent="0.35">
      <c r="A91" s="920"/>
      <c r="B91" s="444" t="s">
        <v>75</v>
      </c>
      <c r="C91" s="131" t="e">
        <f>HLOOKUP(C$12,$C89:$I90,2,0)</f>
        <v>#N/A</v>
      </c>
      <c r="D91" s="63"/>
      <c r="E91" s="131" t="e">
        <f>HLOOKUP(E$12,$C89:$I90,2,0)</f>
        <v>#N/A</v>
      </c>
      <c r="F91" s="63"/>
      <c r="G91" s="131" t="e">
        <f>HLOOKUP(G$12,$C89:$I90,2,0)</f>
        <v>#N/A</v>
      </c>
      <c r="H91" s="63"/>
      <c r="I91" s="131" t="e">
        <f>HLOOKUP(I$12,$C89:$I90,2,0)</f>
        <v>#N/A</v>
      </c>
      <c r="J91" s="63"/>
      <c r="K91" s="63"/>
      <c r="L91" s="449"/>
    </row>
    <row r="92" spans="1:12" ht="15.75" hidden="1" customHeight="1" x14ac:dyDescent="0.35">
      <c r="A92" s="920"/>
      <c r="B92" s="444" t="s">
        <v>63</v>
      </c>
      <c r="C92" s="132">
        <f>SUMIF(C90:C91,"&gt;0")</f>
        <v>0</v>
      </c>
      <c r="D92" s="63"/>
      <c r="E92" s="132">
        <f>SUMIF(E90:E91,"&gt;0")</f>
        <v>0</v>
      </c>
      <c r="F92" s="63"/>
      <c r="G92" s="132">
        <f>SUMIF(G90:G91,"&gt;0")</f>
        <v>0</v>
      </c>
      <c r="H92" s="63"/>
      <c r="I92" s="132">
        <f>SUMIF(I90:I91,"&gt;0")</f>
        <v>0</v>
      </c>
      <c r="J92" s="63"/>
      <c r="K92" s="63"/>
      <c r="L92" s="449"/>
    </row>
    <row r="93" spans="1:12" ht="15.75" hidden="1" customHeight="1" x14ac:dyDescent="0.35">
      <c r="A93" s="920"/>
      <c r="B93" s="444" t="s">
        <v>70</v>
      </c>
      <c r="C93" s="872" t="e">
        <f>HLOOKUP(C92, 'HEM Table'!$C$7:$W$30, MATCH(C33, 'HEM Table'!$B$7:$B$30, 0),TRUE)*52</f>
        <v>#N/A</v>
      </c>
      <c r="D93" s="63"/>
      <c r="E93" s="131" t="e">
        <f>HLOOKUP(E92, 'HEM Table'!$C$7:$W$30, MATCH(E33, 'HEM Table'!$B$7:$B$30, 0),TRUE)*52</f>
        <v>#N/A</v>
      </c>
      <c r="F93" s="63"/>
      <c r="G93" s="131" t="e">
        <f>HLOOKUP(G92, 'HEM Table'!$C$7:$W$30, MATCH(G33, 'HEM Table'!$B$7:$B$30, 0),TRUE)*52</f>
        <v>#N/A</v>
      </c>
      <c r="H93" s="63"/>
      <c r="I93" s="131" t="e">
        <f>HLOOKUP(I92, 'HEM Table'!$C$7:$W$30, MATCH(I33, 'HEM Table'!$B$7:$B$30, 0),TRUE)*52</f>
        <v>#N/A</v>
      </c>
      <c r="J93" s="63"/>
      <c r="K93" s="131">
        <f>IF(Inc_Tier="Y",MAX(SUMIF(C93:I93,"&gt;0"),$K$173),MAX($K$173,($P$11*LE_Couple+$P$12*LE_Single+IF(No_couples=0,$P$13*LE_Single_Child,$P$13*LE_Couple_Child))*52))</f>
        <v>0</v>
      </c>
      <c r="L93" s="449"/>
    </row>
    <row r="94" spans="1:12" ht="15.75" hidden="1" customHeight="1" x14ac:dyDescent="0.35">
      <c r="A94" s="920"/>
      <c r="B94" s="448" t="s">
        <v>79</v>
      </c>
      <c r="C94" s="129">
        <v>1</v>
      </c>
      <c r="D94" s="130"/>
      <c r="E94" s="129">
        <v>2</v>
      </c>
      <c r="F94" s="129"/>
      <c r="G94" s="129">
        <v>3</v>
      </c>
      <c r="H94" s="129"/>
      <c r="I94" s="129">
        <v>4</v>
      </c>
      <c r="J94" s="63"/>
      <c r="K94" s="445"/>
      <c r="L94" s="449"/>
    </row>
    <row r="95" spans="1:12" ht="15.75" hidden="1" customHeight="1" x14ac:dyDescent="0.35">
      <c r="A95" s="920"/>
      <c r="B95" s="444" t="s">
        <v>60</v>
      </c>
      <c r="C95" s="132">
        <f>AE216-C207</f>
        <v>0</v>
      </c>
      <c r="D95" s="63"/>
      <c r="E95" s="132">
        <f>AE221-E207</f>
        <v>0</v>
      </c>
      <c r="F95" s="63"/>
      <c r="G95" s="132">
        <f>AE226-G207</f>
        <v>0</v>
      </c>
      <c r="H95" s="63"/>
      <c r="I95" s="132">
        <f>AE231-I207</f>
        <v>0</v>
      </c>
      <c r="J95" s="63"/>
      <c r="K95" s="63"/>
      <c r="L95" s="449"/>
    </row>
    <row r="96" spans="1:12" ht="15.75" hidden="1" customHeight="1" x14ac:dyDescent="0.35">
      <c r="A96" s="920"/>
      <c r="B96" s="444" t="s">
        <v>75</v>
      </c>
      <c r="C96" s="131" t="e">
        <f>HLOOKUP(C$12,$C94:$I95,2,0)</f>
        <v>#N/A</v>
      </c>
      <c r="D96" s="63"/>
      <c r="E96" s="131" t="e">
        <f>HLOOKUP(E$12,$C94:$I95,2,0)</f>
        <v>#N/A</v>
      </c>
      <c r="F96" s="63"/>
      <c r="G96" s="131" t="e">
        <f>HLOOKUP(G$12,$C94:$I95,2,0)</f>
        <v>#N/A</v>
      </c>
      <c r="H96" s="63"/>
      <c r="I96" s="131" t="e">
        <f>HLOOKUP(I$12,$C94:$I95,2,0)</f>
        <v>#N/A</v>
      </c>
      <c r="J96" s="63"/>
      <c r="K96" s="63"/>
      <c r="L96" s="449"/>
    </row>
    <row r="97" spans="1:12" ht="15.75" hidden="1" customHeight="1" x14ac:dyDescent="0.35">
      <c r="A97" s="920"/>
      <c r="B97" s="444" t="s">
        <v>63</v>
      </c>
      <c r="C97" s="132">
        <f>SUMIF(C95:C96,"&gt;0")</f>
        <v>0</v>
      </c>
      <c r="D97" s="63"/>
      <c r="E97" s="132">
        <f>SUMIF(E95:E96,"&gt;0")</f>
        <v>0</v>
      </c>
      <c r="F97" s="63"/>
      <c r="G97" s="132">
        <f>SUMIF(G95:G96,"&gt;0")</f>
        <v>0</v>
      </c>
      <c r="H97" s="63"/>
      <c r="I97" s="132">
        <f>SUMIF(I95:I96,"&gt;0")</f>
        <v>0</v>
      </c>
      <c r="J97" s="63"/>
      <c r="K97" s="63"/>
      <c r="L97" s="449"/>
    </row>
    <row r="98" spans="1:12" ht="15.75" hidden="1" customHeight="1" x14ac:dyDescent="0.35">
      <c r="A98" s="920"/>
      <c r="B98" s="444" t="s">
        <v>70</v>
      </c>
      <c r="C98" s="872" t="e">
        <f>HLOOKUP(C97, 'HEM Table'!$C$7:$W$30, MATCH(C33, 'HEM Table'!$B$7:$B$30, 0),TRUE)*52</f>
        <v>#N/A</v>
      </c>
      <c r="D98" s="63"/>
      <c r="E98" s="131" t="e">
        <f>HLOOKUP(E97, 'HEM Table'!$C$7:$W$30, MATCH(E33, 'HEM Table'!$B$7:$B$30, 0),TRUE)*52</f>
        <v>#N/A</v>
      </c>
      <c r="F98" s="63"/>
      <c r="G98" s="131" t="e">
        <f>HLOOKUP(G97, 'HEM Table'!$C$7:$W$30, MATCH(G33, 'HEM Table'!$B$7:$B$30, 0),TRUE)*52</f>
        <v>#N/A</v>
      </c>
      <c r="H98" s="63"/>
      <c r="I98" s="131" t="e">
        <f>HLOOKUP(I97, 'HEM Table'!$C$7:$W$30, MATCH(I33, 'HEM Table'!$B$7:$B$30, 0),TRUE)*52</f>
        <v>#N/A</v>
      </c>
      <c r="J98" s="63"/>
      <c r="K98" s="131">
        <f>IF(Inc_Tier="Y",MAX(SUMIF(C98:I98,"&gt;0"),$K$173),MAX($K$173,($P$11*LE_Couple+$P$12*LE_Single+IF(No_couples=0,$P$13*LE_Single_Child,$P$13*LE_Couple_Child))*52))</f>
        <v>0</v>
      </c>
      <c r="L98" s="449"/>
    </row>
    <row r="99" spans="1:12" ht="15.75" hidden="1" customHeight="1" x14ac:dyDescent="0.35">
      <c r="A99" s="920"/>
      <c r="B99" s="448" t="s">
        <v>80</v>
      </c>
      <c r="C99" s="129">
        <v>1</v>
      </c>
      <c r="D99" s="130"/>
      <c r="E99" s="129">
        <v>2</v>
      </c>
      <c r="F99" s="129"/>
      <c r="G99" s="129">
        <v>3</v>
      </c>
      <c r="H99" s="129"/>
      <c r="I99" s="129">
        <v>4</v>
      </c>
      <c r="J99" s="63"/>
      <c r="K99" s="63"/>
      <c r="L99" s="449"/>
    </row>
    <row r="100" spans="1:12" ht="15.75" hidden="1" customHeight="1" x14ac:dyDescent="0.35">
      <c r="A100" s="920"/>
      <c r="B100" s="444" t="s">
        <v>60</v>
      </c>
      <c r="C100" s="132">
        <f>AF216-C207</f>
        <v>0</v>
      </c>
      <c r="D100" s="63"/>
      <c r="E100" s="132">
        <f>AF221-E207</f>
        <v>0</v>
      </c>
      <c r="F100" s="63"/>
      <c r="G100" s="132">
        <f>AF226-G207</f>
        <v>0</v>
      </c>
      <c r="H100" s="63"/>
      <c r="I100" s="132">
        <f>AF231-I207</f>
        <v>0</v>
      </c>
      <c r="J100" s="63"/>
      <c r="K100" s="63"/>
      <c r="L100" s="449"/>
    </row>
    <row r="101" spans="1:12" ht="15.75" hidden="1" customHeight="1" x14ac:dyDescent="0.35">
      <c r="A101" s="920"/>
      <c r="B101" s="444" t="s">
        <v>75</v>
      </c>
      <c r="C101" s="131" t="e">
        <f>HLOOKUP(C$12,$C99:$I100,2,0)</f>
        <v>#N/A</v>
      </c>
      <c r="D101" s="63"/>
      <c r="E101" s="131" t="e">
        <f>HLOOKUP(E$12,$C99:$I100,2,0)</f>
        <v>#N/A</v>
      </c>
      <c r="F101" s="63"/>
      <c r="G101" s="131" t="e">
        <f>HLOOKUP(G$12,$C99:$I100,2,0)</f>
        <v>#N/A</v>
      </c>
      <c r="H101" s="63"/>
      <c r="I101" s="131" t="e">
        <f>HLOOKUP(I$12,$C99:$I100,2,0)</f>
        <v>#N/A</v>
      </c>
      <c r="J101" s="63"/>
      <c r="K101" s="63"/>
      <c r="L101" s="449"/>
    </row>
    <row r="102" spans="1:12" ht="15.75" hidden="1" customHeight="1" x14ac:dyDescent="0.35">
      <c r="A102" s="920"/>
      <c r="B102" s="444" t="s">
        <v>63</v>
      </c>
      <c r="C102" s="132">
        <f>SUMIF(C100:C101,"&gt;0")</f>
        <v>0</v>
      </c>
      <c r="D102" s="63"/>
      <c r="E102" s="132">
        <f>SUMIF(E100:E101,"&gt;0")</f>
        <v>0</v>
      </c>
      <c r="F102" s="63"/>
      <c r="G102" s="132">
        <f>SUMIF(G100:G101,"&gt;0")</f>
        <v>0</v>
      </c>
      <c r="H102" s="63"/>
      <c r="I102" s="132">
        <f>SUMIF(I100:I101,"&gt;0")</f>
        <v>0</v>
      </c>
      <c r="J102" s="63"/>
      <c r="K102" s="63"/>
      <c r="L102" s="449"/>
    </row>
    <row r="103" spans="1:12" ht="15.75" hidden="1" customHeight="1" x14ac:dyDescent="0.35">
      <c r="A103" s="920"/>
      <c r="B103" s="444" t="s">
        <v>70</v>
      </c>
      <c r="C103" s="872" t="e">
        <f>HLOOKUP(C102, 'HEM Table'!$C$7:$W$30, MATCH(C33, 'HEM Table'!$B$7:$B$30, 0),TRUE)*52</f>
        <v>#N/A</v>
      </c>
      <c r="D103" s="63"/>
      <c r="E103" s="131" t="e">
        <f>HLOOKUP(E102, 'HEM Table'!$C$7:$W$30, MATCH(E33, 'HEM Table'!$B$7:$B$30, 0),TRUE)*52</f>
        <v>#N/A</v>
      </c>
      <c r="F103" s="63"/>
      <c r="G103" s="131" t="e">
        <f>HLOOKUP(G102, 'HEM Table'!$C$7:$W$30, MATCH(G33, 'HEM Table'!$B$7:$B$30, 0),TRUE)*52</f>
        <v>#N/A</v>
      </c>
      <c r="H103" s="63"/>
      <c r="I103" s="131" t="e">
        <f>HLOOKUP(I102, 'HEM Table'!$C$7:$W$30, MATCH(I33, 'HEM Table'!$B$7:$B$30, 0),TRUE)*52</f>
        <v>#N/A</v>
      </c>
      <c r="J103" s="63"/>
      <c r="K103" s="131">
        <f>IF(Inc_Tier="Y",MAX(SUMIF(C103:I103,"&gt;0"),$K$173),MAX($K$173,($P$11*LE_Couple+$P$12*LE_Single+IF(No_couples=0,$P$13*LE_Single_Child,$P$13*LE_Couple_Child))*52))</f>
        <v>0</v>
      </c>
      <c r="L103" s="449"/>
    </row>
    <row r="104" spans="1:12" ht="15.75" hidden="1" customHeight="1" x14ac:dyDescent="0.35">
      <c r="A104" s="920"/>
      <c r="B104" s="448" t="s">
        <v>81</v>
      </c>
      <c r="C104" s="129">
        <v>1</v>
      </c>
      <c r="D104" s="130"/>
      <c r="E104" s="129">
        <v>2</v>
      </c>
      <c r="F104" s="129"/>
      <c r="G104" s="129">
        <v>3</v>
      </c>
      <c r="H104" s="129"/>
      <c r="I104" s="129">
        <v>4</v>
      </c>
      <c r="J104" s="63"/>
      <c r="K104" s="63"/>
      <c r="L104" s="449"/>
    </row>
    <row r="105" spans="1:12" ht="15.75" hidden="1" customHeight="1" x14ac:dyDescent="0.35">
      <c r="A105" s="920"/>
      <c r="B105" s="444" t="s">
        <v>60</v>
      </c>
      <c r="C105" s="132">
        <f>AG216-C207</f>
        <v>0</v>
      </c>
      <c r="D105" s="63"/>
      <c r="E105" s="132">
        <f>AG221-E207</f>
        <v>0</v>
      </c>
      <c r="F105" s="63"/>
      <c r="G105" s="132">
        <f>AG226-G207</f>
        <v>0</v>
      </c>
      <c r="H105" s="63"/>
      <c r="I105" s="132">
        <f>AG231-I207</f>
        <v>0</v>
      </c>
      <c r="J105" s="63"/>
      <c r="K105" s="63"/>
      <c r="L105" s="449"/>
    </row>
    <row r="106" spans="1:12" ht="15.75" hidden="1" customHeight="1" x14ac:dyDescent="0.35">
      <c r="A106" s="920"/>
      <c r="B106" s="444" t="s">
        <v>75</v>
      </c>
      <c r="C106" s="131" t="e">
        <f>HLOOKUP(C$12,$C104:$I105,2,0)</f>
        <v>#N/A</v>
      </c>
      <c r="D106" s="63"/>
      <c r="E106" s="131" t="e">
        <f>HLOOKUP(E$12,$C104:$I105,2,0)</f>
        <v>#N/A</v>
      </c>
      <c r="F106" s="63"/>
      <c r="G106" s="131" t="e">
        <f>HLOOKUP(G$12,$C104:$I105,2,0)</f>
        <v>#N/A</v>
      </c>
      <c r="H106" s="63"/>
      <c r="I106" s="131" t="e">
        <f>HLOOKUP(I$12,$C104:$I105,2,0)</f>
        <v>#N/A</v>
      </c>
      <c r="J106" s="63"/>
      <c r="K106" s="63"/>
      <c r="L106" s="449"/>
    </row>
    <row r="107" spans="1:12" ht="15.75" hidden="1" customHeight="1" x14ac:dyDescent="0.35">
      <c r="A107" s="920"/>
      <c r="B107" s="444" t="s">
        <v>63</v>
      </c>
      <c r="C107" s="132">
        <f>SUMIF(C105:C106,"&gt;0")</f>
        <v>0</v>
      </c>
      <c r="D107" s="63"/>
      <c r="E107" s="132">
        <f>SUMIF(E105:E106,"&gt;0")</f>
        <v>0</v>
      </c>
      <c r="F107" s="63"/>
      <c r="G107" s="132">
        <f>SUMIF(G105:G106,"&gt;0")</f>
        <v>0</v>
      </c>
      <c r="H107" s="63"/>
      <c r="I107" s="132">
        <f>SUMIF(I105:I106,"&gt;0")</f>
        <v>0</v>
      </c>
      <c r="J107" s="63"/>
      <c r="K107" s="445"/>
      <c r="L107" s="449"/>
    </row>
    <row r="108" spans="1:12" ht="15.75" hidden="1" customHeight="1" x14ac:dyDescent="0.35">
      <c r="A108" s="920"/>
      <c r="B108" s="444" t="s">
        <v>70</v>
      </c>
      <c r="C108" s="872" t="e">
        <f>HLOOKUP(C107, 'HEM Table'!$C$7:$W$30, MATCH(C33, 'HEM Table'!$B$7:$B$30, 0),TRUE)*52</f>
        <v>#N/A</v>
      </c>
      <c r="D108" s="63"/>
      <c r="E108" s="131" t="e">
        <f>HLOOKUP(E107, 'HEM Table'!$C$7:$W$30, MATCH(E33, 'HEM Table'!$B$7:$B$30, 0),TRUE)*52</f>
        <v>#N/A</v>
      </c>
      <c r="F108" s="63"/>
      <c r="G108" s="131" t="e">
        <f>HLOOKUP(G107, 'HEM Table'!$C$7:$W$30, MATCH(G33, 'HEM Table'!$B$7:$B$30, 0),TRUE)*52</f>
        <v>#N/A</v>
      </c>
      <c r="H108" s="63"/>
      <c r="I108" s="131" t="e">
        <f>HLOOKUP(I107, 'HEM Table'!$C$7:$W$30, MATCH(I33, 'HEM Table'!$B$7:$B$30, 0),TRUE)*52</f>
        <v>#N/A</v>
      </c>
      <c r="J108" s="63"/>
      <c r="K108" s="131">
        <f>IF(Inc_Tier="Y",MAX(SUMIF(C108:I108,"&gt;0"),$K$173),MAX($K$173,($P$11*LE_Couple+$P$12*LE_Single+IF(No_couples=0,$P$13*LE_Single_Child,$P$13*LE_Couple_Child))*52))</f>
        <v>0</v>
      </c>
      <c r="L108" s="449"/>
    </row>
    <row r="109" spans="1:12" ht="15.75" hidden="1" customHeight="1" x14ac:dyDescent="0.35">
      <c r="A109" s="920"/>
      <c r="B109" s="444"/>
      <c r="C109" s="63"/>
      <c r="D109" s="63"/>
      <c r="E109" s="63"/>
      <c r="F109" s="63"/>
      <c r="G109" s="63"/>
      <c r="H109" s="63"/>
      <c r="I109" s="63"/>
      <c r="J109" s="63"/>
      <c r="K109" s="63"/>
      <c r="L109" s="449"/>
    </row>
    <row r="110" spans="1:12" ht="5.25" customHeight="1" thickBot="1" x14ac:dyDescent="0.4">
      <c r="B110" s="438"/>
      <c r="C110" s="61"/>
      <c r="D110" s="28"/>
      <c r="E110" s="61"/>
      <c r="F110" s="28"/>
      <c r="G110" s="61"/>
      <c r="H110" s="28"/>
      <c r="I110" s="61"/>
      <c r="J110" s="28"/>
      <c r="K110" s="28"/>
      <c r="L110" s="455"/>
    </row>
    <row r="111" spans="1:12" ht="15" customHeight="1" thickBot="1" x14ac:dyDescent="0.4">
      <c r="B111" s="553" t="s">
        <v>82</v>
      </c>
      <c r="C111" s="554" t="s">
        <v>3</v>
      </c>
      <c r="D111" s="555"/>
      <c r="E111" s="554" t="s">
        <v>4</v>
      </c>
      <c r="F111" s="554"/>
      <c r="G111" s="554" t="s">
        <v>5</v>
      </c>
      <c r="H111" s="554"/>
      <c r="I111" s="554" t="s">
        <v>6</v>
      </c>
      <c r="J111" s="557"/>
      <c r="K111" s="556" t="s">
        <v>83</v>
      </c>
      <c r="L111" s="558"/>
    </row>
    <row r="112" spans="1:12" ht="3.75" customHeight="1" x14ac:dyDescent="0.35">
      <c r="B112" s="439"/>
      <c r="C112" s="28"/>
      <c r="D112" s="28"/>
      <c r="E112" s="28"/>
      <c r="F112" s="28"/>
      <c r="G112" s="28"/>
      <c r="H112" s="28"/>
      <c r="I112" s="28"/>
      <c r="J112" s="28"/>
      <c r="K112" s="28"/>
      <c r="L112" s="455"/>
    </row>
    <row r="113" spans="2:12" ht="15" customHeight="1" x14ac:dyDescent="0.35">
      <c r="B113" s="436" t="s">
        <v>84</v>
      </c>
      <c r="C113" s="589"/>
      <c r="D113" s="413"/>
      <c r="E113" s="589"/>
      <c r="F113" s="413"/>
      <c r="G113" s="589"/>
      <c r="H113" s="413"/>
      <c r="I113" s="589"/>
      <c r="J113" s="594"/>
      <c r="K113" s="406">
        <f>C113+E113+G113+I113</f>
        <v>0</v>
      </c>
      <c r="L113" s="455"/>
    </row>
    <row r="114" spans="2:12" ht="15" customHeight="1" x14ac:dyDescent="0.35">
      <c r="B114" s="436" t="s">
        <v>85</v>
      </c>
      <c r="C114" s="589"/>
      <c r="D114" s="413"/>
      <c r="E114" s="589"/>
      <c r="F114" s="413"/>
      <c r="G114" s="589"/>
      <c r="H114" s="413"/>
      <c r="I114" s="589"/>
      <c r="J114" s="594"/>
      <c r="K114" s="406">
        <f>(C114+E114+G114+I114)*0.8</f>
        <v>0</v>
      </c>
      <c r="L114" s="455"/>
    </row>
    <row r="115" spans="2:12" ht="15" customHeight="1" x14ac:dyDescent="0.35">
      <c r="B115" s="436" t="s">
        <v>88</v>
      </c>
      <c r="C115" s="589"/>
      <c r="D115" s="413"/>
      <c r="E115" s="589"/>
      <c r="F115" s="413"/>
      <c r="G115" s="589"/>
      <c r="H115" s="413"/>
      <c r="I115" s="589"/>
      <c r="J115" s="594"/>
      <c r="K115" s="406">
        <f>(C115+E115+G115+I115)*0.8</f>
        <v>0</v>
      </c>
      <c r="L115" s="455"/>
    </row>
    <row r="116" spans="2:12" ht="15" customHeight="1" x14ac:dyDescent="0.35">
      <c r="B116" s="436" t="s">
        <v>89</v>
      </c>
      <c r="C116" s="589"/>
      <c r="D116" s="413"/>
      <c r="E116" s="589"/>
      <c r="F116" s="413"/>
      <c r="G116" s="589"/>
      <c r="H116" s="413"/>
      <c r="I116" s="589"/>
      <c r="J116" s="406"/>
      <c r="K116" s="406">
        <f t="shared" ref="K116" si="2">C116+E116+G116+I116</f>
        <v>0</v>
      </c>
      <c r="L116" s="455"/>
    </row>
    <row r="117" spans="2:12" ht="15" customHeight="1" x14ac:dyDescent="0.35">
      <c r="B117" s="436" t="s">
        <v>90</v>
      </c>
      <c r="C117" s="589"/>
      <c r="D117" s="413"/>
      <c r="E117" s="589"/>
      <c r="F117" s="413"/>
      <c r="G117" s="589"/>
      <c r="H117" s="413"/>
      <c r="I117" s="595"/>
      <c r="J117" s="406"/>
      <c r="K117" s="406">
        <f>C117+E117+G117+I117</f>
        <v>0</v>
      </c>
      <c r="L117" s="455"/>
    </row>
    <row r="118" spans="2:12" ht="15" customHeight="1" x14ac:dyDescent="0.35">
      <c r="B118" s="436" t="s">
        <v>91</v>
      </c>
      <c r="C118" s="589"/>
      <c r="D118" s="413"/>
      <c r="E118" s="589"/>
      <c r="F118" s="413"/>
      <c r="G118" s="589"/>
      <c r="H118" s="413"/>
      <c r="I118" s="589"/>
      <c r="J118" s="406"/>
      <c r="K118" s="406">
        <f>C118+E118+G118+I118</f>
        <v>0</v>
      </c>
      <c r="L118" s="455"/>
    </row>
    <row r="119" spans="2:12" s="3" customFormat="1" ht="6.75" customHeight="1" x14ac:dyDescent="0.35">
      <c r="B119" s="596"/>
      <c r="C119" s="1325"/>
      <c r="D119" s="1325"/>
      <c r="E119" s="1325"/>
      <c r="F119" s="1325"/>
      <c r="G119" s="1325"/>
      <c r="H119" s="1325"/>
      <c r="I119" s="1325"/>
      <c r="J119" s="597"/>
      <c r="K119" s="425"/>
      <c r="L119" s="457"/>
    </row>
    <row r="120" spans="2:12" ht="15" customHeight="1" thickBot="1" x14ac:dyDescent="0.4">
      <c r="B120" s="435" t="s">
        <v>63</v>
      </c>
      <c r="C120" s="490">
        <f>C113+(C114*0.8)+(C115*0.8)+C116+C117+C118</f>
        <v>0</v>
      </c>
      <c r="D120" s="598"/>
      <c r="E120" s="490">
        <f>E113+(E114*0.8)+(E115*0.8)+E116+E117+E118</f>
        <v>0</v>
      </c>
      <c r="F120" s="598"/>
      <c r="G120" s="490">
        <f>G113+(G114*0.8)+(G115*0.8)+G116+G117+G118</f>
        <v>0</v>
      </c>
      <c r="H120" s="598"/>
      <c r="I120" s="490">
        <f>I113+(I114*0.8)+(I115*0.8)+I116+I117+I118</f>
        <v>0</v>
      </c>
      <c r="J120" s="599"/>
      <c r="K120" s="490">
        <f>K113+K114+K115+K116+K117+K118</f>
        <v>0</v>
      </c>
      <c r="L120" s="455"/>
    </row>
    <row r="121" spans="2:12" ht="8.25" customHeight="1" thickTop="1" x14ac:dyDescent="0.35">
      <c r="B121" s="436"/>
      <c r="C121" s="410"/>
      <c r="D121" s="410"/>
      <c r="E121" s="600"/>
      <c r="F121" s="410"/>
      <c r="G121" s="600"/>
      <c r="H121" s="410"/>
      <c r="I121" s="600"/>
      <c r="J121" s="411"/>
      <c r="K121" s="601"/>
      <c r="L121" s="455"/>
    </row>
    <row r="122" spans="2:12" ht="12" customHeight="1" x14ac:dyDescent="0.35">
      <c r="B122" s="1225" t="s">
        <v>92</v>
      </c>
      <c r="C122" s="1226"/>
      <c r="D122" s="1226"/>
      <c r="E122" s="1226"/>
      <c r="F122" s="1226"/>
      <c r="G122" s="1226"/>
      <c r="H122" s="1226"/>
      <c r="I122" s="1226"/>
      <c r="J122" s="1226"/>
      <c r="K122" s="1226"/>
      <c r="L122" s="455"/>
    </row>
    <row r="123" spans="2:12" ht="15" customHeight="1" x14ac:dyDescent="0.35">
      <c r="B123" s="436" t="s">
        <v>93</v>
      </c>
      <c r="C123" s="589"/>
      <c r="D123" s="602"/>
      <c r="E123" s="589"/>
      <c r="F123" s="602"/>
      <c r="G123" s="589"/>
      <c r="H123" s="602"/>
      <c r="I123" s="589"/>
      <c r="J123" s="414"/>
      <c r="K123" s="406">
        <f>C123+E123+G123+I123</f>
        <v>0</v>
      </c>
      <c r="L123" s="455"/>
    </row>
    <row r="124" spans="2:12" ht="15" customHeight="1" x14ac:dyDescent="0.35">
      <c r="B124" s="436" t="s">
        <v>94</v>
      </c>
      <c r="C124" s="589"/>
      <c r="D124" s="602"/>
      <c r="E124" s="589"/>
      <c r="F124" s="602"/>
      <c r="G124" s="589"/>
      <c r="H124" s="602"/>
      <c r="I124" s="589"/>
      <c r="J124" s="414"/>
      <c r="K124" s="406">
        <f>C124+E124+G124+I124</f>
        <v>0</v>
      </c>
      <c r="L124" s="455"/>
    </row>
    <row r="125" spans="2:12" ht="6.75" customHeight="1" x14ac:dyDescent="0.35">
      <c r="B125" s="436"/>
      <c r="C125" s="602"/>
      <c r="D125" s="602"/>
      <c r="E125" s="602"/>
      <c r="F125" s="602"/>
      <c r="G125" s="602"/>
      <c r="H125" s="602"/>
      <c r="I125" s="602"/>
      <c r="J125" s="414"/>
      <c r="K125" s="414"/>
      <c r="L125" s="455"/>
    </row>
    <row r="126" spans="2:12" ht="15" customHeight="1" thickBot="1" x14ac:dyDescent="0.4">
      <c r="B126" s="435" t="s">
        <v>95</v>
      </c>
      <c r="C126" s="490">
        <f>SUM(C123:C124)*0.75</f>
        <v>0</v>
      </c>
      <c r="D126" s="602"/>
      <c r="E126" s="490">
        <f>SUM(E123:E124)*0.75</f>
        <v>0</v>
      </c>
      <c r="F126" s="602"/>
      <c r="G126" s="490">
        <f>SUM(G123:G124)*0.75</f>
        <v>0</v>
      </c>
      <c r="H126" s="602"/>
      <c r="I126" s="490">
        <f>SUM(I123:I124)*0.75</f>
        <v>0</v>
      </c>
      <c r="J126" s="414"/>
      <c r="K126" s="490">
        <f>SUM(K123:K124)*0.75</f>
        <v>0</v>
      </c>
      <c r="L126" s="455"/>
    </row>
    <row r="127" spans="2:12" ht="10.5" customHeight="1" thickTop="1" x14ac:dyDescent="0.35">
      <c r="B127" s="1322"/>
      <c r="C127" s="1323"/>
      <c r="D127" s="1323"/>
      <c r="E127" s="1323"/>
      <c r="F127" s="1323"/>
      <c r="G127" s="1323"/>
      <c r="H127" s="1323"/>
      <c r="I127" s="1323"/>
      <c r="J127" s="411"/>
      <c r="K127" s="421"/>
      <c r="L127" s="455"/>
    </row>
    <row r="128" spans="2:12" ht="12" customHeight="1" x14ac:dyDescent="0.35">
      <c r="B128" s="1225" t="s">
        <v>96</v>
      </c>
      <c r="C128" s="1226"/>
      <c r="D128" s="1226"/>
      <c r="E128" s="1226"/>
      <c r="F128" s="1226"/>
      <c r="G128" s="1226"/>
      <c r="H128" s="1226"/>
      <c r="I128" s="1226"/>
      <c r="J128" s="1226"/>
      <c r="K128" s="1226"/>
      <c r="L128" s="455"/>
    </row>
    <row r="129" spans="1:13" ht="15" customHeight="1" x14ac:dyDescent="0.35">
      <c r="B129" s="436" t="s">
        <v>97</v>
      </c>
      <c r="C129" s="589"/>
      <c r="D129" s="412"/>
      <c r="E129" s="589"/>
      <c r="F129" s="413"/>
      <c r="G129" s="589"/>
      <c r="H129" s="412"/>
      <c r="I129" s="589"/>
      <c r="J129" s="414"/>
      <c r="K129" s="406">
        <f>C129+E129+G129+I129</f>
        <v>0</v>
      </c>
      <c r="L129" s="455"/>
    </row>
    <row r="130" spans="1:13" ht="15" customHeight="1" x14ac:dyDescent="0.35">
      <c r="B130" s="436" t="s">
        <v>98</v>
      </c>
      <c r="C130" s="589"/>
      <c r="D130" s="412"/>
      <c r="E130" s="589"/>
      <c r="F130" s="413"/>
      <c r="G130" s="589"/>
      <c r="H130" s="413"/>
      <c r="I130" s="589"/>
      <c r="J130" s="414"/>
      <c r="K130" s="406">
        <f>C130+E130+G130+I130</f>
        <v>0</v>
      </c>
      <c r="L130" s="455"/>
    </row>
    <row r="131" spans="1:13" s="50" customFormat="1" ht="15" customHeight="1" thickBot="1" x14ac:dyDescent="0.4">
      <c r="B131" s="1221" t="s">
        <v>99</v>
      </c>
      <c r="C131" s="1222"/>
      <c r="D131" s="1222"/>
      <c r="E131" s="1222"/>
      <c r="F131" s="415"/>
      <c r="G131" s="415"/>
      <c r="H131" s="415"/>
      <c r="I131" s="415"/>
      <c r="J131" s="416"/>
      <c r="K131" s="490">
        <f>SUM(K129:K130)</f>
        <v>0</v>
      </c>
      <c r="L131" s="459"/>
      <c r="M131" s="53"/>
    </row>
    <row r="132" spans="1:13" s="50" customFormat="1" ht="4.9000000000000004" customHeight="1" thickTop="1" x14ac:dyDescent="0.35">
      <c r="B132" s="1065"/>
      <c r="C132" s="1066"/>
      <c r="D132" s="1066"/>
      <c r="E132" s="1066"/>
      <c r="F132" s="415"/>
      <c r="G132" s="415"/>
      <c r="H132" s="415"/>
      <c r="I132" s="415"/>
      <c r="J132" s="416"/>
      <c r="K132" s="598"/>
      <c r="L132" s="459"/>
      <c r="M132" s="53"/>
    </row>
    <row r="133" spans="1:13" s="50" customFormat="1" ht="15" customHeight="1" x14ac:dyDescent="0.35">
      <c r="B133" s="1225" t="s">
        <v>100</v>
      </c>
      <c r="C133" s="1226"/>
      <c r="D133" s="1226"/>
      <c r="E133" s="1226"/>
      <c r="F133" s="1226"/>
      <c r="G133" s="1226"/>
      <c r="H133" s="1226"/>
      <c r="I133" s="1226"/>
      <c r="J133" s="1226"/>
      <c r="K133" s="1226"/>
      <c r="L133" s="459"/>
      <c r="M133" s="53"/>
    </row>
    <row r="134" spans="1:13" s="50" customFormat="1" ht="15" customHeight="1" x14ac:dyDescent="0.35">
      <c r="B134" s="436" t="s">
        <v>249</v>
      </c>
      <c r="C134" s="946"/>
      <c r="D134" s="412"/>
      <c r="E134" s="946"/>
      <c r="F134" s="413"/>
      <c r="G134" s="946"/>
      <c r="H134" s="412"/>
      <c r="I134" s="946"/>
      <c r="J134" s="414"/>
      <c r="K134" s="406">
        <f>C134+E134+G134+I134</f>
        <v>0</v>
      </c>
      <c r="L134" s="459"/>
      <c r="M134" s="53"/>
    </row>
    <row r="135" spans="1:13" s="50" customFormat="1" ht="15" customHeight="1" x14ac:dyDescent="0.35">
      <c r="B135" s="436" t="s">
        <v>250</v>
      </c>
      <c r="C135" s="946"/>
      <c r="D135" s="412"/>
      <c r="E135" s="946"/>
      <c r="F135" s="413"/>
      <c r="G135" s="946"/>
      <c r="H135" s="413"/>
      <c r="I135" s="946"/>
      <c r="J135" s="414"/>
      <c r="K135" s="406">
        <f>C135+E135+G135+I135</f>
        <v>0</v>
      </c>
      <c r="L135" s="459"/>
      <c r="M135" s="53"/>
    </row>
    <row r="136" spans="1:13" s="50" customFormat="1" ht="15" customHeight="1" thickBot="1" x14ac:dyDescent="0.4">
      <c r="B136" s="1221"/>
      <c r="C136" s="1222"/>
      <c r="D136" s="1222"/>
      <c r="E136" s="1222"/>
      <c r="F136" s="415"/>
      <c r="G136" s="415"/>
      <c r="H136" s="415"/>
      <c r="I136" s="415"/>
      <c r="J136" s="416"/>
      <c r="K136" s="490">
        <f>SUM(K134:K135)</f>
        <v>0</v>
      </c>
      <c r="L136" s="459"/>
      <c r="M136" s="53"/>
    </row>
    <row r="137" spans="1:13" s="50" customFormat="1" ht="6.75" customHeight="1" thickTop="1" thickBot="1" x14ac:dyDescent="0.4">
      <c r="B137" s="458"/>
      <c r="C137" s="54"/>
      <c r="D137" s="54"/>
      <c r="E137" s="54"/>
      <c r="F137" s="51"/>
      <c r="G137" s="51"/>
      <c r="H137" s="51"/>
      <c r="I137" s="51"/>
      <c r="J137" s="52"/>
      <c r="K137" s="488"/>
      <c r="L137" s="459"/>
      <c r="M137" s="53"/>
    </row>
    <row r="138" spans="1:13" ht="15" customHeight="1" thickBot="1" x14ac:dyDescent="0.4">
      <c r="B138" s="559" t="s">
        <v>101</v>
      </c>
      <c r="C138" s="560"/>
      <c r="D138" s="561" t="s">
        <v>251</v>
      </c>
      <c r="E138" s="560"/>
      <c r="F138" s="560"/>
      <c r="G138" s="560"/>
      <c r="H138" s="560"/>
      <c r="I138" s="560"/>
      <c r="J138" s="562"/>
      <c r="K138" s="556" t="s">
        <v>103</v>
      </c>
      <c r="L138" s="563"/>
    </row>
    <row r="139" spans="1:13" ht="4.5" customHeight="1" x14ac:dyDescent="0.35">
      <c r="B139" s="570"/>
      <c r="C139" s="325"/>
      <c r="D139" s="326"/>
      <c r="E139" s="325"/>
      <c r="F139" s="325"/>
      <c r="G139" s="325"/>
      <c r="H139" s="325"/>
      <c r="I139" s="325"/>
      <c r="J139" s="327"/>
      <c r="K139" s="328"/>
      <c r="L139" s="571"/>
    </row>
    <row r="140" spans="1:13" ht="15" customHeight="1" x14ac:dyDescent="0.35">
      <c r="B140" s="436" t="s">
        <v>104</v>
      </c>
      <c r="C140" s="854">
        <v>30</v>
      </c>
      <c r="D140" s="1324" t="s">
        <v>252</v>
      </c>
      <c r="E140" s="1324"/>
      <c r="F140" s="1324"/>
      <c r="G140" s="835"/>
      <c r="H140" s="856"/>
      <c r="I140" s="856"/>
      <c r="J140" s="37"/>
      <c r="K140" s="423">
        <f>(PMT(AssessRate/12,(C140-G140)*12,Loanamt*-1))*12</f>
        <v>0</v>
      </c>
      <c r="L140" s="455"/>
    </row>
    <row r="141" spans="1:13" s="4" customFormat="1" ht="2.25" customHeight="1" x14ac:dyDescent="0.35">
      <c r="B141" s="436"/>
      <c r="C141" s="417"/>
      <c r="D141" s="855"/>
      <c r="E141" s="856"/>
      <c r="F141" s="856"/>
      <c r="G141"/>
      <c r="H141" s="856"/>
      <c r="I141" s="856"/>
      <c r="J141" s="37"/>
      <c r="K141" s="423"/>
      <c r="L141" s="455"/>
      <c r="M141" s="38"/>
    </row>
    <row r="142" spans="1:13" s="4" customFormat="1" ht="28.15" customHeight="1" x14ac:dyDescent="0.35">
      <c r="A142"/>
      <c r="B142" s="436"/>
      <c r="C142" s="860" t="s">
        <v>106</v>
      </c>
      <c r="D142" s="855"/>
      <c r="E142" s="1064" t="s">
        <v>253</v>
      </c>
      <c r="G142" s="61" t="s">
        <v>107</v>
      </c>
      <c r="H142" s="856"/>
      <c r="I142" s="860" t="s">
        <v>108</v>
      </c>
      <c r="J142" s="37"/>
      <c r="K142" s="423"/>
      <c r="L142" s="455"/>
      <c r="M142" s="38"/>
    </row>
    <row r="143" spans="1:13" ht="15" customHeight="1" x14ac:dyDescent="0.35">
      <c r="B143" s="436" t="s">
        <v>109</v>
      </c>
      <c r="C143" s="589"/>
      <c r="D143" s="944"/>
      <c r="E143" s="1060"/>
      <c r="G143" s="1061"/>
      <c r="H143" s="945"/>
      <c r="I143" s="589"/>
      <c r="J143" s="37"/>
      <c r="K143" s="423">
        <f>MAX(P292,Q292)</f>
        <v>0</v>
      </c>
      <c r="L143" s="455"/>
    </row>
    <row r="144" spans="1:13" s="4" customFormat="1" ht="2.25" customHeight="1" x14ac:dyDescent="0.35">
      <c r="A144"/>
      <c r="B144" s="436"/>
      <c r="C144" s="418"/>
      <c r="D144" s="855"/>
      <c r="E144" s="853"/>
      <c r="H144" s="856"/>
      <c r="I144" s="856"/>
      <c r="J144" s="37"/>
      <c r="K144" s="423"/>
      <c r="L144" s="455"/>
      <c r="M144" s="38"/>
    </row>
    <row r="145" spans="2:12" ht="15" customHeight="1" x14ac:dyDescent="0.35">
      <c r="B145" s="436" t="s">
        <v>110</v>
      </c>
      <c r="C145" s="589"/>
      <c r="D145" s="944"/>
      <c r="E145" s="1060"/>
      <c r="G145" s="1061"/>
      <c r="H145" s="945"/>
      <c r="I145" s="589"/>
      <c r="J145" s="37"/>
      <c r="K145" s="423">
        <f>MAX(P293,Q293)</f>
        <v>0</v>
      </c>
      <c r="L145" s="455"/>
    </row>
    <row r="146" spans="2:12" ht="3.75" customHeight="1" x14ac:dyDescent="0.35">
      <c r="B146" s="436"/>
      <c r="C146" s="419"/>
      <c r="D146" s="677"/>
      <c r="E146" s="421"/>
      <c r="H146" s="663"/>
      <c r="I146" s="421"/>
      <c r="J146" s="421"/>
      <c r="K146" s="424"/>
      <c r="L146" s="455"/>
    </row>
    <row r="147" spans="2:12" ht="15" customHeight="1" x14ac:dyDescent="0.35">
      <c r="B147" s="436" t="s">
        <v>111</v>
      </c>
      <c r="C147" s="589"/>
      <c r="D147" s="944"/>
      <c r="E147" s="1060"/>
      <c r="G147" s="1061"/>
      <c r="H147" s="945"/>
      <c r="I147" s="589"/>
      <c r="J147" s="37"/>
      <c r="K147" s="423">
        <f>MAX(P294,Q294)</f>
        <v>0</v>
      </c>
      <c r="L147" s="455"/>
    </row>
    <row r="148" spans="2:12" ht="3.75" customHeight="1" x14ac:dyDescent="0.35">
      <c r="B148" s="436"/>
      <c r="C148" s="419"/>
      <c r="D148" s="677"/>
      <c r="E148" s="853"/>
      <c r="G148" s="4"/>
      <c r="H148" s="663"/>
      <c r="I148" s="421"/>
      <c r="J148" s="421"/>
      <c r="K148" s="424"/>
      <c r="L148" s="455"/>
    </row>
    <row r="149" spans="2:12" ht="15" customHeight="1" x14ac:dyDescent="0.35">
      <c r="B149" s="436" t="s">
        <v>112</v>
      </c>
      <c r="C149" s="589"/>
      <c r="D149" s="944"/>
      <c r="E149" s="1060"/>
      <c r="G149" s="1061"/>
      <c r="H149" s="945"/>
      <c r="I149" s="589"/>
      <c r="J149" s="37"/>
      <c r="K149" s="423">
        <f>MAX(P295,Q295)</f>
        <v>0</v>
      </c>
      <c r="L149" s="455"/>
    </row>
    <row r="150" spans="2:12" ht="3.75" customHeight="1" x14ac:dyDescent="0.35">
      <c r="B150" s="436"/>
      <c r="C150" s="419"/>
      <c r="D150" s="677"/>
      <c r="E150" s="853"/>
      <c r="G150" s="4"/>
      <c r="H150" s="663"/>
      <c r="I150" s="421"/>
      <c r="J150" s="421"/>
      <c r="K150" s="424"/>
      <c r="L150" s="455"/>
    </row>
    <row r="151" spans="2:12" ht="15" customHeight="1" x14ac:dyDescent="0.35">
      <c r="B151" s="436" t="s">
        <v>113</v>
      </c>
      <c r="C151" s="589"/>
      <c r="D151" s="944"/>
      <c r="E151" s="1060"/>
      <c r="G151" s="1061"/>
      <c r="H151" s="945"/>
      <c r="I151" s="589"/>
      <c r="J151" s="37"/>
      <c r="K151" s="423">
        <f>+MAX(P296,Q296)</f>
        <v>0</v>
      </c>
      <c r="L151" s="455"/>
    </row>
    <row r="152" spans="2:12" ht="3.75" customHeight="1" x14ac:dyDescent="0.35">
      <c r="B152" s="436"/>
      <c r="C152" s="419"/>
      <c r="D152" s="677"/>
      <c r="E152" s="18"/>
      <c r="G152" s="18"/>
      <c r="H152" s="663"/>
      <c r="I152" s="421"/>
      <c r="J152" s="421"/>
      <c r="K152" s="424"/>
      <c r="L152" s="455"/>
    </row>
    <row r="153" spans="2:12" ht="15" customHeight="1" x14ac:dyDescent="0.35">
      <c r="B153" s="436" t="s">
        <v>114</v>
      </c>
      <c r="C153" s="589"/>
      <c r="D153" s="944"/>
      <c r="E153" s="1060"/>
      <c r="G153" s="1061"/>
      <c r="H153" s="945"/>
      <c r="I153" s="589"/>
      <c r="J153" s="37"/>
      <c r="K153" s="423">
        <f>+MAX(P297,Q297)</f>
        <v>0</v>
      </c>
      <c r="L153" s="455"/>
    </row>
    <row r="154" spans="2:12" ht="3.75" customHeight="1" x14ac:dyDescent="0.35">
      <c r="B154" s="436"/>
      <c r="C154" s="419"/>
      <c r="D154" s="677"/>
      <c r="E154" s="18"/>
      <c r="G154" s="18"/>
      <c r="H154" s="663"/>
      <c r="I154" s="421"/>
      <c r="J154" s="421"/>
      <c r="K154" s="424"/>
      <c r="L154" s="455"/>
    </row>
    <row r="155" spans="2:12" ht="15" customHeight="1" x14ac:dyDescent="0.35">
      <c r="B155" s="436" t="s">
        <v>115</v>
      </c>
      <c r="C155" s="589"/>
      <c r="D155" s="944"/>
      <c r="E155" s="1060"/>
      <c r="G155" s="1061"/>
      <c r="H155" s="945"/>
      <c r="I155" s="589"/>
      <c r="J155" s="37"/>
      <c r="K155" s="423">
        <f>+MAX(P298,Q298)</f>
        <v>0</v>
      </c>
      <c r="L155" s="455"/>
    </row>
    <row r="156" spans="2:12" ht="3.75" customHeight="1" x14ac:dyDescent="0.35">
      <c r="B156" s="436"/>
      <c r="C156" s="419"/>
      <c r="D156" s="677"/>
      <c r="E156" s="853"/>
      <c r="G156" s="4"/>
      <c r="H156" s="663"/>
      <c r="I156" s="421"/>
      <c r="J156" s="421"/>
      <c r="K156" s="424"/>
      <c r="L156" s="455"/>
    </row>
    <row r="157" spans="2:12" ht="15" customHeight="1" x14ac:dyDescent="0.35">
      <c r="B157" s="436" t="s">
        <v>116</v>
      </c>
      <c r="C157" s="589"/>
      <c r="D157" s="944"/>
      <c r="E157" s="1060"/>
      <c r="G157" s="1061"/>
      <c r="H157" s="945"/>
      <c r="I157" s="589"/>
      <c r="J157" s="37"/>
      <c r="K157" s="423">
        <f>MAX(P299,Q299)</f>
        <v>0</v>
      </c>
      <c r="L157" s="455"/>
    </row>
    <row r="158" spans="2:12" ht="3.75" customHeight="1" x14ac:dyDescent="0.35">
      <c r="B158" s="436"/>
      <c r="C158" s="419"/>
      <c r="D158" s="677"/>
      <c r="E158" s="853"/>
      <c r="G158" s="4"/>
      <c r="H158" s="663"/>
      <c r="I158" s="421"/>
      <c r="J158" s="421"/>
      <c r="K158" s="424"/>
      <c r="L158" s="455"/>
    </row>
    <row r="159" spans="2:12" ht="15" customHeight="1" x14ac:dyDescent="0.35">
      <c r="B159" s="436" t="s">
        <v>117</v>
      </c>
      <c r="C159" s="589"/>
      <c r="D159" s="944"/>
      <c r="E159" s="1060"/>
      <c r="G159" s="1061"/>
      <c r="H159" s="945"/>
      <c r="I159" s="589"/>
      <c r="J159" s="37"/>
      <c r="K159" s="423">
        <f>MAX(P300,Q300)</f>
        <v>0</v>
      </c>
      <c r="L159" s="455"/>
    </row>
    <row r="160" spans="2:12" ht="3.75" customHeight="1" x14ac:dyDescent="0.35">
      <c r="B160" s="436"/>
      <c r="C160" s="419"/>
      <c r="D160" s="677"/>
      <c r="E160" s="663"/>
      <c r="F160" s="663"/>
      <c r="G160" s="421"/>
      <c r="H160" s="663"/>
      <c r="I160" s="663"/>
      <c r="J160" s="421"/>
      <c r="K160" s="424"/>
      <c r="L160" s="455"/>
    </row>
    <row r="161" spans="1:14" ht="15" customHeight="1" x14ac:dyDescent="0.35">
      <c r="B161" s="436" t="s">
        <v>121</v>
      </c>
      <c r="C161" s="589"/>
      <c r="D161" s="419"/>
      <c r="E161" s="422" t="s">
        <v>254</v>
      </c>
      <c r="F161" s="419"/>
      <c r="G161" s="419"/>
      <c r="H161" s="419"/>
      <c r="I161" s="419"/>
      <c r="J161" s="37"/>
      <c r="K161" s="425">
        <f>C161*0.456</f>
        <v>0</v>
      </c>
      <c r="L161" s="455"/>
    </row>
    <row r="162" spans="1:14" ht="15" customHeight="1" x14ac:dyDescent="0.35">
      <c r="B162" s="436" t="s">
        <v>123</v>
      </c>
      <c r="C162" s="589"/>
      <c r="D162" s="419"/>
      <c r="E162" s="422"/>
      <c r="F162" s="419"/>
      <c r="G162" s="419"/>
      <c r="H162" s="419"/>
      <c r="I162" s="419"/>
      <c r="J162" s="37"/>
      <c r="K162" s="425">
        <f>C162*0.456</f>
        <v>0</v>
      </c>
      <c r="L162" s="455"/>
    </row>
    <row r="163" spans="1:14" ht="15" customHeight="1" x14ac:dyDescent="0.35">
      <c r="B163" s="436" t="s">
        <v>255</v>
      </c>
      <c r="C163" s="419"/>
      <c r="D163" s="419"/>
      <c r="E163" s="419"/>
      <c r="F163" s="419"/>
      <c r="G163" s="419"/>
      <c r="H163" s="419"/>
      <c r="I163" s="419"/>
      <c r="J163" s="37"/>
      <c r="K163" s="589"/>
      <c r="L163" s="455"/>
      <c r="N163" s="37"/>
    </row>
    <row r="164" spans="1:14" ht="3" customHeight="1" x14ac:dyDescent="0.35">
      <c r="B164" s="592"/>
      <c r="C164" s="1299"/>
      <c r="D164" s="1299"/>
      <c r="E164" s="1299"/>
      <c r="F164" s="1299"/>
      <c r="G164" s="1299"/>
      <c r="H164" s="1299"/>
      <c r="I164" s="1299"/>
      <c r="J164" s="411"/>
      <c r="K164" s="425"/>
      <c r="L164" s="455"/>
    </row>
    <row r="165" spans="1:14" ht="15" customHeight="1" thickBot="1" x14ac:dyDescent="0.4">
      <c r="B165" s="435" t="s">
        <v>126</v>
      </c>
      <c r="C165" s="593"/>
      <c r="D165" s="593"/>
      <c r="E165" s="593"/>
      <c r="F165" s="593"/>
      <c r="G165" s="593"/>
      <c r="H165" s="593"/>
      <c r="I165" s="593"/>
      <c r="J165" s="411"/>
      <c r="K165" s="489">
        <f>SUM(K140:K163)</f>
        <v>0</v>
      </c>
      <c r="L165" s="455"/>
    </row>
    <row r="166" spans="1:14" ht="4.5" customHeight="1" thickTop="1" thickBot="1" x14ac:dyDescent="0.4">
      <c r="B166" s="460"/>
      <c r="C166" s="15"/>
      <c r="D166" s="15"/>
      <c r="E166" s="15"/>
      <c r="F166" s="15"/>
      <c r="G166" s="15"/>
      <c r="H166" s="15"/>
      <c r="I166" s="15"/>
      <c r="J166" s="19"/>
      <c r="K166" s="24"/>
      <c r="L166" s="455"/>
    </row>
    <row r="167" spans="1:14" ht="14.25" customHeight="1" thickBot="1" x14ac:dyDescent="0.4">
      <c r="B167" s="553" t="s">
        <v>127</v>
      </c>
      <c r="C167" s="554"/>
      <c r="D167" s="564"/>
      <c r="E167" s="554"/>
      <c r="F167" s="554"/>
      <c r="G167" s="554"/>
      <c r="H167" s="554"/>
      <c r="I167" s="554"/>
      <c r="J167" s="557"/>
      <c r="K167" s="556" t="s">
        <v>103</v>
      </c>
      <c r="L167" s="558"/>
    </row>
    <row r="168" spans="1:14" ht="3" customHeight="1" x14ac:dyDescent="0.35">
      <c r="B168" s="435"/>
      <c r="C168" s="427"/>
      <c r="D168" s="1300" t="s">
        <v>256</v>
      </c>
      <c r="E168" s="1300"/>
      <c r="F168" s="1300"/>
      <c r="G168" s="1300"/>
      <c r="H168" s="1300"/>
      <c r="I168" s="1300"/>
      <c r="J168" s="1300"/>
      <c r="K168" s="428"/>
      <c r="L168" s="455"/>
    </row>
    <row r="169" spans="1:14" ht="15" customHeight="1" x14ac:dyDescent="0.35">
      <c r="B169" s="462" t="s">
        <v>257</v>
      </c>
      <c r="C169" s="589"/>
      <c r="D169" s="1300"/>
      <c r="E169" s="1300"/>
      <c r="F169" s="1300"/>
      <c r="G169" s="1300"/>
      <c r="H169" s="1300"/>
      <c r="I169" s="1300"/>
      <c r="J169" s="1300"/>
      <c r="K169" s="425">
        <f>C169*12</f>
        <v>0</v>
      </c>
      <c r="L169" s="455"/>
    </row>
    <row r="170" spans="1:14" ht="3.75" customHeight="1" x14ac:dyDescent="0.35">
      <c r="B170" s="462"/>
      <c r="C170" s="590"/>
      <c r="D170" s="1300"/>
      <c r="E170" s="1300"/>
      <c r="F170" s="1300"/>
      <c r="G170" s="1300"/>
      <c r="H170" s="1300"/>
      <c r="I170" s="1300"/>
      <c r="J170" s="1300"/>
      <c r="K170" s="591"/>
      <c r="L170" s="455"/>
    </row>
    <row r="171" spans="1:14" ht="15.75" customHeight="1" x14ac:dyDescent="0.35">
      <c r="B171" s="463" t="s">
        <v>258</v>
      </c>
      <c r="C171" s="589"/>
      <c r="D171" s="1301" t="s">
        <v>259</v>
      </c>
      <c r="E171" s="1301"/>
      <c r="F171" s="1301"/>
      <c r="G171" s="1301"/>
      <c r="H171" s="1301"/>
      <c r="I171" s="1301"/>
      <c r="J171" s="1301"/>
      <c r="K171" s="425">
        <f>C171*12</f>
        <v>0</v>
      </c>
      <c r="L171" s="455"/>
    </row>
    <row r="172" spans="1:14" ht="20.25" customHeight="1" x14ac:dyDescent="0.35">
      <c r="B172" s="462"/>
      <c r="C172" s="1063"/>
      <c r="D172" s="1301"/>
      <c r="E172" s="1301"/>
      <c r="F172" s="1301"/>
      <c r="G172" s="1301"/>
      <c r="H172" s="1301"/>
      <c r="I172" s="1301"/>
      <c r="J172" s="1301"/>
      <c r="K172" s="425"/>
      <c r="L172" s="455"/>
    </row>
    <row r="173" spans="1:14" ht="13.5" customHeight="1" thickBot="1" x14ac:dyDescent="0.4">
      <c r="B173" s="436" t="s">
        <v>260</v>
      </c>
      <c r="C173" s="406">
        <f>C169+C171</f>
        <v>0</v>
      </c>
      <c r="D173" s="1301"/>
      <c r="E173" s="1301"/>
      <c r="F173" s="1301"/>
      <c r="G173" s="1301"/>
      <c r="H173" s="1301"/>
      <c r="I173" s="1301"/>
      <c r="J173" s="1301"/>
      <c r="K173" s="489">
        <f>C173*12</f>
        <v>0</v>
      </c>
      <c r="L173" s="455"/>
    </row>
    <row r="174" spans="1:14" ht="3" customHeight="1" thickTop="1" thickBot="1" x14ac:dyDescent="0.4">
      <c r="B174" s="438"/>
      <c r="C174" s="55"/>
      <c r="D174" s="1301"/>
      <c r="E174" s="1301"/>
      <c r="F174" s="1301"/>
      <c r="G174" s="1301"/>
      <c r="H174" s="1301"/>
      <c r="I174" s="1301"/>
      <c r="J174" s="1301"/>
      <c r="K174" s="24"/>
      <c r="L174" s="455"/>
    </row>
    <row r="175" spans="1:14" ht="13.5" hidden="1" customHeight="1" thickBot="1" x14ac:dyDescent="0.4">
      <c r="A175" s="948"/>
      <c r="B175" s="444"/>
      <c r="C175" s="552">
        <v>1</v>
      </c>
      <c r="D175" s="552"/>
      <c r="E175" s="552">
        <v>2</v>
      </c>
      <c r="F175" s="552"/>
      <c r="G175" s="552">
        <v>3</v>
      </c>
      <c r="H175" s="552"/>
      <c r="I175" s="552">
        <v>4</v>
      </c>
      <c r="J175" s="78"/>
      <c r="K175" s="76"/>
      <c r="L175" s="449"/>
    </row>
    <row r="176" spans="1:14" ht="14.25" hidden="1" customHeight="1" thickBot="1" x14ac:dyDescent="0.4">
      <c r="A176" s="948" t="s">
        <v>135</v>
      </c>
      <c r="B176" s="553" t="s">
        <v>136</v>
      </c>
      <c r="C176" s="554" t="s">
        <v>3</v>
      </c>
      <c r="D176" s="555"/>
      <c r="E176" s="554" t="s">
        <v>4</v>
      </c>
      <c r="F176" s="554"/>
      <c r="G176" s="554" t="s">
        <v>5</v>
      </c>
      <c r="H176" s="554"/>
      <c r="I176" s="554" t="s">
        <v>6</v>
      </c>
      <c r="J176" s="554"/>
      <c r="K176" s="556" t="s">
        <v>83</v>
      </c>
      <c r="L176" s="565"/>
      <c r="M176" s="38"/>
    </row>
    <row r="177" spans="1:14" hidden="1" x14ac:dyDescent="0.35">
      <c r="A177" s="948" t="s">
        <v>137</v>
      </c>
      <c r="B177" s="576" t="s">
        <v>82</v>
      </c>
      <c r="C177" s="577">
        <f>C120</f>
        <v>0</v>
      </c>
      <c r="D177" s="577"/>
      <c r="E177" s="577">
        <f>E120</f>
        <v>0</v>
      </c>
      <c r="F177" s="577"/>
      <c r="G177" s="577">
        <f>G120</f>
        <v>0</v>
      </c>
      <c r="H177" s="577"/>
      <c r="I177" s="577">
        <f>I120</f>
        <v>0</v>
      </c>
      <c r="J177" s="577"/>
      <c r="K177" s="577">
        <f t="shared" ref="K177:K185" si="3" xml:space="preserve"> C177+E177+G177+I177</f>
        <v>0</v>
      </c>
      <c r="L177" s="578"/>
      <c r="M177" s="38"/>
      <c r="N177" s="192"/>
    </row>
    <row r="178" spans="1:14" hidden="1" x14ac:dyDescent="0.35">
      <c r="A178" s="948" t="s">
        <v>138</v>
      </c>
      <c r="B178" s="576" t="s">
        <v>139</v>
      </c>
      <c r="C178" s="577">
        <f>IF(Total_Rental&gt;Total_Income,(C126/Total_Rental)*Total_Income,C126)</f>
        <v>0</v>
      </c>
      <c r="D178" s="577"/>
      <c r="E178" s="577">
        <f>IF(Total_Rental&gt;Total_Income,(E126/Total_Rental)*Total_Income,E126)</f>
        <v>0</v>
      </c>
      <c r="F178" s="577"/>
      <c r="G178" s="577">
        <f>IF(Total_Rental&gt;Total_Income,(G126/Total_Rental)*Total_Income,G126)</f>
        <v>0</v>
      </c>
      <c r="H178" s="577"/>
      <c r="I178" s="577">
        <f>IF(Total_Rental&gt;Total_Income,(I126/Total_Rental)*Total_Income,I126)</f>
        <v>0</v>
      </c>
      <c r="J178" s="577"/>
      <c r="K178" s="577">
        <f t="shared" si="3"/>
        <v>0</v>
      </c>
      <c r="L178" s="578"/>
      <c r="M178" s="38"/>
      <c r="N178" s="192"/>
    </row>
    <row r="179" spans="1:14" ht="12" hidden="1" customHeight="1" x14ac:dyDescent="0.35">
      <c r="A179" s="948" t="s">
        <v>140</v>
      </c>
      <c r="B179" s="579" t="s">
        <v>141</v>
      </c>
      <c r="C179" s="580">
        <f>MIN(0,-VALUE(MIN(_NGB1*1,Loanamt))*IF(Bwr_rate=1,0,Bwr_rate))</f>
        <v>0</v>
      </c>
      <c r="D179" s="581"/>
      <c r="E179" s="580">
        <f>MIN(0,-VALUE(MIN(_NGB2*1,Loanamt-_NGB1))*IF(Bwr_rate=1,0,Bwr_rate))</f>
        <v>0</v>
      </c>
      <c r="F179" s="581"/>
      <c r="G179" s="580">
        <f>MIN(0,-VALUE(MIN(_NGB3*1,Loanamt-_NGB2-_NGB1))*IF(Bwr_rate=1,0,Bwr_rate))</f>
        <v>0</v>
      </c>
      <c r="H179" s="581"/>
      <c r="I179" s="580">
        <f>MIN(0,-VALUE(MIN(_NGB4*1,Loanamt-_NGB3-_NGB2-_NGB1))*IF(Bwr_rate=1,0,Bwr_rate))</f>
        <v>0</v>
      </c>
      <c r="J179" s="581"/>
      <c r="K179" s="581">
        <f t="shared" si="3"/>
        <v>0</v>
      </c>
      <c r="L179" s="582"/>
      <c r="N179" s="192"/>
    </row>
    <row r="180" spans="1:14" ht="12" hidden="1" customHeight="1" x14ac:dyDescent="0.35">
      <c r="A180" s="948"/>
      <c r="B180" s="579" t="s">
        <v>142</v>
      </c>
      <c r="C180" s="580">
        <f>-NGB_other1*(Bwr_rate)</f>
        <v>0</v>
      </c>
      <c r="D180" s="581"/>
      <c r="E180" s="580">
        <f>-NGB_other2*(Bwr_rate)</f>
        <v>0</v>
      </c>
      <c r="F180" s="581"/>
      <c r="G180" s="580">
        <f>-NGB_other3*(Bwr_rate)</f>
        <v>0</v>
      </c>
      <c r="H180" s="581"/>
      <c r="I180" s="580">
        <f>-NGB_other4*(Bwr_rate)</f>
        <v>0</v>
      </c>
      <c r="J180" s="581"/>
      <c r="K180" s="581">
        <f t="shared" si="3"/>
        <v>0</v>
      </c>
      <c r="L180" s="582"/>
      <c r="N180" s="192"/>
    </row>
    <row r="181" spans="1:14" hidden="1" x14ac:dyDescent="0.35">
      <c r="A181" s="948" t="s">
        <v>143</v>
      </c>
      <c r="B181" s="576" t="s">
        <v>144</v>
      </c>
      <c r="C181" s="577">
        <f>IF(C179+C180&gt;-(C177+C178),C179+C180,-(C177+C178))</f>
        <v>0</v>
      </c>
      <c r="D181" s="577"/>
      <c r="E181" s="577">
        <f>IF(E179+E180&gt;-(E177+E178),E179+E180,-(E177+E178))</f>
        <v>0</v>
      </c>
      <c r="F181" s="577"/>
      <c r="G181" s="577">
        <f>IF(G179+G180&gt;-(G177+G178),G179+G180,-(G177+G178))</f>
        <v>0</v>
      </c>
      <c r="H181" s="577"/>
      <c r="I181" s="577">
        <f>IF(I179+I180&gt;-(I177+I178),I179+I180,-(I177+I178))</f>
        <v>0</v>
      </c>
      <c r="J181" s="577"/>
      <c r="K181" s="577">
        <f t="shared" si="3"/>
        <v>0</v>
      </c>
      <c r="L181" s="578"/>
      <c r="M181" s="38"/>
      <c r="N181" s="192"/>
    </row>
    <row r="182" spans="1:14" hidden="1" x14ac:dyDescent="0.35">
      <c r="A182" s="948"/>
      <c r="B182" s="576" t="s">
        <v>261</v>
      </c>
      <c r="C182" s="577">
        <f>MAX(0,(GIPE_Other1+GIPE_Security1)-(('Guarantor Serviceability'!RentalInc1+'Guarantor Serviceability'!RentalIncOth1)*0.2))</f>
        <v>0</v>
      </c>
      <c r="D182" s="577"/>
      <c r="E182" s="577">
        <f>MAX(0,(GIPE_Other2+GIPE_Security2)-(('Guarantor Serviceability'!RentalInc2+'Guarantor Serviceability'!RentalIncOth2)*0.2))</f>
        <v>0</v>
      </c>
      <c r="F182" s="577"/>
      <c r="G182" s="577">
        <f>MAX(0,(GIPE_Other3+GIPE_Security3)-(('Guarantor Serviceability'!RentalInc3+'Guarantor Serviceability'!RentalIncOth3)*0.2))</f>
        <v>0</v>
      </c>
      <c r="H182" s="577"/>
      <c r="I182" s="577">
        <f>MAX(0,(GIPE_Other4+GIPE_Security4)-(('Guarantor Serviceability'!RentalInc4+'Guarantor Serviceability'!RentalIncOth4)*0.2))</f>
        <v>0</v>
      </c>
      <c r="J182" s="577"/>
      <c r="K182" s="577">
        <f t="shared" si="3"/>
        <v>0</v>
      </c>
      <c r="L182" s="578"/>
      <c r="M182" s="38"/>
      <c r="N182" s="192"/>
    </row>
    <row r="183" spans="1:14" hidden="1" x14ac:dyDescent="0.35">
      <c r="A183" s="948" t="s">
        <v>146</v>
      </c>
      <c r="B183" s="583" t="s">
        <v>60</v>
      </c>
      <c r="C183" s="584">
        <f>MAX(0,C177+C178+C179+C180)-C117-C182</f>
        <v>0</v>
      </c>
      <c r="D183" s="584"/>
      <c r="E183" s="584">
        <f>MAX(0,E177+E178+E179+E180)-E117-E182</f>
        <v>0</v>
      </c>
      <c r="F183" s="584"/>
      <c r="G183" s="584">
        <f>MAX(0,G177+G178+G179+G180)-G117-G182</f>
        <v>0</v>
      </c>
      <c r="H183" s="584"/>
      <c r="I183" s="584">
        <f>MAX(0,I177+I178+I179+I180)-I117-I182</f>
        <v>0</v>
      </c>
      <c r="J183" s="584"/>
      <c r="K183" s="584">
        <f t="shared" si="3"/>
        <v>0</v>
      </c>
      <c r="L183" s="578"/>
      <c r="M183" s="38"/>
      <c r="N183" s="192"/>
    </row>
    <row r="184" spans="1:14" hidden="1" x14ac:dyDescent="0.35">
      <c r="A184" s="948" t="s">
        <v>147</v>
      </c>
      <c r="B184" s="576" t="s">
        <v>148</v>
      </c>
      <c r="C184" s="577">
        <f>IF(C183&lt;=0,0,References!F29+C183*Medicare)</f>
        <v>0</v>
      </c>
      <c r="D184" s="577"/>
      <c r="E184" s="577">
        <f>IF(E183&lt;=0,0,References!G29+E183*Medicare)</f>
        <v>0</v>
      </c>
      <c r="F184" s="577"/>
      <c r="G184" s="577">
        <f>IF(G183&lt;=0,0,References!H29+G183*Medicare)</f>
        <v>0</v>
      </c>
      <c r="H184" s="577"/>
      <c r="I184" s="577">
        <f>IF(I183&lt;=0,0,References!I29+I183*Medicare)</f>
        <v>0</v>
      </c>
      <c r="J184" s="577"/>
      <c r="K184" s="577">
        <f t="shared" si="3"/>
        <v>0</v>
      </c>
      <c r="L184" s="578"/>
      <c r="M184" s="38"/>
      <c r="N184" s="192"/>
    </row>
    <row r="185" spans="1:14" ht="13.5" hidden="1" customHeight="1" x14ac:dyDescent="0.35">
      <c r="A185" s="948" t="s">
        <v>149</v>
      </c>
      <c r="B185" s="583" t="s">
        <v>150</v>
      </c>
      <c r="C185" s="584">
        <f>IF(AND(Inc_Tier="Y",C11=""),0,C183-C184+C117-C181)</f>
        <v>0</v>
      </c>
      <c r="D185" s="584"/>
      <c r="E185" s="584">
        <f>IF(AND(Inc_Tier="Y",E11=""),0,E183-E184+E117-E181)</f>
        <v>0</v>
      </c>
      <c r="F185" s="584"/>
      <c r="G185" s="584">
        <f>IF(AND(Inc_Tier="Y",G11=""),0,G183-G184+G117-G181)</f>
        <v>0</v>
      </c>
      <c r="H185" s="584"/>
      <c r="I185" s="584">
        <f>IF(AND(Inc_Tier="Y",I11=""),0,I183-I184+I117-I181)</f>
        <v>0</v>
      </c>
      <c r="J185" s="584"/>
      <c r="K185" s="584">
        <f t="shared" si="3"/>
        <v>0</v>
      </c>
      <c r="L185" s="578"/>
      <c r="M185" s="38"/>
      <c r="N185" s="192"/>
    </row>
    <row r="186" spans="1:14" ht="5.25" hidden="1" customHeight="1" x14ac:dyDescent="0.35">
      <c r="A186" s="840"/>
      <c r="B186" s="576"/>
      <c r="C186" s="585"/>
      <c r="D186" s="585"/>
      <c r="E186" s="585"/>
      <c r="F186" s="585"/>
      <c r="G186" s="585"/>
      <c r="H186" s="585"/>
      <c r="I186" s="585"/>
      <c r="J186" s="585"/>
      <c r="K186" s="585"/>
      <c r="L186" s="578"/>
      <c r="M186" s="38"/>
      <c r="N186" s="192"/>
    </row>
    <row r="187" spans="1:14" ht="12.75" hidden="1" customHeight="1" x14ac:dyDescent="0.35">
      <c r="A187" s="840"/>
      <c r="B187" s="576" t="s">
        <v>151</v>
      </c>
      <c r="C187" s="586">
        <f>IF(AND(C177+C178&gt;0,C11=""),"",1)</f>
        <v>1</v>
      </c>
      <c r="D187" s="586"/>
      <c r="E187" s="586">
        <f>IF(AND(E177+E178&gt;0,E11=""),"",1)</f>
        <v>1</v>
      </c>
      <c r="F187" s="586"/>
      <c r="G187" s="586">
        <f>IF(AND(G177+G178&gt;0,G11=""),"",1)</f>
        <v>1</v>
      </c>
      <c r="H187" s="586"/>
      <c r="I187" s="586">
        <f>IF(AND(I177+I178&gt;0,I11=""),"",1)</f>
        <v>1</v>
      </c>
      <c r="J187" s="585"/>
      <c r="K187" s="577"/>
      <c r="L187" s="578"/>
      <c r="M187" s="38"/>
      <c r="N187" s="192"/>
    </row>
    <row r="188" spans="1:14" hidden="1" x14ac:dyDescent="0.35">
      <c r="A188" s="840"/>
      <c r="B188" s="576" t="s">
        <v>152</v>
      </c>
      <c r="C188" s="585"/>
      <c r="D188" s="585"/>
      <c r="E188" s="585"/>
      <c r="F188" s="585"/>
      <c r="G188" s="585"/>
      <c r="H188" s="585"/>
      <c r="I188" s="585"/>
      <c r="J188" s="585"/>
      <c r="K188" s="577">
        <f>MAX(K34,K173)</f>
        <v>0</v>
      </c>
      <c r="L188" s="578"/>
      <c r="N188" s="192"/>
    </row>
    <row r="189" spans="1:14" hidden="1" x14ac:dyDescent="0.35">
      <c r="A189" s="840"/>
      <c r="B189" s="583" t="s">
        <v>153</v>
      </c>
      <c r="C189" s="1293" t="s">
        <v>154</v>
      </c>
      <c r="D189" s="1294"/>
      <c r="E189" s="1294"/>
      <c r="F189" s="1294"/>
      <c r="G189" s="1294"/>
      <c r="H189" s="1294"/>
      <c r="I189" s="1295"/>
      <c r="J189" s="587"/>
      <c r="K189" s="584">
        <f>K185-K188</f>
        <v>0</v>
      </c>
      <c r="L189" s="578"/>
      <c r="M189" s="38"/>
      <c r="N189" s="192"/>
    </row>
    <row r="190" spans="1:14" hidden="1" x14ac:dyDescent="0.35">
      <c r="A190" s="840"/>
      <c r="B190" s="576" t="s">
        <v>155</v>
      </c>
      <c r="C190" s="1296"/>
      <c r="D190" s="1297"/>
      <c r="E190" s="1297"/>
      <c r="F190" s="1297"/>
      <c r="G190" s="1297"/>
      <c r="H190" s="1297"/>
      <c r="I190" s="1298"/>
      <c r="J190" s="585"/>
      <c r="K190" s="577">
        <f>K165</f>
        <v>0</v>
      </c>
      <c r="L190" s="578"/>
      <c r="M190" s="38"/>
      <c r="N190" s="192"/>
    </row>
    <row r="191" spans="1:14" ht="3.75" hidden="1" customHeight="1" thickBot="1" x14ac:dyDescent="0.4">
      <c r="A191" s="840"/>
      <c r="B191" s="576"/>
      <c r="C191" s="609"/>
      <c r="D191" s="609"/>
      <c r="E191" s="609"/>
      <c r="F191" s="609"/>
      <c r="G191" s="609"/>
      <c r="H191" s="609"/>
      <c r="I191" s="609"/>
      <c r="J191" s="588"/>
      <c r="K191" s="587"/>
      <c r="L191" s="578"/>
      <c r="M191" s="38"/>
    </row>
    <row r="192" spans="1:14" ht="3" customHeight="1" thickBot="1" x14ac:dyDescent="0.45">
      <c r="B192" s="610"/>
      <c r="C192" s="611"/>
      <c r="D192" s="611"/>
      <c r="E192" s="611"/>
      <c r="F192" s="611"/>
      <c r="G192" s="611"/>
      <c r="H192" s="611"/>
      <c r="I192" s="611"/>
      <c r="J192" s="611"/>
      <c r="K192" s="611"/>
      <c r="L192" s="612"/>
      <c r="M192" s="38"/>
    </row>
    <row r="193" spans="1:14" ht="15.75" customHeight="1" thickBot="1" x14ac:dyDescent="0.45">
      <c r="B193" s="574" t="s">
        <v>157</v>
      </c>
      <c r="C193" s="1292" t="str">
        <f>IF(AND(Loanamt&gt;0,Bwr_rate=""),"Please enter borrower rate",IF(AND(Loanamt&gt;0,OR(LE_Basic="",LE_Basic=0,LE_Other="")),"Please enter living expense amounts",IF(AND(Loanamt&gt;0,COUNTA(C11:I11)=0,Inc_Tier="Y"),"Must enter relationship status",IF(AND(ROUND(GSURPLUS,0)&gt;0,ROUND(GSURPLUS,0)&lt;500,GDeclaredTotalLivingExpense&lt;(GBenchmarkHEMValue*1.2)),NSRTest4,IF(NSR&lt;BaseNSR,NSRTest3,NSRTest1)))))</f>
        <v>Passes serviceability test</v>
      </c>
      <c r="D193" s="1292"/>
      <c r="E193" s="1292"/>
      <c r="F193" s="1292"/>
      <c r="G193" s="1292"/>
      <c r="H193" s="1292"/>
      <c r="I193" s="1292"/>
      <c r="J193" s="1292"/>
      <c r="K193" s="430">
        <f>K189-K190</f>
        <v>0</v>
      </c>
      <c r="L193" s="572"/>
      <c r="M193" s="38"/>
    </row>
    <row r="194" spans="1:14" ht="3.75" customHeight="1" thickBot="1" x14ac:dyDescent="0.4">
      <c r="B194" s="575"/>
      <c r="C194" s="1292"/>
      <c r="D194" s="1292"/>
      <c r="E194" s="1292"/>
      <c r="F194" s="1292"/>
      <c r="G194" s="1292"/>
      <c r="H194" s="1292"/>
      <c r="I194" s="1292"/>
      <c r="J194" s="1292"/>
      <c r="K194" s="36"/>
      <c r="L194" s="572"/>
      <c r="M194" s="38"/>
    </row>
    <row r="195" spans="1:14" ht="15" customHeight="1" thickBot="1" x14ac:dyDescent="0.45">
      <c r="B195" s="473" t="s">
        <v>158</v>
      </c>
      <c r="C195" s="1292"/>
      <c r="D195" s="1292"/>
      <c r="E195" s="1292"/>
      <c r="F195" s="1292"/>
      <c r="G195" s="1292"/>
      <c r="H195" s="1292"/>
      <c r="I195" s="1292"/>
      <c r="J195" s="1292"/>
      <c r="K195" s="431" t="str">
        <f>IF(AND(Loanamt&gt;0,OR(Bwr_rate="",LE_Basic="",LE_Basic=0,LE_Other="")),"",IF(AND(Inc_Tier="Y",COUNTA(C11:I11)=0),"",IF(ISERROR(K189/K190),"",TRUNC(K189/K190,2))))</f>
        <v/>
      </c>
      <c r="L195" s="613" t="str">
        <f>IF(C193=NSRTest2,NSR+2,IF(C193=NSRTest3,NSR+1,NSR))</f>
        <v/>
      </c>
      <c r="M195" s="38"/>
    </row>
    <row r="196" spans="1:14" ht="4.5" customHeight="1" thickBot="1" x14ac:dyDescent="0.45">
      <c r="B196" s="485"/>
      <c r="C196" s="486"/>
      <c r="D196" s="486"/>
      <c r="E196" s="486"/>
      <c r="F196" s="486"/>
      <c r="G196" s="486"/>
      <c r="H196" s="486"/>
      <c r="I196" s="486"/>
      <c r="J196" s="486"/>
      <c r="K196" s="486"/>
      <c r="L196" s="487"/>
      <c r="M196" s="38"/>
    </row>
    <row r="197" spans="1:14" ht="4.5" customHeight="1" x14ac:dyDescent="0.4">
      <c r="B197" s="573"/>
      <c r="C197" s="134"/>
      <c r="D197" s="134"/>
      <c r="E197" s="134"/>
      <c r="F197" s="134"/>
      <c r="G197" s="134"/>
      <c r="H197" s="134"/>
      <c r="I197" s="134"/>
      <c r="J197" s="134"/>
      <c r="K197" s="134"/>
      <c r="L197" s="472"/>
      <c r="M197" s="38"/>
    </row>
    <row r="198" spans="1:14" ht="15" customHeight="1" x14ac:dyDescent="0.4">
      <c r="B198" s="573" t="s">
        <v>262</v>
      </c>
      <c r="C198" s="1179" t="s">
        <v>263</v>
      </c>
      <c r="I198" s="14"/>
      <c r="J198" s="124"/>
      <c r="K198" s="110">
        <f>IF(ISERROR(MAX(MIN(V258,K221),0.0001)),0.0001,MAX(MIN(V258,K221),0.0001))</f>
        <v>1E-4</v>
      </c>
      <c r="L198" s="472"/>
      <c r="M198" s="38"/>
    </row>
    <row r="199" spans="1:14" ht="3.75" customHeight="1" x14ac:dyDescent="0.4">
      <c r="B199" s="573"/>
      <c r="C199" s="134"/>
      <c r="D199" s="134"/>
      <c r="E199" s="134"/>
      <c r="F199" s="134"/>
      <c r="G199" s="134"/>
      <c r="H199" s="134"/>
      <c r="I199" s="134"/>
      <c r="J199" s="134"/>
      <c r="K199" s="134"/>
      <c r="L199" s="472"/>
      <c r="M199" s="38"/>
    </row>
    <row r="200" spans="1:14" ht="31.5" customHeight="1" thickBot="1" x14ac:dyDescent="0.4">
      <c r="A200" s="746"/>
      <c r="B200" s="1234" t="s">
        <v>164</v>
      </c>
      <c r="C200" s="1235"/>
      <c r="D200" s="1235"/>
      <c r="E200" s="1235"/>
      <c r="F200" s="1235"/>
      <c r="G200" s="1235"/>
      <c r="H200" s="1235"/>
      <c r="I200" s="1235"/>
      <c r="J200" s="1235"/>
      <c r="K200" s="1235"/>
      <c r="L200" s="1236"/>
      <c r="M200" s="38"/>
      <c r="N200" s="7"/>
    </row>
    <row r="201" spans="1:14" ht="57" customHeight="1" x14ac:dyDescent="0.35">
      <c r="A201" s="746"/>
      <c r="B201" s="1253" t="s">
        <v>165</v>
      </c>
      <c r="C201" s="1254"/>
      <c r="D201" s="1254"/>
      <c r="E201" s="1254"/>
      <c r="F201" s="1254"/>
      <c r="G201" s="1254"/>
      <c r="H201" s="1254"/>
      <c r="I201" s="1254"/>
      <c r="J201" s="1254"/>
      <c r="K201" s="1254"/>
      <c r="L201" s="1255"/>
      <c r="M201" s="38"/>
      <c r="N201" s="7"/>
    </row>
    <row r="202" spans="1:14" ht="14.25" customHeight="1" x14ac:dyDescent="0.35">
      <c r="A202" s="7"/>
      <c r="B202" s="7"/>
      <c r="C202" s="7"/>
      <c r="D202" s="7"/>
      <c r="E202" s="7"/>
      <c r="F202" s="7"/>
      <c r="G202" s="7"/>
      <c r="H202" s="7"/>
      <c r="I202" s="7"/>
      <c r="J202" s="7"/>
      <c r="K202" s="7"/>
      <c r="L202" s="7"/>
      <c r="M202" s="40"/>
      <c r="N202" s="7"/>
    </row>
    <row r="203" spans="1:14" ht="12" hidden="1" customHeight="1" x14ac:dyDescent="0.35">
      <c r="A203" s="840"/>
      <c r="B203" s="8"/>
      <c r="C203" s="8"/>
      <c r="D203" s="8"/>
      <c r="E203" s="8"/>
      <c r="F203" s="8"/>
      <c r="G203" s="8"/>
      <c r="H203" s="8"/>
      <c r="I203" s="8"/>
      <c r="J203" s="8"/>
      <c r="K203" s="8"/>
      <c r="L203" s="5"/>
      <c r="M203" s="38"/>
    </row>
    <row r="204" spans="1:14" hidden="1" x14ac:dyDescent="0.35">
      <c r="A204" s="948" t="s">
        <v>135</v>
      </c>
    </row>
    <row r="205" spans="1:14" hidden="1" x14ac:dyDescent="0.35">
      <c r="A205" s="948" t="s">
        <v>137</v>
      </c>
      <c r="L205"/>
      <c r="M205"/>
    </row>
    <row r="206" spans="1:14" hidden="1" x14ac:dyDescent="0.35">
      <c r="A206" s="948" t="s">
        <v>138</v>
      </c>
      <c r="B206" s="123" t="s">
        <v>82</v>
      </c>
      <c r="C206" s="35">
        <f>C177</f>
        <v>0</v>
      </c>
      <c r="E206" s="35">
        <f>E177</f>
        <v>0</v>
      </c>
      <c r="G206" s="35">
        <f>G177</f>
        <v>0</v>
      </c>
      <c r="I206" s="35">
        <f>I177</f>
        <v>0</v>
      </c>
      <c r="J206" s="9"/>
      <c r="L206"/>
      <c r="M206"/>
    </row>
    <row r="207" spans="1:14" hidden="1" x14ac:dyDescent="0.35">
      <c r="A207" s="948" t="s">
        <v>140</v>
      </c>
      <c r="B207" s="123" t="s">
        <v>167</v>
      </c>
      <c r="C207" s="35">
        <f>C178</f>
        <v>0</v>
      </c>
      <c r="E207" s="35">
        <f>E178</f>
        <v>0</v>
      </c>
      <c r="G207" s="35">
        <f>G178</f>
        <v>0</v>
      </c>
      <c r="I207" s="35">
        <f>I178</f>
        <v>0</v>
      </c>
      <c r="J207" s="9"/>
      <c r="K207" s="6"/>
      <c r="L207"/>
      <c r="M207"/>
    </row>
    <row r="208" spans="1:14" hidden="1" x14ac:dyDescent="0.35">
      <c r="A208" s="948"/>
      <c r="B208" s="9" t="s">
        <v>90</v>
      </c>
      <c r="C208" s="125">
        <f>C117</f>
        <v>0</v>
      </c>
      <c r="E208" s="125">
        <f>E117</f>
        <v>0</v>
      </c>
      <c r="G208" s="125">
        <f>G117</f>
        <v>0</v>
      </c>
      <c r="I208" s="125">
        <f>I117</f>
        <v>0</v>
      </c>
      <c r="J208" s="9"/>
      <c r="K208" s="23"/>
      <c r="L208"/>
      <c r="M208"/>
    </row>
    <row r="209" spans="1:33" hidden="1" x14ac:dyDescent="0.35">
      <c r="A209" s="948" t="s">
        <v>143</v>
      </c>
      <c r="B209" s="10" t="s">
        <v>168</v>
      </c>
      <c r="C209" s="10"/>
      <c r="J209" s="9"/>
      <c r="K209" s="6"/>
      <c r="L209"/>
      <c r="M209"/>
    </row>
    <row r="210" spans="1:33" hidden="1" x14ac:dyDescent="0.35">
      <c r="A210" s="948" t="s">
        <v>146</v>
      </c>
      <c r="B210" s="9" t="s">
        <v>169</v>
      </c>
      <c r="C210" s="125">
        <f>MIN(C129*1,Loanamt)</f>
        <v>0</v>
      </c>
      <c r="E210" s="125">
        <f>MIN(_NGB2*1,Loanamt-C210)</f>
        <v>0</v>
      </c>
      <c r="G210" s="125">
        <f>MIN(_NGB3*1,Loanamt-E210-C210)</f>
        <v>0</v>
      </c>
      <c r="I210" s="125">
        <f>MIN(_NGB4*1,Loanamt-G210-E210-C210)</f>
        <v>0</v>
      </c>
      <c r="J210" s="9"/>
      <c r="K210" s="23">
        <f>C210+E210+G210+I210</f>
        <v>0</v>
      </c>
      <c r="L210" s="23"/>
    </row>
    <row r="211" spans="1:33" hidden="1" x14ac:dyDescent="0.35">
      <c r="A211" s="948" t="s">
        <v>147</v>
      </c>
      <c r="B211" s="9" t="s">
        <v>170</v>
      </c>
      <c r="C211" s="125">
        <f>C130</f>
        <v>0</v>
      </c>
      <c r="E211" s="125">
        <f>E130</f>
        <v>0</v>
      </c>
      <c r="G211" s="125">
        <f>G130</f>
        <v>0</v>
      </c>
      <c r="I211" s="125">
        <f>I130</f>
        <v>0</v>
      </c>
      <c r="J211" s="9"/>
      <c r="K211" s="23">
        <f>C211+E211+G211+I211</f>
        <v>0</v>
      </c>
      <c r="L211"/>
      <c r="M211"/>
    </row>
    <row r="212" spans="1:33" hidden="1" x14ac:dyDescent="0.35">
      <c r="A212" s="948"/>
      <c r="B212" s="576" t="s">
        <v>261</v>
      </c>
      <c r="C212" s="577" t="e">
        <v>#NAME?</v>
      </c>
      <c r="D212" s="577"/>
      <c r="E212" s="577" t="e">
        <v>#NAME?</v>
      </c>
      <c r="F212" s="577"/>
      <c r="G212" s="577" t="e">
        <v>#NAME?</v>
      </c>
      <c r="H212" s="577"/>
      <c r="I212" s="577" t="e">
        <v>#NAME?</v>
      </c>
      <c r="J212" s="9"/>
      <c r="K212" s="23" t="e">
        <f>C212+E212+G212+I212</f>
        <v>#NAME?</v>
      </c>
      <c r="L212"/>
      <c r="M212"/>
    </row>
    <row r="213" spans="1:33" hidden="1" x14ac:dyDescent="0.35">
      <c r="A213" s="948" t="s">
        <v>149</v>
      </c>
      <c r="B213" s="122" t="s">
        <v>60</v>
      </c>
      <c r="C213" s="49">
        <f>C183</f>
        <v>0</v>
      </c>
      <c r="E213" s="49">
        <f>E183</f>
        <v>0</v>
      </c>
      <c r="G213" s="49">
        <f>G183</f>
        <v>0</v>
      </c>
      <c r="I213" s="49">
        <f>I183</f>
        <v>0</v>
      </c>
      <c r="J213" s="9"/>
      <c r="K213" s="23">
        <f>C213+E213+G213+I213</f>
        <v>0</v>
      </c>
      <c r="L213"/>
      <c r="M213"/>
    </row>
    <row r="214" spans="1:33" hidden="1" x14ac:dyDescent="0.35">
      <c r="A214" s="840"/>
      <c r="L214"/>
      <c r="O214" s="89"/>
      <c r="P214" s="89"/>
      <c r="Q214" s="89"/>
      <c r="R214" s="89"/>
      <c r="S214" s="89"/>
      <c r="T214" s="89"/>
      <c r="U214" s="89"/>
      <c r="V214" s="89"/>
      <c r="W214" s="89"/>
      <c r="Y214" s="90"/>
      <c r="Z214" s="90"/>
      <c r="AA214" s="90"/>
      <c r="AB214" s="90"/>
      <c r="AC214" s="90"/>
      <c r="AD214" s="90"/>
      <c r="AE214" s="90"/>
      <c r="AF214" s="90"/>
      <c r="AG214" s="90"/>
    </row>
    <row r="215" spans="1:33" hidden="1" x14ac:dyDescent="0.35">
      <c r="A215" s="840"/>
      <c r="B215" s="9" t="s">
        <v>104</v>
      </c>
      <c r="C215" s="9"/>
      <c r="E215" s="109">
        <f>G19</f>
        <v>1</v>
      </c>
      <c r="J215" s="9"/>
      <c r="L215"/>
      <c r="M215"/>
      <c r="O215" s="91"/>
      <c r="P215" s="92"/>
      <c r="Q215" s="193"/>
      <c r="R215" s="193"/>
      <c r="S215" s="193"/>
      <c r="T215" s="193"/>
      <c r="U215" s="193"/>
      <c r="V215" s="193"/>
      <c r="W215" s="193"/>
      <c r="Y215" s="93"/>
      <c r="Z215" s="94"/>
      <c r="AA215" s="194"/>
      <c r="AB215" s="194"/>
      <c r="AC215" s="194"/>
      <c r="AD215" s="194"/>
      <c r="AE215" s="194"/>
      <c r="AF215" s="194"/>
      <c r="AG215" s="194"/>
    </row>
    <row r="216" spans="1:33" hidden="1" x14ac:dyDescent="0.35">
      <c r="A216" s="840"/>
      <c r="B216" s="1178" t="s">
        <v>175</v>
      </c>
      <c r="I216" s="14"/>
      <c r="J216" s="9"/>
      <c r="K216" s="25">
        <f>K140</f>
        <v>0</v>
      </c>
      <c r="L216"/>
      <c r="M216"/>
      <c r="O216" s="95" t="s">
        <v>176</v>
      </c>
      <c r="P216" s="96"/>
      <c r="Q216" s="195">
        <f t="shared" ref="Q216:W216" si="4">$C$206+$C$207</f>
        <v>0</v>
      </c>
      <c r="R216" s="195">
        <f t="shared" si="4"/>
        <v>0</v>
      </c>
      <c r="S216" s="195">
        <f t="shared" si="4"/>
        <v>0</v>
      </c>
      <c r="T216" s="195">
        <f t="shared" si="4"/>
        <v>0</v>
      </c>
      <c r="U216" s="195">
        <f t="shared" si="4"/>
        <v>0</v>
      </c>
      <c r="V216" s="195">
        <f t="shared" si="4"/>
        <v>0</v>
      </c>
      <c r="W216" s="195">
        <f t="shared" si="4"/>
        <v>0</v>
      </c>
      <c r="Y216" s="97" t="s">
        <v>176</v>
      </c>
      <c r="Z216" s="98"/>
      <c r="AA216" s="196">
        <f t="shared" ref="AA216:AG216" si="5">$C$206+$C$207</f>
        <v>0</v>
      </c>
      <c r="AB216" s="196">
        <f t="shared" si="5"/>
        <v>0</v>
      </c>
      <c r="AC216" s="196">
        <f t="shared" si="5"/>
        <v>0</v>
      </c>
      <c r="AD216" s="196">
        <f t="shared" si="5"/>
        <v>0</v>
      </c>
      <c r="AE216" s="196">
        <f t="shared" si="5"/>
        <v>0</v>
      </c>
      <c r="AF216" s="196">
        <f t="shared" si="5"/>
        <v>0</v>
      </c>
      <c r="AG216" s="196">
        <f t="shared" si="5"/>
        <v>0</v>
      </c>
    </row>
    <row r="217" spans="1:33" hidden="1" x14ac:dyDescent="0.35">
      <c r="A217" s="840"/>
      <c r="B217" s="1309" t="s">
        <v>153</v>
      </c>
      <c r="C217" s="1309"/>
      <c r="I217" s="14"/>
      <c r="J217" s="124"/>
      <c r="K217" s="49">
        <f>K189</f>
        <v>0</v>
      </c>
      <c r="L217"/>
      <c r="O217" s="99" t="s">
        <v>177</v>
      </c>
      <c r="P217" s="89"/>
      <c r="Q217" s="197">
        <f t="shared" ref="Q217:W217" si="6">MIN(0,-IF(OR($V$255&lt;&gt;"Y",$G$15&lt;&gt;"Y"),$C$210*$E$215,P$248*$E$215/$K$35*$C$35)-$C$211*($G$17))</f>
        <v>0</v>
      </c>
      <c r="R217" s="197">
        <f t="shared" si="6"/>
        <v>0</v>
      </c>
      <c r="S217" s="197">
        <f t="shared" si="6"/>
        <v>0</v>
      </c>
      <c r="T217" s="197">
        <f t="shared" si="6"/>
        <v>0</v>
      </c>
      <c r="U217" s="197">
        <f t="shared" si="6"/>
        <v>0</v>
      </c>
      <c r="V217" s="197">
        <f t="shared" si="6"/>
        <v>0</v>
      </c>
      <c r="W217" s="197">
        <f t="shared" si="6"/>
        <v>0</v>
      </c>
      <c r="Y217" s="100" t="s">
        <v>177</v>
      </c>
      <c r="Z217" s="90"/>
      <c r="AA217" s="198">
        <f t="shared" ref="AA217:AG217" si="7">MIN(0,-IF(OR($V$255&lt;&gt;"Y",$G$15&lt;&gt;"Y"),$C$210*$E$215,Z$248*$E$215/$K$35*$C$35)-$C$211*($G$17))</f>
        <v>0</v>
      </c>
      <c r="AB217" s="198">
        <f t="shared" si="7"/>
        <v>0</v>
      </c>
      <c r="AC217" s="198">
        <f t="shared" si="7"/>
        <v>0</v>
      </c>
      <c r="AD217" s="198">
        <f t="shared" si="7"/>
        <v>0</v>
      </c>
      <c r="AE217" s="198">
        <f t="shared" si="7"/>
        <v>0</v>
      </c>
      <c r="AF217" s="198">
        <f t="shared" si="7"/>
        <v>0</v>
      </c>
      <c r="AG217" s="198">
        <f t="shared" si="7"/>
        <v>0</v>
      </c>
    </row>
    <row r="218" spans="1:33" ht="13.15" hidden="1" thickBot="1" x14ac:dyDescent="0.4">
      <c r="A218" s="840"/>
      <c r="B218" s="1280" t="s">
        <v>126</v>
      </c>
      <c r="C218" s="1280"/>
      <c r="I218" s="14"/>
      <c r="J218" s="124"/>
      <c r="K218" s="30">
        <f>K190</f>
        <v>0</v>
      </c>
      <c r="L218"/>
      <c r="O218" s="99" t="s">
        <v>178</v>
      </c>
      <c r="P218" s="89"/>
      <c r="Q218" s="197">
        <f t="shared" ref="Q218:W218" si="8">MAX(0,Q217+Q216-$C$208)</f>
        <v>0</v>
      </c>
      <c r="R218" s="197">
        <f t="shared" si="8"/>
        <v>0</v>
      </c>
      <c r="S218" s="197">
        <f t="shared" si="8"/>
        <v>0</v>
      </c>
      <c r="T218" s="197">
        <f t="shared" si="8"/>
        <v>0</v>
      </c>
      <c r="U218" s="197">
        <f t="shared" si="8"/>
        <v>0</v>
      </c>
      <c r="V218" s="197">
        <f t="shared" si="8"/>
        <v>0</v>
      </c>
      <c r="W218" s="197">
        <f t="shared" si="8"/>
        <v>0</v>
      </c>
      <c r="Y218" s="100" t="s">
        <v>178</v>
      </c>
      <c r="Z218" s="90"/>
      <c r="AA218" s="198">
        <f t="shared" ref="AA218:AG218" si="9">MAX(0,AA217+AA216-$C$208)</f>
        <v>0</v>
      </c>
      <c r="AB218" s="198">
        <f t="shared" si="9"/>
        <v>0</v>
      </c>
      <c r="AC218" s="198">
        <f t="shared" si="9"/>
        <v>0</v>
      </c>
      <c r="AD218" s="198">
        <f t="shared" si="9"/>
        <v>0</v>
      </c>
      <c r="AE218" s="198">
        <f t="shared" si="9"/>
        <v>0</v>
      </c>
      <c r="AF218" s="198">
        <f t="shared" si="9"/>
        <v>0</v>
      </c>
      <c r="AG218" s="198">
        <f t="shared" si="9"/>
        <v>0</v>
      </c>
    </row>
    <row r="219" spans="1:33" ht="13.15" hidden="1" thickTop="1" x14ac:dyDescent="0.35">
      <c r="A219" s="840"/>
      <c r="I219" s="14"/>
      <c r="J219" s="9"/>
      <c r="K219" s="6"/>
      <c r="L219"/>
      <c r="M219"/>
      <c r="O219" s="99" t="s">
        <v>179</v>
      </c>
      <c r="P219" s="89"/>
      <c r="Q219" s="101">
        <f t="shared" ref="Q219:W219" si="10">MAX(MIN(Q218,$P$255),0)*$Q$255+MAX(MIN(Q218,$P$256)-$P$255,0)*$Q$256+MAX(MIN(Q218,$P$257)-$P$256,0)*$Q$257+MAX(MIN(Q218,$P$258)-$P$257,0)*$Q$258+MAX(Q218-$P$258,0)*$Q$259+Q218*$Q$252</f>
        <v>0</v>
      </c>
      <c r="R219" s="101">
        <f t="shared" si="10"/>
        <v>0</v>
      </c>
      <c r="S219" s="101">
        <f t="shared" si="10"/>
        <v>0</v>
      </c>
      <c r="T219" s="101">
        <f t="shared" si="10"/>
        <v>0</v>
      </c>
      <c r="U219" s="101">
        <f t="shared" si="10"/>
        <v>0</v>
      </c>
      <c r="V219" s="101">
        <f t="shared" si="10"/>
        <v>0</v>
      </c>
      <c r="W219" s="101">
        <f t="shared" si="10"/>
        <v>0</v>
      </c>
      <c r="Y219" s="100" t="s">
        <v>179</v>
      </c>
      <c r="Z219" s="90"/>
      <c r="AA219" s="102">
        <f t="shared" ref="AA219:AG219" si="11">MAX(MIN(AA218,$P$255),0)*$Q$255+MAX(MIN(AA218,$P$256)-$P$255,0)*$Q$256+MAX(MIN(AA218,$P$257)-$P$256,0)*$Q$257+MAX(MIN(AA218,$P$258)-$P$257,0)*$Q$258+MAX(AA218-$P$258,0)*$Q$259+AA218*$Q$252</f>
        <v>0</v>
      </c>
      <c r="AB219" s="102">
        <f t="shared" si="11"/>
        <v>0</v>
      </c>
      <c r="AC219" s="102">
        <f t="shared" si="11"/>
        <v>0</v>
      </c>
      <c r="AD219" s="102">
        <f t="shared" si="11"/>
        <v>0</v>
      </c>
      <c r="AE219" s="102">
        <f t="shared" si="11"/>
        <v>0</v>
      </c>
      <c r="AF219" s="102">
        <f t="shared" si="11"/>
        <v>0</v>
      </c>
      <c r="AG219" s="102">
        <f t="shared" si="11"/>
        <v>0</v>
      </c>
    </row>
    <row r="220" spans="1:33" hidden="1" x14ac:dyDescent="0.35">
      <c r="A220" s="840"/>
      <c r="L220"/>
      <c r="O220" s="103" t="s">
        <v>181</v>
      </c>
      <c r="P220" s="104"/>
      <c r="Q220" s="105">
        <f t="shared" ref="Q220:W220" si="12">Q216-Q219</f>
        <v>0</v>
      </c>
      <c r="R220" s="105">
        <f t="shared" si="12"/>
        <v>0</v>
      </c>
      <c r="S220" s="105">
        <f t="shared" si="12"/>
        <v>0</v>
      </c>
      <c r="T220" s="105">
        <f t="shared" si="12"/>
        <v>0</v>
      </c>
      <c r="U220" s="105">
        <f t="shared" si="12"/>
        <v>0</v>
      </c>
      <c r="V220" s="105">
        <f t="shared" si="12"/>
        <v>0</v>
      </c>
      <c r="W220" s="105">
        <f t="shared" si="12"/>
        <v>0</v>
      </c>
      <c r="Y220" s="106" t="s">
        <v>181</v>
      </c>
      <c r="Z220" s="107"/>
      <c r="AA220" s="108">
        <f t="shared" ref="AA220:AG220" si="13">AA216-AA219</f>
        <v>0</v>
      </c>
      <c r="AB220" s="108">
        <f t="shared" si="13"/>
        <v>0</v>
      </c>
      <c r="AC220" s="108">
        <f t="shared" si="13"/>
        <v>0</v>
      </c>
      <c r="AD220" s="108">
        <f t="shared" si="13"/>
        <v>0</v>
      </c>
      <c r="AE220" s="108">
        <f t="shared" si="13"/>
        <v>0</v>
      </c>
      <c r="AF220" s="108">
        <f t="shared" si="13"/>
        <v>0</v>
      </c>
      <c r="AG220" s="108">
        <f t="shared" si="13"/>
        <v>0</v>
      </c>
    </row>
    <row r="221" spans="1:33" ht="13.15" hidden="1" x14ac:dyDescent="0.4">
      <c r="A221" s="840"/>
      <c r="B221" s="46" t="s">
        <v>180</v>
      </c>
      <c r="F221" s="27"/>
      <c r="J221" s="124"/>
      <c r="K221" s="110">
        <v>2000000</v>
      </c>
      <c r="L221"/>
      <c r="M221"/>
      <c r="N221" s="6"/>
      <c r="O221" s="95" t="s">
        <v>182</v>
      </c>
      <c r="P221" s="96"/>
      <c r="Q221" s="195">
        <f t="shared" ref="Q221:W221" si="14">$E$206+$E$207</f>
        <v>0</v>
      </c>
      <c r="R221" s="195">
        <f t="shared" si="14"/>
        <v>0</v>
      </c>
      <c r="S221" s="195">
        <f t="shared" si="14"/>
        <v>0</v>
      </c>
      <c r="T221" s="195">
        <f t="shared" si="14"/>
        <v>0</v>
      </c>
      <c r="U221" s="195">
        <f t="shared" si="14"/>
        <v>0</v>
      </c>
      <c r="V221" s="195">
        <f t="shared" si="14"/>
        <v>0</v>
      </c>
      <c r="W221" s="195">
        <f t="shared" si="14"/>
        <v>0</v>
      </c>
      <c r="Y221" s="97" t="s">
        <v>182</v>
      </c>
      <c r="Z221" s="98"/>
      <c r="AA221" s="196">
        <f t="shared" ref="AA221:AG221" si="15">$E$206+$E$207</f>
        <v>0</v>
      </c>
      <c r="AB221" s="196">
        <f t="shared" si="15"/>
        <v>0</v>
      </c>
      <c r="AC221" s="196">
        <f t="shared" si="15"/>
        <v>0</v>
      </c>
      <c r="AD221" s="196">
        <f t="shared" si="15"/>
        <v>0</v>
      </c>
      <c r="AE221" s="196">
        <f t="shared" si="15"/>
        <v>0</v>
      </c>
      <c r="AF221" s="196">
        <f t="shared" si="15"/>
        <v>0</v>
      </c>
      <c r="AG221" s="196">
        <f t="shared" si="15"/>
        <v>0</v>
      </c>
    </row>
    <row r="222" spans="1:33" hidden="1" x14ac:dyDescent="0.35">
      <c r="A222" s="840"/>
      <c r="H222" s="27"/>
      <c r="J222" s="9"/>
      <c r="L222"/>
      <c r="M222"/>
      <c r="N222" s="6"/>
      <c r="O222" s="99" t="s">
        <v>183</v>
      </c>
      <c r="P222" s="89"/>
      <c r="Q222" s="197">
        <f t="shared" ref="Q222:W222" si="16">MIN(0,-IF(OR($V$255&lt;&gt;"Y",$G$15&lt;&gt;"Y"),$E$210*$E$215,P$248*$E$215/$K$35*$E$35)-$E$211*($G$17))</f>
        <v>0</v>
      </c>
      <c r="R222" s="197">
        <f t="shared" si="16"/>
        <v>0</v>
      </c>
      <c r="S222" s="197">
        <f t="shared" si="16"/>
        <v>0</v>
      </c>
      <c r="T222" s="197">
        <f t="shared" si="16"/>
        <v>0</v>
      </c>
      <c r="U222" s="197">
        <f t="shared" si="16"/>
        <v>0</v>
      </c>
      <c r="V222" s="197">
        <f t="shared" si="16"/>
        <v>0</v>
      </c>
      <c r="W222" s="197">
        <f t="shared" si="16"/>
        <v>0</v>
      </c>
      <c r="Y222" s="100" t="s">
        <v>183</v>
      </c>
      <c r="Z222" s="90"/>
      <c r="AA222" s="198">
        <f t="shared" ref="AA222:AG222" si="17">MIN(0,-IF(OR($V$255&lt;&gt;"Y",$G$15&lt;&gt;"Y"),$E$210*$E$215,Z$248*$E$215/$K$35*$E$35)-$E$211*($G$17))</f>
        <v>0</v>
      </c>
      <c r="AB222" s="198">
        <f t="shared" si="17"/>
        <v>0</v>
      </c>
      <c r="AC222" s="198">
        <f t="shared" si="17"/>
        <v>0</v>
      </c>
      <c r="AD222" s="198">
        <f t="shared" si="17"/>
        <v>0</v>
      </c>
      <c r="AE222" s="198">
        <f t="shared" si="17"/>
        <v>0</v>
      </c>
      <c r="AF222" s="198">
        <f t="shared" si="17"/>
        <v>0</v>
      </c>
      <c r="AG222" s="198">
        <f t="shared" si="17"/>
        <v>0</v>
      </c>
    </row>
    <row r="223" spans="1:33" hidden="1" x14ac:dyDescent="0.35">
      <c r="A223" s="840"/>
      <c r="H223" s="27"/>
      <c r="J223" s="9"/>
      <c r="L223"/>
      <c r="N223" s="6"/>
      <c r="O223" s="99" t="s">
        <v>182</v>
      </c>
      <c r="P223" s="89"/>
      <c r="Q223" s="197">
        <f t="shared" ref="Q223:W223" si="18">MAX(0,Q222+Q221-$E$208)</f>
        <v>0</v>
      </c>
      <c r="R223" s="197">
        <f t="shared" si="18"/>
        <v>0</v>
      </c>
      <c r="S223" s="197">
        <f t="shared" si="18"/>
        <v>0</v>
      </c>
      <c r="T223" s="197">
        <f t="shared" si="18"/>
        <v>0</v>
      </c>
      <c r="U223" s="197">
        <f t="shared" si="18"/>
        <v>0</v>
      </c>
      <c r="V223" s="197">
        <f t="shared" si="18"/>
        <v>0</v>
      </c>
      <c r="W223" s="197">
        <f t="shared" si="18"/>
        <v>0</v>
      </c>
      <c r="Y223" s="100" t="s">
        <v>182</v>
      </c>
      <c r="Z223" s="90"/>
      <c r="AA223" s="198">
        <f t="shared" ref="AA223:AG223" si="19">MAX(0,AA222+AA221-$E$208)</f>
        <v>0</v>
      </c>
      <c r="AB223" s="198">
        <f t="shared" si="19"/>
        <v>0</v>
      </c>
      <c r="AC223" s="198">
        <f t="shared" si="19"/>
        <v>0</v>
      </c>
      <c r="AD223" s="198">
        <f t="shared" si="19"/>
        <v>0</v>
      </c>
      <c r="AE223" s="198">
        <f t="shared" si="19"/>
        <v>0</v>
      </c>
      <c r="AF223" s="198">
        <f t="shared" si="19"/>
        <v>0</v>
      </c>
      <c r="AG223" s="198">
        <f t="shared" si="19"/>
        <v>0</v>
      </c>
    </row>
    <row r="224" spans="1:33" hidden="1" x14ac:dyDescent="0.35">
      <c r="A224" s="840"/>
      <c r="L224"/>
      <c r="M224"/>
      <c r="N224" s="6"/>
      <c r="O224" s="99" t="s">
        <v>184</v>
      </c>
      <c r="P224" s="89"/>
      <c r="Q224" s="101">
        <f t="shared" ref="Q224:W224" si="20">MAX(MIN(Q223,$P$255),0)*$Q$255+MAX(MIN(Q223,$P$256)-$P$255,0)*$Q$256+MAX(MIN(Q223,$P$257)-$P$256,0)*$Q$257+MAX(MIN(Q223,$P$258)-$P$257,0)*$Q$258+MAX(Q223-$P$258,0)*$Q$259+Q223*$Q$252</f>
        <v>0</v>
      </c>
      <c r="R224" s="101">
        <f t="shared" si="20"/>
        <v>0</v>
      </c>
      <c r="S224" s="101">
        <f t="shared" si="20"/>
        <v>0</v>
      </c>
      <c r="T224" s="101">
        <f t="shared" si="20"/>
        <v>0</v>
      </c>
      <c r="U224" s="101">
        <f t="shared" si="20"/>
        <v>0</v>
      </c>
      <c r="V224" s="101">
        <f t="shared" si="20"/>
        <v>0</v>
      </c>
      <c r="W224" s="101">
        <f t="shared" si="20"/>
        <v>0</v>
      </c>
      <c r="Y224" s="100" t="s">
        <v>184</v>
      </c>
      <c r="Z224" s="90"/>
      <c r="AA224" s="102">
        <f t="shared" ref="AA224:AG224" si="21">MAX(MIN(AA223,$P$255),0)*$Q$255+MAX(MIN(AA223,$P$256)-$P$255,0)*$Q$256+MAX(MIN(AA223,$P$257)-$P$256,0)*$Q$257+MAX(MIN(AA223,$P$258)-$P$257,0)*$Q$258+MAX(AA223-$P$258,0)*$Q$259+AA223*$Q$252</f>
        <v>0</v>
      </c>
      <c r="AB224" s="102">
        <f t="shared" si="21"/>
        <v>0</v>
      </c>
      <c r="AC224" s="102">
        <f t="shared" si="21"/>
        <v>0</v>
      </c>
      <c r="AD224" s="102">
        <f t="shared" si="21"/>
        <v>0</v>
      </c>
      <c r="AE224" s="102">
        <f t="shared" si="21"/>
        <v>0</v>
      </c>
      <c r="AF224" s="102">
        <f t="shared" si="21"/>
        <v>0</v>
      </c>
      <c r="AG224" s="102">
        <f t="shared" si="21"/>
        <v>0</v>
      </c>
    </row>
    <row r="225" spans="1:33" hidden="1" x14ac:dyDescent="0.35">
      <c r="A225" s="840"/>
      <c r="L225"/>
      <c r="M225"/>
      <c r="N225" s="6"/>
      <c r="O225" s="103" t="s">
        <v>185</v>
      </c>
      <c r="P225" s="104"/>
      <c r="Q225" s="105">
        <f t="shared" ref="Q225:W225" si="22">Q221-Q224</f>
        <v>0</v>
      </c>
      <c r="R225" s="105">
        <f t="shared" si="22"/>
        <v>0</v>
      </c>
      <c r="S225" s="105">
        <f t="shared" si="22"/>
        <v>0</v>
      </c>
      <c r="T225" s="105">
        <f t="shared" si="22"/>
        <v>0</v>
      </c>
      <c r="U225" s="105">
        <f t="shared" si="22"/>
        <v>0</v>
      </c>
      <c r="V225" s="105">
        <f t="shared" si="22"/>
        <v>0</v>
      </c>
      <c r="W225" s="105">
        <f t="shared" si="22"/>
        <v>0</v>
      </c>
      <c r="Y225" s="106" t="s">
        <v>185</v>
      </c>
      <c r="Z225" s="107"/>
      <c r="AA225" s="108">
        <f t="shared" ref="AA225:AG225" si="23">AA221-AA224</f>
        <v>0</v>
      </c>
      <c r="AB225" s="108">
        <f t="shared" si="23"/>
        <v>0</v>
      </c>
      <c r="AC225" s="108">
        <f t="shared" si="23"/>
        <v>0</v>
      </c>
      <c r="AD225" s="108">
        <f t="shared" si="23"/>
        <v>0</v>
      </c>
      <c r="AE225" s="108">
        <f t="shared" si="23"/>
        <v>0</v>
      </c>
      <c r="AF225" s="108">
        <f t="shared" si="23"/>
        <v>0</v>
      </c>
      <c r="AG225" s="108">
        <f t="shared" si="23"/>
        <v>0</v>
      </c>
    </row>
    <row r="226" spans="1:33" hidden="1" x14ac:dyDescent="0.35">
      <c r="A226" s="840"/>
      <c r="L226"/>
      <c r="O226" s="95" t="s">
        <v>186</v>
      </c>
      <c r="P226" s="96"/>
      <c r="Q226" s="195">
        <f t="shared" ref="Q226:W226" si="24">$G$206+$G$207</f>
        <v>0</v>
      </c>
      <c r="R226" s="195">
        <f t="shared" si="24"/>
        <v>0</v>
      </c>
      <c r="S226" s="195">
        <f t="shared" si="24"/>
        <v>0</v>
      </c>
      <c r="T226" s="195">
        <f t="shared" si="24"/>
        <v>0</v>
      </c>
      <c r="U226" s="195">
        <f t="shared" si="24"/>
        <v>0</v>
      </c>
      <c r="V226" s="195">
        <f t="shared" si="24"/>
        <v>0</v>
      </c>
      <c r="W226" s="195">
        <f t="shared" si="24"/>
        <v>0</v>
      </c>
      <c r="Y226" s="97" t="s">
        <v>186</v>
      </c>
      <c r="Z226" s="98"/>
      <c r="AA226" s="196">
        <f t="shared" ref="AA226:AG226" si="25">$G$206+$G$207</f>
        <v>0</v>
      </c>
      <c r="AB226" s="196">
        <f t="shared" si="25"/>
        <v>0</v>
      </c>
      <c r="AC226" s="196">
        <f t="shared" si="25"/>
        <v>0</v>
      </c>
      <c r="AD226" s="196">
        <f t="shared" si="25"/>
        <v>0</v>
      </c>
      <c r="AE226" s="196">
        <f t="shared" si="25"/>
        <v>0</v>
      </c>
      <c r="AF226" s="196">
        <f t="shared" si="25"/>
        <v>0</v>
      </c>
      <c r="AG226" s="196">
        <f t="shared" si="25"/>
        <v>0</v>
      </c>
    </row>
    <row r="227" spans="1:33" hidden="1" x14ac:dyDescent="0.35">
      <c r="A227" s="840"/>
      <c r="L227"/>
      <c r="O227" s="99" t="s">
        <v>187</v>
      </c>
      <c r="P227" s="89"/>
      <c r="Q227" s="197">
        <f t="shared" ref="Q227:W227" si="26">MIN(0,-IF(OR($V$255&lt;&gt;"Y",$G$15&lt;&gt;"Y"),$G$210*$E$215,P$248*$E$215/$K$35*$G$35)-$G$211*($G$17))</f>
        <v>0</v>
      </c>
      <c r="R227" s="197">
        <f t="shared" si="26"/>
        <v>0</v>
      </c>
      <c r="S227" s="197">
        <f t="shared" si="26"/>
        <v>0</v>
      </c>
      <c r="T227" s="197">
        <f t="shared" si="26"/>
        <v>0</v>
      </c>
      <c r="U227" s="197">
        <f t="shared" si="26"/>
        <v>0</v>
      </c>
      <c r="V227" s="197">
        <f t="shared" si="26"/>
        <v>0</v>
      </c>
      <c r="W227" s="197">
        <f t="shared" si="26"/>
        <v>0</v>
      </c>
      <c r="Y227" s="100" t="s">
        <v>187</v>
      </c>
      <c r="Z227" s="90"/>
      <c r="AA227" s="198">
        <f t="shared" ref="AA227:AG227" si="27">MIN(0,-IF(OR($V$255&lt;&gt;"Y",$G$15&lt;&gt;"Y"),$G$210*$E$215,Z$248*$E$215/$K$35*$G$35)-$G$211*($G$17))</f>
        <v>0</v>
      </c>
      <c r="AB227" s="198">
        <f t="shared" si="27"/>
        <v>0</v>
      </c>
      <c r="AC227" s="198">
        <f t="shared" si="27"/>
        <v>0</v>
      </c>
      <c r="AD227" s="198">
        <f t="shared" si="27"/>
        <v>0</v>
      </c>
      <c r="AE227" s="198">
        <f t="shared" si="27"/>
        <v>0</v>
      </c>
      <c r="AF227" s="198">
        <f t="shared" si="27"/>
        <v>0</v>
      </c>
      <c r="AG227" s="198">
        <f t="shared" si="27"/>
        <v>0</v>
      </c>
    </row>
    <row r="228" spans="1:33" hidden="1" x14ac:dyDescent="0.35">
      <c r="A228" s="840"/>
      <c r="K228" s="6"/>
      <c r="L228"/>
      <c r="M228"/>
      <c r="O228" s="99" t="s">
        <v>186</v>
      </c>
      <c r="P228" s="89"/>
      <c r="Q228" s="197">
        <f t="shared" ref="Q228:W228" si="28">MAX(0,Q227+Q226-$G$208)</f>
        <v>0</v>
      </c>
      <c r="R228" s="197">
        <f t="shared" si="28"/>
        <v>0</v>
      </c>
      <c r="S228" s="197">
        <f t="shared" si="28"/>
        <v>0</v>
      </c>
      <c r="T228" s="197">
        <f t="shared" si="28"/>
        <v>0</v>
      </c>
      <c r="U228" s="197">
        <f t="shared" si="28"/>
        <v>0</v>
      </c>
      <c r="V228" s="197">
        <f t="shared" si="28"/>
        <v>0</v>
      </c>
      <c r="W228" s="197">
        <f t="shared" si="28"/>
        <v>0</v>
      </c>
      <c r="Y228" s="100" t="s">
        <v>186</v>
      </c>
      <c r="Z228" s="90"/>
      <c r="AA228" s="198">
        <f t="shared" ref="AA228:AG228" si="29">MAX(0,AA227+AA226-$G$208)</f>
        <v>0</v>
      </c>
      <c r="AB228" s="198">
        <f t="shared" si="29"/>
        <v>0</v>
      </c>
      <c r="AC228" s="198">
        <f t="shared" si="29"/>
        <v>0</v>
      </c>
      <c r="AD228" s="198">
        <f t="shared" si="29"/>
        <v>0</v>
      </c>
      <c r="AE228" s="198">
        <f t="shared" si="29"/>
        <v>0</v>
      </c>
      <c r="AF228" s="198">
        <f t="shared" si="29"/>
        <v>0</v>
      </c>
      <c r="AG228" s="198">
        <f t="shared" si="29"/>
        <v>0</v>
      </c>
    </row>
    <row r="229" spans="1:33" hidden="1" x14ac:dyDescent="0.35">
      <c r="A229" s="840"/>
      <c r="K229" s="6"/>
      <c r="L229"/>
      <c r="M229"/>
      <c r="O229" s="99" t="s">
        <v>188</v>
      </c>
      <c r="P229" s="89"/>
      <c r="Q229" s="101">
        <f t="shared" ref="Q229:W229" si="30">MAX(MIN(Q228,$P$255),0)*$Q$255+MAX(MIN(Q228,$P$256)-$P$255,0)*$Q$256+MAX(MIN(Q228,$P$257)-$P$256,0)*$Q$257+MAX(MIN(Q228,$P$258)-$P$257,0)*$Q$258+MAX(Q228-$P$258,0)*$Q$259+Q228*$Q$252</f>
        <v>0</v>
      </c>
      <c r="R229" s="101">
        <f t="shared" si="30"/>
        <v>0</v>
      </c>
      <c r="S229" s="101">
        <f t="shared" si="30"/>
        <v>0</v>
      </c>
      <c r="T229" s="101">
        <f t="shared" si="30"/>
        <v>0</v>
      </c>
      <c r="U229" s="101">
        <f t="shared" si="30"/>
        <v>0</v>
      </c>
      <c r="V229" s="101">
        <f t="shared" si="30"/>
        <v>0</v>
      </c>
      <c r="W229" s="101">
        <f t="shared" si="30"/>
        <v>0</v>
      </c>
      <c r="Y229" s="100" t="s">
        <v>188</v>
      </c>
      <c r="Z229" s="90"/>
      <c r="AA229" s="102">
        <f t="shared" ref="AA229:AG229" si="31">MAX(MIN(AA228,$P$255),0)*$Q$255+MAX(MIN(AA228,$P$256)-$P$255,0)*$Q$256+MAX(MIN(AA228,$P$257)-$P$256,0)*$Q$257+MAX(MIN(AA228,$P$258)-$P$257,0)*$Q$258+MAX(AA228-$P$258,0)*$Q$259+AA228*$Q$252</f>
        <v>0</v>
      </c>
      <c r="AB229" s="102">
        <f t="shared" si="31"/>
        <v>0</v>
      </c>
      <c r="AC229" s="102">
        <f t="shared" si="31"/>
        <v>0</v>
      </c>
      <c r="AD229" s="102">
        <f t="shared" si="31"/>
        <v>0</v>
      </c>
      <c r="AE229" s="102">
        <f t="shared" si="31"/>
        <v>0</v>
      </c>
      <c r="AF229" s="102">
        <f t="shared" si="31"/>
        <v>0</v>
      </c>
      <c r="AG229" s="102">
        <f t="shared" si="31"/>
        <v>0</v>
      </c>
    </row>
    <row r="230" spans="1:33" hidden="1" x14ac:dyDescent="0.35">
      <c r="A230" s="840"/>
      <c r="L230"/>
      <c r="M230"/>
      <c r="O230" s="103" t="s">
        <v>189</v>
      </c>
      <c r="P230" s="104"/>
      <c r="Q230" s="105">
        <f t="shared" ref="Q230:W230" si="32">Q226-Q229</f>
        <v>0</v>
      </c>
      <c r="R230" s="105">
        <f t="shared" si="32"/>
        <v>0</v>
      </c>
      <c r="S230" s="105">
        <f t="shared" si="32"/>
        <v>0</v>
      </c>
      <c r="T230" s="105">
        <f t="shared" si="32"/>
        <v>0</v>
      </c>
      <c r="U230" s="105">
        <f t="shared" si="32"/>
        <v>0</v>
      </c>
      <c r="V230" s="105">
        <f t="shared" si="32"/>
        <v>0</v>
      </c>
      <c r="W230" s="105">
        <f t="shared" si="32"/>
        <v>0</v>
      </c>
      <c r="Y230" s="106" t="s">
        <v>189</v>
      </c>
      <c r="Z230" s="107"/>
      <c r="AA230" s="108">
        <f t="shared" ref="AA230:AG230" si="33">AA226-AA229</f>
        <v>0</v>
      </c>
      <c r="AB230" s="108">
        <f t="shared" si="33"/>
        <v>0</v>
      </c>
      <c r="AC230" s="108">
        <f t="shared" si="33"/>
        <v>0</v>
      </c>
      <c r="AD230" s="108">
        <f t="shared" si="33"/>
        <v>0</v>
      </c>
      <c r="AE230" s="108">
        <f t="shared" si="33"/>
        <v>0</v>
      </c>
      <c r="AF230" s="108">
        <f t="shared" si="33"/>
        <v>0</v>
      </c>
      <c r="AG230" s="108">
        <f t="shared" si="33"/>
        <v>0</v>
      </c>
    </row>
    <row r="231" spans="1:33" hidden="1" x14ac:dyDescent="0.35">
      <c r="A231" s="840"/>
      <c r="L231"/>
      <c r="M231"/>
      <c r="O231" s="95" t="s">
        <v>190</v>
      </c>
      <c r="P231" s="96"/>
      <c r="Q231" s="195">
        <f t="shared" ref="Q231:W231" si="34">$I$206+$I$207</f>
        <v>0</v>
      </c>
      <c r="R231" s="195">
        <f t="shared" si="34"/>
        <v>0</v>
      </c>
      <c r="S231" s="195">
        <f t="shared" si="34"/>
        <v>0</v>
      </c>
      <c r="T231" s="195">
        <f t="shared" si="34"/>
        <v>0</v>
      </c>
      <c r="U231" s="195">
        <f t="shared" si="34"/>
        <v>0</v>
      </c>
      <c r="V231" s="195">
        <f t="shared" si="34"/>
        <v>0</v>
      </c>
      <c r="W231" s="195">
        <f t="shared" si="34"/>
        <v>0</v>
      </c>
      <c r="Y231" s="97" t="s">
        <v>190</v>
      </c>
      <c r="Z231" s="98"/>
      <c r="AA231" s="196">
        <f t="shared" ref="AA231:AG231" si="35">$I$206+$I$207</f>
        <v>0</v>
      </c>
      <c r="AB231" s="196">
        <f t="shared" si="35"/>
        <v>0</v>
      </c>
      <c r="AC231" s="196">
        <f t="shared" si="35"/>
        <v>0</v>
      </c>
      <c r="AD231" s="196">
        <f t="shared" si="35"/>
        <v>0</v>
      </c>
      <c r="AE231" s="196">
        <f t="shared" si="35"/>
        <v>0</v>
      </c>
      <c r="AF231" s="196">
        <f t="shared" si="35"/>
        <v>0</v>
      </c>
      <c r="AG231" s="196">
        <f t="shared" si="35"/>
        <v>0</v>
      </c>
    </row>
    <row r="232" spans="1:33" hidden="1" x14ac:dyDescent="0.35">
      <c r="A232" s="840"/>
      <c r="L232"/>
      <c r="M232"/>
      <c r="O232" s="99" t="s">
        <v>191</v>
      </c>
      <c r="P232" s="89"/>
      <c r="Q232" s="197">
        <f t="shared" ref="Q232:W232" si="36">MIN(0,-IF(OR($V$255&lt;&gt;"Y",$G$15&lt;&gt;"Y"),$I$210*$E$215,P$248*$E$215/$K$35*$I$35)-$I$211*($G$17))</f>
        <v>0</v>
      </c>
      <c r="R232" s="197">
        <f t="shared" si="36"/>
        <v>0</v>
      </c>
      <c r="S232" s="197">
        <f t="shared" si="36"/>
        <v>0</v>
      </c>
      <c r="T232" s="197">
        <f t="shared" si="36"/>
        <v>0</v>
      </c>
      <c r="U232" s="197">
        <f t="shared" si="36"/>
        <v>0</v>
      </c>
      <c r="V232" s="197">
        <f t="shared" si="36"/>
        <v>0</v>
      </c>
      <c r="W232" s="197">
        <f t="shared" si="36"/>
        <v>0</v>
      </c>
      <c r="Y232" s="100" t="s">
        <v>191</v>
      </c>
      <c r="Z232" s="90"/>
      <c r="AA232" s="198">
        <f t="shared" ref="AA232:AG232" si="37">MIN(0,-IF(OR($V$255&lt;&gt;"Y",$G$15&lt;&gt;"Y"),$I$210*$E$215,Z$248*$E$215/$K$35*$I$35)-$I$211*($G$17))</f>
        <v>0</v>
      </c>
      <c r="AB232" s="198">
        <f t="shared" si="37"/>
        <v>0</v>
      </c>
      <c r="AC232" s="198">
        <f t="shared" si="37"/>
        <v>0</v>
      </c>
      <c r="AD232" s="198">
        <f t="shared" si="37"/>
        <v>0</v>
      </c>
      <c r="AE232" s="198">
        <f t="shared" si="37"/>
        <v>0</v>
      </c>
      <c r="AF232" s="198">
        <f t="shared" si="37"/>
        <v>0</v>
      </c>
      <c r="AG232" s="198">
        <f t="shared" si="37"/>
        <v>0</v>
      </c>
    </row>
    <row r="233" spans="1:33" hidden="1" x14ac:dyDescent="0.35">
      <c r="A233" s="840"/>
      <c r="L233"/>
      <c r="M233"/>
      <c r="N233" s="6"/>
      <c r="O233" s="99" t="s">
        <v>190</v>
      </c>
      <c r="P233" s="89"/>
      <c r="Q233" s="197">
        <f t="shared" ref="Q233:W233" si="38">MAX(0,Q232+Q231-$I$208)</f>
        <v>0</v>
      </c>
      <c r="R233" s="197">
        <f t="shared" si="38"/>
        <v>0</v>
      </c>
      <c r="S233" s="197">
        <f t="shared" si="38"/>
        <v>0</v>
      </c>
      <c r="T233" s="197">
        <f t="shared" si="38"/>
        <v>0</v>
      </c>
      <c r="U233" s="197">
        <f t="shared" si="38"/>
        <v>0</v>
      </c>
      <c r="V233" s="197">
        <f t="shared" si="38"/>
        <v>0</v>
      </c>
      <c r="W233" s="197">
        <f t="shared" si="38"/>
        <v>0</v>
      </c>
      <c r="Y233" s="100" t="s">
        <v>190</v>
      </c>
      <c r="Z233" s="90"/>
      <c r="AA233" s="198">
        <f t="shared" ref="AA233:AG233" si="39">MAX(0,AA232+AA231-$I$208)</f>
        <v>0</v>
      </c>
      <c r="AB233" s="198">
        <f t="shared" si="39"/>
        <v>0</v>
      </c>
      <c r="AC233" s="198">
        <f t="shared" si="39"/>
        <v>0</v>
      </c>
      <c r="AD233" s="198">
        <f t="shared" si="39"/>
        <v>0</v>
      </c>
      <c r="AE233" s="198">
        <f t="shared" si="39"/>
        <v>0</v>
      </c>
      <c r="AF233" s="198">
        <f t="shared" si="39"/>
        <v>0</v>
      </c>
      <c r="AG233" s="198">
        <f t="shared" si="39"/>
        <v>0</v>
      </c>
    </row>
    <row r="234" spans="1:33" hidden="1" x14ac:dyDescent="0.35">
      <c r="A234" s="840"/>
      <c r="L234"/>
      <c r="M234"/>
      <c r="N234" s="6"/>
      <c r="O234" s="99" t="s">
        <v>192</v>
      </c>
      <c r="P234" s="89"/>
      <c r="Q234" s="101">
        <f t="shared" ref="Q234:W234" si="40">MAX(MIN(Q233,$P$255),0)*$Q$255+MAX(MIN(Q233,$P$256)-$P$255,0)*$Q$256+MAX(MIN(Q233,$P$257)-$P$256,0)*$Q$257+MAX(MIN(Q233,$P$258)-$P$257,0)*$Q$258+MAX(Q233-$P$258,0)*$Q$259+Q233*$Q$252</f>
        <v>0</v>
      </c>
      <c r="R234" s="101">
        <f t="shared" si="40"/>
        <v>0</v>
      </c>
      <c r="S234" s="101">
        <f t="shared" si="40"/>
        <v>0</v>
      </c>
      <c r="T234" s="101">
        <f t="shared" si="40"/>
        <v>0</v>
      </c>
      <c r="U234" s="101">
        <f t="shared" si="40"/>
        <v>0</v>
      </c>
      <c r="V234" s="101">
        <f t="shared" si="40"/>
        <v>0</v>
      </c>
      <c r="W234" s="101">
        <f t="shared" si="40"/>
        <v>0</v>
      </c>
      <c r="Y234" s="100" t="s">
        <v>192</v>
      </c>
      <c r="Z234" s="90"/>
      <c r="AA234" s="102">
        <f t="shared" ref="AA234:AG234" si="41">MAX(MIN(AA233,$P$255),0)*$Q$255+MAX(MIN(AA233,$P$256)-$P$255,0)*$Q$256+MAX(MIN(AA233,$P$257)-$P$256,0)*$Q$257+MAX(MIN(AA233,$P$258)-$P$257,0)*$Q$258+MAX(AA233-$P$258,0)*$Q$259+AA233*$Q$252</f>
        <v>0</v>
      </c>
      <c r="AB234" s="102">
        <f t="shared" si="41"/>
        <v>0</v>
      </c>
      <c r="AC234" s="102">
        <f t="shared" si="41"/>
        <v>0</v>
      </c>
      <c r="AD234" s="102">
        <f t="shared" si="41"/>
        <v>0</v>
      </c>
      <c r="AE234" s="102">
        <f t="shared" si="41"/>
        <v>0</v>
      </c>
      <c r="AF234" s="102">
        <f t="shared" si="41"/>
        <v>0</v>
      </c>
      <c r="AG234" s="102">
        <f t="shared" si="41"/>
        <v>0</v>
      </c>
    </row>
    <row r="235" spans="1:33" hidden="1" x14ac:dyDescent="0.35">
      <c r="A235" s="840"/>
      <c r="L235"/>
      <c r="M235"/>
      <c r="N235" s="6"/>
      <c r="O235" s="103" t="s">
        <v>193</v>
      </c>
      <c r="P235" s="104"/>
      <c r="Q235" s="105">
        <f t="shared" ref="Q235:W235" si="42">Q231-Q234</f>
        <v>0</v>
      </c>
      <c r="R235" s="105">
        <f t="shared" si="42"/>
        <v>0</v>
      </c>
      <c r="S235" s="105">
        <f t="shared" si="42"/>
        <v>0</v>
      </c>
      <c r="T235" s="105">
        <f t="shared" si="42"/>
        <v>0</v>
      </c>
      <c r="U235" s="105">
        <f t="shared" si="42"/>
        <v>0</v>
      </c>
      <c r="V235" s="105">
        <f t="shared" si="42"/>
        <v>0</v>
      </c>
      <c r="W235" s="105">
        <f t="shared" si="42"/>
        <v>0</v>
      </c>
      <c r="Y235" s="106" t="s">
        <v>193</v>
      </c>
      <c r="Z235" s="107"/>
      <c r="AA235" s="108">
        <f t="shared" ref="AA235:AG235" si="43">AA231-AA234</f>
        <v>0</v>
      </c>
      <c r="AB235" s="108">
        <f t="shared" si="43"/>
        <v>0</v>
      </c>
      <c r="AC235" s="108">
        <f t="shared" si="43"/>
        <v>0</v>
      </c>
      <c r="AD235" s="108">
        <f t="shared" si="43"/>
        <v>0</v>
      </c>
      <c r="AE235" s="108">
        <f t="shared" si="43"/>
        <v>0</v>
      </c>
      <c r="AF235" s="108">
        <f t="shared" si="43"/>
        <v>0</v>
      </c>
      <c r="AG235" s="108">
        <f t="shared" si="43"/>
        <v>0</v>
      </c>
    </row>
    <row r="236" spans="1:33" hidden="1" x14ac:dyDescent="0.35">
      <c r="A236" s="840"/>
      <c r="L236"/>
      <c r="M236"/>
      <c r="N236" s="6"/>
      <c r="O236" s="89"/>
      <c r="P236" s="89"/>
      <c r="Q236" s="89"/>
      <c r="R236" s="89"/>
      <c r="S236" s="89"/>
      <c r="T236" s="89"/>
      <c r="U236" s="89"/>
      <c r="V236" s="89"/>
      <c r="W236" s="89"/>
      <c r="Y236" s="90"/>
      <c r="Z236" s="90"/>
      <c r="AA236" s="90"/>
      <c r="AB236" s="90"/>
      <c r="AC236" s="90"/>
      <c r="AD236" s="90"/>
      <c r="AE236" s="90"/>
      <c r="AF236" s="90"/>
      <c r="AG236" s="90"/>
    </row>
    <row r="237" spans="1:33" hidden="1" x14ac:dyDescent="0.35">
      <c r="A237" s="840"/>
      <c r="L237"/>
      <c r="M237"/>
      <c r="N237" s="6"/>
      <c r="O237" s="89"/>
      <c r="P237" s="89"/>
      <c r="Q237" s="89"/>
      <c r="R237" s="89"/>
      <c r="S237" s="89"/>
      <c r="T237" s="89"/>
      <c r="U237" s="89"/>
      <c r="V237" s="89"/>
      <c r="W237" s="89"/>
      <c r="Y237" s="90"/>
      <c r="Z237" s="90"/>
      <c r="AA237" s="90"/>
      <c r="AB237" s="90"/>
      <c r="AC237" s="90"/>
      <c r="AD237" s="90"/>
      <c r="AE237" s="90"/>
      <c r="AF237" s="90"/>
      <c r="AG237" s="90"/>
    </row>
    <row r="238" spans="1:33" hidden="1" x14ac:dyDescent="0.35">
      <c r="A238" s="840"/>
      <c r="L238"/>
      <c r="M238"/>
      <c r="N238" s="6"/>
      <c r="O238" s="89" t="s">
        <v>175</v>
      </c>
      <c r="P238" s="89"/>
      <c r="Q238" s="199">
        <f t="shared" ref="Q238:W238" si="44">(PMT($E$215/12,$C$140*12,P248*-1))*12</f>
        <v>0</v>
      </c>
      <c r="R238" s="199">
        <f t="shared" si="44"/>
        <v>0</v>
      </c>
      <c r="S238" s="199">
        <f t="shared" si="44"/>
        <v>0</v>
      </c>
      <c r="T238" s="199">
        <f t="shared" si="44"/>
        <v>0</v>
      </c>
      <c r="U238" s="199">
        <f t="shared" si="44"/>
        <v>0</v>
      </c>
      <c r="V238" s="199">
        <f t="shared" si="44"/>
        <v>0</v>
      </c>
      <c r="W238" s="199">
        <f t="shared" si="44"/>
        <v>0</v>
      </c>
      <c r="Y238" s="90" t="s">
        <v>175</v>
      </c>
      <c r="Z238" s="90"/>
      <c r="AA238" s="200">
        <f t="shared" ref="AA238:AG238" si="45">(PMT($E$215/12,$C$140*12,Z248*-1))*12</f>
        <v>0</v>
      </c>
      <c r="AB238" s="200">
        <f t="shared" si="45"/>
        <v>0</v>
      </c>
      <c r="AC238" s="200">
        <f t="shared" si="45"/>
        <v>0</v>
      </c>
      <c r="AD238" s="200">
        <f t="shared" si="45"/>
        <v>0</v>
      </c>
      <c r="AE238" s="200">
        <f t="shared" si="45"/>
        <v>0</v>
      </c>
      <c r="AF238" s="200">
        <f t="shared" si="45"/>
        <v>0</v>
      </c>
      <c r="AG238" s="200">
        <f t="shared" si="45"/>
        <v>0</v>
      </c>
    </row>
    <row r="239" spans="1:33" hidden="1" x14ac:dyDescent="0.35">
      <c r="A239" s="840"/>
      <c r="L239"/>
      <c r="M239"/>
      <c r="N239" s="6"/>
      <c r="O239" s="89" t="s">
        <v>194</v>
      </c>
      <c r="P239" s="89"/>
      <c r="Q239" s="199">
        <f>Q220+Q225+Q230+Q235-K42</f>
        <v>0</v>
      </c>
      <c r="R239" s="199">
        <f>R220+R225+R230+R235-K47</f>
        <v>0</v>
      </c>
      <c r="S239" s="199">
        <f>S220+S225+S230+S235-K52</f>
        <v>0</v>
      </c>
      <c r="T239" s="199">
        <f>T220+T225+T230+T235-K57</f>
        <v>0</v>
      </c>
      <c r="U239" s="199">
        <f>U220+U225+U230+U235-K62</f>
        <v>0</v>
      </c>
      <c r="V239" s="199">
        <f>V220+V225+V230+V235-K67</f>
        <v>0</v>
      </c>
      <c r="W239" s="199">
        <f>W220+W225+W230+W235-K72</f>
        <v>0</v>
      </c>
      <c r="Y239" s="90" t="s">
        <v>194</v>
      </c>
      <c r="Z239" s="90"/>
      <c r="AA239" s="200">
        <f>AA220+AA225+AA230+AA235-K78</f>
        <v>0</v>
      </c>
      <c r="AB239" s="200">
        <f>AB220+AB225+AB230+AB235-K83</f>
        <v>0</v>
      </c>
      <c r="AC239" s="200">
        <f>AC220+AC225+AC230+AC235-K88</f>
        <v>0</v>
      </c>
      <c r="AD239" s="200">
        <f>AD220+AD225+AD230+AD235-K93</f>
        <v>0</v>
      </c>
      <c r="AE239" s="200">
        <f>AE220+AE225+AE230+AE235-K98</f>
        <v>0</v>
      </c>
      <c r="AF239" s="200">
        <f>AF220+AF225+AF230+AF235-K103</f>
        <v>0</v>
      </c>
      <c r="AG239" s="200">
        <f>AG220+AG225+AG230+AG235-K108</f>
        <v>0</v>
      </c>
    </row>
    <row r="240" spans="1:33" hidden="1" x14ac:dyDescent="0.35">
      <c r="A240" s="840"/>
      <c r="L240"/>
      <c r="M240"/>
      <c r="N240" s="6"/>
      <c r="O240" s="89" t="s">
        <v>195</v>
      </c>
      <c r="P240" s="89"/>
      <c r="Q240" s="111">
        <f t="shared" ref="Q240:W240" si="46">SUM($K$143,$K$145,$K$161,$K$162,$K$163)+Q238</f>
        <v>0</v>
      </c>
      <c r="R240" s="111">
        <f t="shared" si="46"/>
        <v>0</v>
      </c>
      <c r="S240" s="111">
        <f t="shared" si="46"/>
        <v>0</v>
      </c>
      <c r="T240" s="111">
        <f t="shared" si="46"/>
        <v>0</v>
      </c>
      <c r="U240" s="111">
        <f t="shared" si="46"/>
        <v>0</v>
      </c>
      <c r="V240" s="111">
        <f t="shared" si="46"/>
        <v>0</v>
      </c>
      <c r="W240" s="111">
        <f t="shared" si="46"/>
        <v>0</v>
      </c>
      <c r="Y240" s="90" t="s">
        <v>195</v>
      </c>
      <c r="Z240" s="90"/>
      <c r="AA240" s="112">
        <f t="shared" ref="AA240:AG240" si="47">SUM($K$143,$K$145,$K$161,$K$162,$K$163)+AA238</f>
        <v>0</v>
      </c>
      <c r="AB240" s="112">
        <f t="shared" si="47"/>
        <v>0</v>
      </c>
      <c r="AC240" s="112">
        <f t="shared" si="47"/>
        <v>0</v>
      </c>
      <c r="AD240" s="112">
        <f t="shared" si="47"/>
        <v>0</v>
      </c>
      <c r="AE240" s="112">
        <f t="shared" si="47"/>
        <v>0</v>
      </c>
      <c r="AF240" s="112">
        <f t="shared" si="47"/>
        <v>0</v>
      </c>
      <c r="AG240" s="112">
        <f t="shared" si="47"/>
        <v>0</v>
      </c>
    </row>
    <row r="241" spans="1:33" hidden="1" x14ac:dyDescent="0.35">
      <c r="A241" s="840"/>
      <c r="L241"/>
      <c r="M241"/>
      <c r="N241" s="6"/>
      <c r="O241" s="89"/>
      <c r="P241" s="89"/>
      <c r="Q241" s="89"/>
      <c r="R241" s="89"/>
      <c r="S241" s="89"/>
      <c r="T241" s="89"/>
      <c r="U241" s="89"/>
      <c r="V241" s="89"/>
      <c r="W241" s="89"/>
      <c r="Y241" s="90"/>
      <c r="Z241" s="90"/>
      <c r="AA241" s="90"/>
      <c r="AB241" s="90"/>
      <c r="AC241" s="90"/>
      <c r="AD241" s="90"/>
      <c r="AE241" s="90"/>
      <c r="AF241" s="90"/>
      <c r="AG241" s="90"/>
    </row>
    <row r="242" spans="1:33" hidden="1" x14ac:dyDescent="0.35">
      <c r="A242" s="840"/>
      <c r="L242"/>
      <c r="M242"/>
      <c r="N242" s="6"/>
      <c r="O242" s="89"/>
      <c r="P242" s="89"/>
      <c r="Q242" s="89"/>
      <c r="R242" s="89"/>
      <c r="S242" s="89"/>
      <c r="T242" s="89"/>
      <c r="U242" s="89"/>
      <c r="V242" s="89"/>
      <c r="W242" s="89"/>
      <c r="Y242" s="90"/>
      <c r="Z242" s="90"/>
      <c r="AA242" s="90"/>
      <c r="AB242" s="90"/>
      <c r="AC242" s="90"/>
      <c r="AD242" s="90"/>
      <c r="AE242" s="90"/>
      <c r="AF242" s="90"/>
      <c r="AG242" s="90"/>
    </row>
    <row r="243" spans="1:33" ht="12.75" hidden="1" customHeight="1" x14ac:dyDescent="0.35">
      <c r="A243" s="840"/>
      <c r="L243"/>
      <c r="M243"/>
      <c r="N243" s="6"/>
      <c r="O243" s="89" t="s">
        <v>73</v>
      </c>
      <c r="P243" s="89"/>
      <c r="Q243" s="113" t="e">
        <f t="shared" ref="Q243:W243" si="48">Q239/Q240</f>
        <v>#DIV/0!</v>
      </c>
      <c r="R243" s="113" t="e">
        <f t="shared" si="48"/>
        <v>#DIV/0!</v>
      </c>
      <c r="S243" s="113" t="e">
        <f t="shared" si="48"/>
        <v>#DIV/0!</v>
      </c>
      <c r="T243" s="113" t="e">
        <f t="shared" si="48"/>
        <v>#DIV/0!</v>
      </c>
      <c r="U243" s="113" t="e">
        <f t="shared" si="48"/>
        <v>#DIV/0!</v>
      </c>
      <c r="V243" s="113" t="e">
        <f t="shared" si="48"/>
        <v>#DIV/0!</v>
      </c>
      <c r="W243" s="113" t="e">
        <f t="shared" si="48"/>
        <v>#DIV/0!</v>
      </c>
      <c r="Y243" s="90" t="s">
        <v>73</v>
      </c>
      <c r="Z243" s="90"/>
      <c r="AA243" s="114" t="e">
        <f t="shared" ref="AA243:AG243" si="49">AA239/AA240</f>
        <v>#DIV/0!</v>
      </c>
      <c r="AB243" s="114" t="e">
        <f t="shared" si="49"/>
        <v>#DIV/0!</v>
      </c>
      <c r="AC243" s="114" t="e">
        <f t="shared" si="49"/>
        <v>#DIV/0!</v>
      </c>
      <c r="AD243" s="114" t="e">
        <f t="shared" si="49"/>
        <v>#DIV/0!</v>
      </c>
      <c r="AE243" s="114" t="e">
        <f t="shared" si="49"/>
        <v>#DIV/0!</v>
      </c>
      <c r="AF243" s="114" t="e">
        <f t="shared" si="49"/>
        <v>#DIV/0!</v>
      </c>
      <c r="AG243" s="114" t="e">
        <f t="shared" si="49"/>
        <v>#DIV/0!</v>
      </c>
    </row>
    <row r="244" spans="1:33" hidden="1" x14ac:dyDescent="0.35">
      <c r="A244" s="840"/>
      <c r="L244"/>
      <c r="M244"/>
      <c r="N244" s="6"/>
      <c r="O244" s="89"/>
      <c r="P244" s="89"/>
      <c r="Q244" s="89"/>
      <c r="R244" s="89"/>
      <c r="S244" s="89"/>
      <c r="T244" s="89"/>
      <c r="U244" s="89"/>
      <c r="V244" s="89"/>
      <c r="W244" s="89"/>
      <c r="Y244" s="90"/>
      <c r="Z244" s="90"/>
      <c r="AA244" s="90"/>
      <c r="AB244" s="90"/>
      <c r="AC244" s="90"/>
      <c r="AD244" s="90"/>
      <c r="AE244" s="90"/>
      <c r="AF244" s="90"/>
      <c r="AG244" s="90"/>
    </row>
    <row r="245" spans="1:33" hidden="1" x14ac:dyDescent="0.35">
      <c r="A245" s="840"/>
      <c r="L245"/>
      <c r="M245"/>
      <c r="N245" s="6"/>
      <c r="O245" s="89"/>
      <c r="P245" s="89"/>
      <c r="Q245" s="89"/>
      <c r="R245" s="89"/>
      <c r="S245" s="89"/>
      <c r="T245" s="89"/>
      <c r="U245" s="89"/>
      <c r="V245" s="89"/>
      <c r="W245" s="89"/>
      <c r="Y245" s="90"/>
      <c r="Z245" s="90"/>
      <c r="AA245" s="90"/>
      <c r="AB245" s="90"/>
      <c r="AC245" s="90"/>
      <c r="AD245" s="90"/>
      <c r="AE245" s="90"/>
      <c r="AF245" s="90"/>
      <c r="AG245" s="90"/>
    </row>
    <row r="246" spans="1:33" hidden="1" x14ac:dyDescent="0.35">
      <c r="A246" s="840"/>
      <c r="L246"/>
      <c r="M246"/>
      <c r="N246" s="6"/>
      <c r="O246" s="89"/>
      <c r="P246" s="89"/>
      <c r="Q246" s="89"/>
      <c r="R246" s="89"/>
      <c r="S246" s="89"/>
      <c r="T246" s="89"/>
      <c r="U246" s="89"/>
      <c r="V246" s="89"/>
      <c r="W246" s="89"/>
      <c r="Y246" s="90"/>
      <c r="Z246" s="90"/>
      <c r="AA246" s="90"/>
      <c r="AB246" s="90"/>
      <c r="AC246" s="90"/>
      <c r="AD246" s="90"/>
      <c r="AE246" s="90"/>
      <c r="AF246" s="90"/>
      <c r="AG246" s="90"/>
    </row>
    <row r="247" spans="1:33" ht="13.15" hidden="1" thickBot="1" x14ac:dyDescent="0.4">
      <c r="A247" s="840"/>
      <c r="L247"/>
      <c r="M247"/>
      <c r="N247" s="6"/>
      <c r="O247" s="89"/>
      <c r="P247" s="89"/>
      <c r="Q247" s="89"/>
      <c r="R247" s="89"/>
      <c r="S247" s="89"/>
      <c r="T247" s="89"/>
      <c r="U247" s="89"/>
      <c r="V247" s="89"/>
      <c r="W247" s="89"/>
      <c r="Y247" s="90"/>
      <c r="Z247" s="90"/>
      <c r="AA247" s="90"/>
      <c r="AB247" s="90"/>
      <c r="AC247" s="90"/>
      <c r="AD247" s="90"/>
      <c r="AE247" s="90"/>
      <c r="AF247" s="90"/>
      <c r="AG247" s="90"/>
    </row>
    <row r="248" spans="1:33" ht="13.15" hidden="1" thickBot="1" x14ac:dyDescent="0.4">
      <c r="A248" s="840"/>
      <c r="L248"/>
      <c r="M248"/>
      <c r="N248" s="6"/>
      <c r="O248" s="1180" t="s">
        <v>180</v>
      </c>
      <c r="P248" s="1181">
        <f>-PV($E$215/12,360,($K$217/$O$250-$K$218+$K$216)/12,,0)</f>
        <v>0</v>
      </c>
      <c r="Q248" s="1181">
        <f t="shared" ref="Q248:V248" si="50">-PV($E$215/12,360,(Q239/$O$250-Q240+Q238)/12,,0)</f>
        <v>0</v>
      </c>
      <c r="R248" s="1181">
        <f t="shared" si="50"/>
        <v>0</v>
      </c>
      <c r="S248" s="1181">
        <f t="shared" si="50"/>
        <v>0</v>
      </c>
      <c r="T248" s="1181">
        <f t="shared" si="50"/>
        <v>0</v>
      </c>
      <c r="U248" s="1181">
        <f t="shared" si="50"/>
        <v>0</v>
      </c>
      <c r="V248" s="1181">
        <f t="shared" si="50"/>
        <v>0</v>
      </c>
      <c r="W248" s="1181">
        <f>INT(-PV($E$215/12,360,(W239/$O$250-W240+W238)/12,,0)/1000)*1000</f>
        <v>0</v>
      </c>
      <c r="Y248" s="1182" t="s">
        <v>180</v>
      </c>
      <c r="Z248" s="1183">
        <f>-PV($E$215/12,360,($K$217/$Y$250-$K$218+$K$216)/12,,0)</f>
        <v>0</v>
      </c>
      <c r="AA248" s="1183">
        <f t="shared" ref="AA248:AF248" si="51">-PV($E$215/12,360,($AA$239/$Y$250-$AA$240+$AA$238)/12,,0)</f>
        <v>0</v>
      </c>
      <c r="AB248" s="1183">
        <f t="shared" si="51"/>
        <v>0</v>
      </c>
      <c r="AC248" s="1183">
        <f t="shared" si="51"/>
        <v>0</v>
      </c>
      <c r="AD248" s="1183">
        <f t="shared" si="51"/>
        <v>0</v>
      </c>
      <c r="AE248" s="1183">
        <f t="shared" si="51"/>
        <v>0</v>
      </c>
      <c r="AF248" s="1183">
        <f t="shared" si="51"/>
        <v>0</v>
      </c>
      <c r="AG248" s="1183">
        <f>INT(-PV($E$215/12,360,(AG239/$Y$250-AG240+AG238)/12,,0)/1000)*1000</f>
        <v>0</v>
      </c>
    </row>
    <row r="249" spans="1:33" hidden="1" x14ac:dyDescent="0.35">
      <c r="A249" s="840"/>
      <c r="L249"/>
      <c r="M249"/>
      <c r="N249" s="6"/>
      <c r="O249" s="115" t="str">
        <f>"NSR "&amp;O250</f>
        <v>NSR 1</v>
      </c>
      <c r="P249" s="89"/>
      <c r="Q249" s="89"/>
      <c r="R249" s="89"/>
      <c r="S249" s="89"/>
      <c r="T249" s="89"/>
      <c r="U249" s="89"/>
      <c r="V249" s="89"/>
      <c r="W249" s="89"/>
      <c r="Y249" s="116" t="str">
        <f>"NSR "&amp;Y250</f>
        <v>NSR 1.1</v>
      </c>
      <c r="Z249" s="90"/>
      <c r="AA249" s="90"/>
      <c r="AB249" s="90"/>
      <c r="AC249" s="90"/>
      <c r="AD249" s="90"/>
      <c r="AE249" s="90"/>
      <c r="AF249" s="90"/>
      <c r="AG249" s="90"/>
    </row>
    <row r="250" spans="1:33" hidden="1" x14ac:dyDescent="0.35">
      <c r="A250" s="840"/>
      <c r="L250"/>
      <c r="M250"/>
      <c r="N250" s="6"/>
      <c r="O250" s="117">
        <v>1</v>
      </c>
      <c r="P250" s="89"/>
      <c r="Q250" s="89"/>
      <c r="R250" s="89"/>
      <c r="S250" s="89"/>
      <c r="T250" s="89"/>
      <c r="U250" s="89"/>
      <c r="V250" s="89"/>
      <c r="W250" s="89"/>
      <c r="Y250" s="117">
        <v>1.1000000000000001</v>
      </c>
      <c r="Z250" s="90"/>
      <c r="AA250" s="90"/>
      <c r="AB250" s="90"/>
      <c r="AC250" s="90"/>
      <c r="AD250" s="90"/>
      <c r="AE250" s="90"/>
      <c r="AF250" s="90"/>
      <c r="AG250" s="90"/>
    </row>
    <row r="251" spans="1:33" ht="13.15" hidden="1" thickBot="1" x14ac:dyDescent="0.4">
      <c r="A251" s="840"/>
      <c r="L251"/>
      <c r="M251"/>
      <c r="N251" s="6"/>
      <c r="O251" s="89"/>
      <c r="P251" s="89"/>
      <c r="Q251" s="89"/>
      <c r="R251" s="89"/>
      <c r="S251" s="89"/>
      <c r="T251" s="89"/>
      <c r="U251" s="89"/>
      <c r="V251" s="89"/>
      <c r="W251" s="89"/>
      <c r="Y251" s="90"/>
      <c r="Z251" s="90"/>
      <c r="AA251" s="90"/>
      <c r="AB251" s="90"/>
      <c r="AC251" s="90"/>
      <c r="AD251" s="90"/>
      <c r="AE251" s="90"/>
      <c r="AF251" s="90"/>
      <c r="AG251" s="90"/>
    </row>
    <row r="252" spans="1:33" ht="13.5" hidden="1" thickBot="1" x14ac:dyDescent="0.45">
      <c r="A252" s="840"/>
      <c r="L252"/>
      <c r="M252"/>
      <c r="N252" s="6"/>
      <c r="O252" s="89" t="s">
        <v>264</v>
      </c>
      <c r="P252" s="89"/>
      <c r="Q252" s="126">
        <v>1.4999999999999999E-2</v>
      </c>
      <c r="R252" s="1307" t="s">
        <v>265</v>
      </c>
      <c r="S252" s="1307"/>
      <c r="T252" s="1308"/>
      <c r="U252" s="119">
        <v>750000</v>
      </c>
      <c r="V252" s="120" t="s">
        <v>200</v>
      </c>
      <c r="W252" s="89" t="s">
        <v>266</v>
      </c>
      <c r="Y252" s="90"/>
      <c r="Z252" s="90"/>
      <c r="AA252" s="90"/>
      <c r="AB252" s="90"/>
      <c r="AC252" s="90"/>
      <c r="AD252" s="90"/>
      <c r="AE252" s="90"/>
      <c r="AF252" s="90"/>
      <c r="AG252" s="90"/>
    </row>
    <row r="253" spans="1:33" ht="13.15" hidden="1" x14ac:dyDescent="0.4">
      <c r="A253" s="840"/>
      <c r="L253"/>
      <c r="M253"/>
      <c r="N253" s="6"/>
      <c r="O253" s="118" t="s">
        <v>196</v>
      </c>
      <c r="P253" s="89"/>
      <c r="Q253" s="89"/>
      <c r="R253" s="89"/>
      <c r="S253" s="89"/>
      <c r="T253" s="89"/>
      <c r="U253" s="89"/>
      <c r="V253" s="89"/>
      <c r="W253" s="89"/>
    </row>
    <row r="254" spans="1:33" ht="13.5" hidden="1" customHeight="1" thickBot="1" x14ac:dyDescent="0.4">
      <c r="A254" s="840"/>
      <c r="L254"/>
      <c r="M254"/>
      <c r="N254" s="6"/>
      <c r="O254" s="1184" t="s">
        <v>197</v>
      </c>
      <c r="P254" s="1185"/>
      <c r="Q254" s="1186" t="s">
        <v>198</v>
      </c>
      <c r="R254" s="1305" t="s">
        <v>199</v>
      </c>
      <c r="S254" s="1306"/>
      <c r="T254" s="1306"/>
      <c r="U254" s="1306"/>
      <c r="V254" s="89"/>
      <c r="W254" s="89"/>
    </row>
    <row r="255" spans="1:33" ht="13.5" hidden="1" thickBot="1" x14ac:dyDescent="0.45">
      <c r="A255" s="840"/>
      <c r="L255"/>
      <c r="M255"/>
      <c r="N255" s="6"/>
      <c r="O255" s="1187">
        <f>References!B15</f>
        <v>0</v>
      </c>
      <c r="P255" s="1187">
        <f>References!C15</f>
        <v>18200</v>
      </c>
      <c r="Q255" s="1188">
        <f>References!D15</f>
        <v>0</v>
      </c>
      <c r="R255" s="1305"/>
      <c r="S255" s="1306"/>
      <c r="T255" s="1306"/>
      <c r="U255" s="1306"/>
      <c r="V255" s="120" t="s">
        <v>200</v>
      </c>
      <c r="W255" s="89"/>
    </row>
    <row r="256" spans="1:33" hidden="1" x14ac:dyDescent="0.35">
      <c r="A256" s="840"/>
      <c r="L256"/>
      <c r="M256"/>
      <c r="N256" s="6"/>
      <c r="O256" s="1187">
        <f>References!B16</f>
        <v>18201</v>
      </c>
      <c r="P256" s="1187">
        <f>References!C16</f>
        <v>45000</v>
      </c>
      <c r="Q256" s="1188">
        <f>References!D16</f>
        <v>0.16</v>
      </c>
      <c r="R256" s="1305"/>
      <c r="S256" s="1306"/>
      <c r="T256" s="1306"/>
      <c r="U256" s="1306"/>
      <c r="V256" s="89"/>
      <c r="W256" s="89"/>
    </row>
    <row r="257" spans="1:23" ht="13.15" hidden="1" thickBot="1" x14ac:dyDescent="0.4">
      <c r="A257" s="840"/>
      <c r="L257"/>
      <c r="M257"/>
      <c r="N257" s="6"/>
      <c r="O257" s="1187">
        <f>References!B17</f>
        <v>45001</v>
      </c>
      <c r="P257" s="1187">
        <f>References!C17</f>
        <v>135000</v>
      </c>
      <c r="Q257" s="1188">
        <f>References!D17</f>
        <v>0.3</v>
      </c>
      <c r="R257" s="89"/>
      <c r="S257" s="89"/>
      <c r="T257" s="89"/>
      <c r="U257" s="89"/>
      <c r="V257" s="89"/>
      <c r="W257" s="89"/>
    </row>
    <row r="258" spans="1:23" ht="13.5" hidden="1" thickBot="1" x14ac:dyDescent="0.45">
      <c r="A258" s="840"/>
      <c r="L258"/>
      <c r="M258"/>
      <c r="N258" s="6"/>
      <c r="O258" s="1187">
        <f>References!B18</f>
        <v>135001</v>
      </c>
      <c r="P258" s="1187">
        <f>References!C18</f>
        <v>190000</v>
      </c>
      <c r="Q258" s="1188">
        <f>References!D18</f>
        <v>0.37</v>
      </c>
      <c r="R258" s="1302" t="s">
        <v>267</v>
      </c>
      <c r="S258" s="1303"/>
      <c r="T258" s="1303"/>
      <c r="U258" s="1304"/>
      <c r="V258" s="121">
        <f>IF(V252="Y",IF(W248&gt;U252,MAX(AG248,U252),W248),W248)</f>
        <v>0</v>
      </c>
      <c r="W258" s="89"/>
    </row>
    <row r="259" spans="1:23" hidden="1" x14ac:dyDescent="0.35">
      <c r="A259" s="840"/>
      <c r="L259"/>
      <c r="M259"/>
      <c r="N259" s="6"/>
      <c r="O259" s="1187">
        <f>References!B19</f>
        <v>190001</v>
      </c>
      <c r="P259" s="1187">
        <f>References!C19</f>
        <v>0</v>
      </c>
      <c r="Q259" s="1188">
        <f>References!D19</f>
        <v>0.45</v>
      </c>
      <c r="R259" s="89"/>
      <c r="S259" s="89"/>
      <c r="T259" s="89"/>
      <c r="U259" s="89"/>
      <c r="V259" s="89"/>
      <c r="W259" s="89"/>
    </row>
    <row r="260" spans="1:23" ht="13.5" hidden="1" x14ac:dyDescent="0.35">
      <c r="A260" s="840"/>
      <c r="L260"/>
      <c r="M260"/>
      <c r="N260" s="6"/>
      <c r="O260" s="1189"/>
      <c r="P260" s="89"/>
      <c r="Q260" s="89"/>
      <c r="R260" s="89"/>
      <c r="S260" s="89"/>
      <c r="T260" s="89"/>
      <c r="U260" s="89"/>
      <c r="V260" s="89"/>
      <c r="W260" s="89"/>
    </row>
    <row r="261" spans="1:23" hidden="1" x14ac:dyDescent="0.35">
      <c r="A261" s="840"/>
    </row>
    <row r="262" spans="1:23" hidden="1" x14ac:dyDescent="0.35">
      <c r="A262" s="840"/>
    </row>
    <row r="263" spans="1:23" hidden="1" x14ac:dyDescent="0.35">
      <c r="A263" s="840"/>
    </row>
    <row r="264" spans="1:23" hidden="1" x14ac:dyDescent="0.35">
      <c r="A264" s="840"/>
    </row>
    <row r="265" spans="1:23" hidden="1" x14ac:dyDescent="0.35">
      <c r="A265" s="840"/>
    </row>
    <row r="266" spans="1:23" hidden="1" x14ac:dyDescent="0.35">
      <c r="A266" s="840"/>
    </row>
    <row r="267" spans="1:23" hidden="1" x14ac:dyDescent="0.35">
      <c r="A267" s="840"/>
    </row>
    <row r="268" spans="1:23" hidden="1" x14ac:dyDescent="0.35">
      <c r="A268" s="840"/>
    </row>
    <row r="269" spans="1:23" hidden="1" x14ac:dyDescent="0.35">
      <c r="A269" s="840"/>
    </row>
    <row r="270" spans="1:23" hidden="1" x14ac:dyDescent="0.35">
      <c r="A270" s="840"/>
    </row>
    <row r="271" spans="1:23" hidden="1" x14ac:dyDescent="0.35">
      <c r="A271" s="840"/>
    </row>
    <row r="272" spans="1:23" hidden="1" x14ac:dyDescent="0.35">
      <c r="A272" s="840"/>
    </row>
    <row r="273" spans="1:1" hidden="1" x14ac:dyDescent="0.35">
      <c r="A273" s="840"/>
    </row>
    <row r="274" spans="1:1" hidden="1" x14ac:dyDescent="0.35">
      <c r="A274" s="840"/>
    </row>
    <row r="275" spans="1:1" hidden="1" x14ac:dyDescent="0.35">
      <c r="A275" s="840"/>
    </row>
    <row r="276" spans="1:1" hidden="1" x14ac:dyDescent="0.35">
      <c r="A276" s="840"/>
    </row>
    <row r="277" spans="1:1" hidden="1" x14ac:dyDescent="0.35">
      <c r="A277" s="840"/>
    </row>
    <row r="278" spans="1:1" hidden="1" x14ac:dyDescent="0.35">
      <c r="A278" s="840"/>
    </row>
    <row r="279" spans="1:1" hidden="1" x14ac:dyDescent="0.35">
      <c r="A279" s="840"/>
    </row>
    <row r="280" spans="1:1" hidden="1" x14ac:dyDescent="0.35">
      <c r="A280" s="840"/>
    </row>
    <row r="281" spans="1:1" hidden="1" x14ac:dyDescent="0.35">
      <c r="A281" s="840"/>
    </row>
    <row r="282" spans="1:1" hidden="1" x14ac:dyDescent="0.35">
      <c r="A282" s="840"/>
    </row>
    <row r="283" spans="1:1" hidden="1" x14ac:dyDescent="0.35">
      <c r="A283" s="840"/>
    </row>
    <row r="284" spans="1:1" hidden="1" x14ac:dyDescent="0.35">
      <c r="A284" s="840"/>
    </row>
    <row r="285" spans="1:1" hidden="1" x14ac:dyDescent="0.35">
      <c r="A285" s="840"/>
    </row>
    <row r="286" spans="1:1" hidden="1" x14ac:dyDescent="0.35">
      <c r="A286" s="840"/>
    </row>
    <row r="287" spans="1:1" hidden="1" x14ac:dyDescent="0.35">
      <c r="A287" s="840"/>
    </row>
    <row r="288" spans="1:1" hidden="1" x14ac:dyDescent="0.35">
      <c r="A288" s="840"/>
    </row>
    <row r="289" spans="1:18" hidden="1" x14ac:dyDescent="0.35">
      <c r="A289" s="840"/>
    </row>
    <row r="290" spans="1:18" hidden="1" x14ac:dyDescent="0.35">
      <c r="A290" s="840"/>
    </row>
    <row r="291" spans="1:18" hidden="1" x14ac:dyDescent="0.35">
      <c r="A291" s="840"/>
      <c r="P291" t="s">
        <v>221</v>
      </c>
      <c r="Q291" t="s">
        <v>222</v>
      </c>
      <c r="R291" s="746" t="s">
        <v>268</v>
      </c>
    </row>
    <row r="292" spans="1:18" hidden="1" x14ac:dyDescent="0.35">
      <c r="A292" s="840"/>
      <c r="O292" t="s">
        <v>223</v>
      </c>
      <c r="P292" s="4">
        <f>+I143*12</f>
        <v>0</v>
      </c>
      <c r="Q292" s="857">
        <f>-PMT(IF(G_Mortgage_1_Rate&lt;&gt;0, MAX(G_Mortgage_1_Rate+Var_buffer, minVar_rate+Var_buffer)/12, AssessRate/12),IF(G_Mortgage_1_PI_Term&lt;&gt;0, G_Mortgage_1_PI_Term, 294),Mortgage_1_Limit,0,0)*12</f>
        <v>0</v>
      </c>
      <c r="R292" s="4" t="s">
        <v>269</v>
      </c>
    </row>
    <row r="293" spans="1:18" hidden="1" x14ac:dyDescent="0.35">
      <c r="A293" s="840"/>
      <c r="O293" t="s">
        <v>224</v>
      </c>
      <c r="P293">
        <f>+I145*12</f>
        <v>0</v>
      </c>
      <c r="Q293" s="858">
        <f>-PMT(IF(G_Mortgage_2_Rate&lt;&gt;0, MAX(G_Mortgage_2_Rate+Var_buffer, minVar_rate+Var_buffer)/12, AssessRate/12),IF(G_Mortgage_2_PI_Term&lt;&gt;0, G_Mortgage_2_PI_Term, 294),Mortgage_2_Limit,0,0)*12</f>
        <v>0</v>
      </c>
      <c r="R293" t="s">
        <v>269</v>
      </c>
    </row>
    <row r="294" spans="1:18" hidden="1" x14ac:dyDescent="0.35">
      <c r="A294" s="840"/>
      <c r="O294" t="s">
        <v>225</v>
      </c>
      <c r="P294">
        <f>+I147*12</f>
        <v>0</v>
      </c>
      <c r="Q294" s="858">
        <f>-PMT(IF(G_Mortgage_3_Rate&lt;&gt;0, MAX(G_Mortgage_3_Rate+Var_buffer, minVar_rate+Var_buffer)/12, AssessRate/12),IF(G_Mortgage_3_PI_Term&lt;&gt;0, G_Mortgage_3_PI_Term, 294),Mortgage_3_Limit,0,0)*12</f>
        <v>0</v>
      </c>
      <c r="R294" t="s">
        <v>269</v>
      </c>
    </row>
    <row r="295" spans="1:18" hidden="1" x14ac:dyDescent="0.35">
      <c r="A295" s="840"/>
      <c r="O295" t="s">
        <v>226</v>
      </c>
      <c r="P295">
        <f>+I149*12</f>
        <v>0</v>
      </c>
      <c r="Q295" s="858">
        <f>-PMT(IF(G_Mortgage_4_Rate&lt;&gt;0, MAX(G_Mortgage_4_Rate+Var_buffer, minVar_rate+Var_buffer)/12, AssessRate/12),IF(G_Mortgage_4_PI_Term&lt;&gt;0, G_Mortgage_4_PI_Term, 294),Mortgage_4_Limit,0,0)*12</f>
        <v>0</v>
      </c>
      <c r="R295" t="s">
        <v>269</v>
      </c>
    </row>
    <row r="296" spans="1:18" hidden="1" x14ac:dyDescent="0.35">
      <c r="A296" s="840"/>
      <c r="O296" t="s">
        <v>113</v>
      </c>
      <c r="P296">
        <f>+I151*12</f>
        <v>0</v>
      </c>
      <c r="Q296" s="858">
        <f>-PMT(IF(G_Mortgage_PERSONAL_Rate&lt;&gt;0, MAX(G_Mortgage_PERSONAL_Rate+Var_buffer, minVar_rate+Var_buffer)/12, AssessRate/12),IF(G_Mortgage_PERSONAL_PI_Term&lt;&gt;0,G_Mortgage_PERSONAL_PI_Term,294),Personal_Limit,0,0)*12</f>
        <v>0</v>
      </c>
    </row>
    <row r="297" spans="1:18" hidden="1" x14ac:dyDescent="0.35">
      <c r="A297" s="840"/>
      <c r="O297" t="s">
        <v>114</v>
      </c>
      <c r="P297">
        <f>+I153*12</f>
        <v>0</v>
      </c>
      <c r="Q297" s="858">
        <f>-PMT(IF(G_Mortgage_HIRE_Rate&lt;&gt;0, MAX(G_Mortgage_HIRE_Rate+Var_buffer, minVar_rate+Var_buffer)/12, AssessRate/12),IF(G_Mortgage_HIRE_PI_Term&lt;&gt;0,G_Mortgage_HIRE_PI_Term,294),Hire_Limit,0,0)*12</f>
        <v>0</v>
      </c>
    </row>
    <row r="298" spans="1:18" hidden="1" x14ac:dyDescent="0.35">
      <c r="A298" s="840"/>
      <c r="O298" t="s">
        <v>115</v>
      </c>
      <c r="P298">
        <f>+I155*12</f>
        <v>0</v>
      </c>
      <c r="Q298" s="858">
        <f>-PMT(IF(G_Mortgage_LEASE_Rate&lt;&gt;0, MAX(G_Mortgage_LEASE_Rate+Var_buffer, minVar_rate+Var_buffer)/12, AssessRate/12),IF(G_Mortgage_LEASE_PI_Term&lt;&gt;0,G_Mortgage_LEASE_PI_Term,294),Lease_Limit,0,0)*12</f>
        <v>0</v>
      </c>
    </row>
    <row r="299" spans="1:18" hidden="1" x14ac:dyDescent="0.35">
      <c r="A299" s="840"/>
      <c r="O299" t="s">
        <v>116</v>
      </c>
      <c r="P299">
        <f>+I157*12</f>
        <v>0</v>
      </c>
      <c r="Q299" s="858">
        <f>-PMT(IF(G_Other_Debt_Rate&lt;&gt;0, MAX(G_Other_Debt_Rate+Var_buffer, minVar_rate+Var_buffer)/12, AssessRate/12),IF(G_Other_Debt_PI_Term&lt;&gt;0,G_Other_Debt_PI_Term,294), Other_Debt_Limit,0,0)*12</f>
        <v>0</v>
      </c>
      <c r="R299" t="s">
        <v>269</v>
      </c>
    </row>
    <row r="300" spans="1:18" hidden="1" x14ac:dyDescent="0.35">
      <c r="A300" s="840"/>
      <c r="O300" t="s">
        <v>117</v>
      </c>
      <c r="P300">
        <f>+I159*12</f>
        <v>0</v>
      </c>
      <c r="Q300" s="858">
        <f>-PMT(IF(G_Margin_Rate&lt;&gt;0, MAX(G_Margin_Rate+Var_buffer, minVar_rate+Var_buffer)/12, AssessRate/12),IF(G_Margin_PI_Term&lt;&gt;0,G_Margin_PI_Term,294), Margin_Limit,0,0)*12</f>
        <v>0</v>
      </c>
      <c r="R300" t="s">
        <v>269</v>
      </c>
    </row>
    <row r="301" spans="1:18" hidden="1" x14ac:dyDescent="0.35">
      <c r="A301" s="840"/>
    </row>
    <row r="302" spans="1:18" hidden="1" x14ac:dyDescent="0.35">
      <c r="A302" s="840"/>
    </row>
    <row r="303" spans="1:18" hidden="1" x14ac:dyDescent="0.35">
      <c r="A303" s="840"/>
    </row>
    <row r="304" spans="1:18" hidden="1" x14ac:dyDescent="0.35">
      <c r="A304" s="840"/>
    </row>
    <row r="305" spans="1:1" hidden="1" x14ac:dyDescent="0.35">
      <c r="A305" s="840"/>
    </row>
    <row r="306" spans="1:1" hidden="1" x14ac:dyDescent="0.35">
      <c r="A306" s="840"/>
    </row>
    <row r="307" spans="1:1" hidden="1" x14ac:dyDescent="0.35">
      <c r="A307" s="840"/>
    </row>
    <row r="308" spans="1:1" hidden="1" x14ac:dyDescent="0.35">
      <c r="A308" s="840"/>
    </row>
    <row r="309" spans="1:1" hidden="1" x14ac:dyDescent="0.35">
      <c r="A309" s="840"/>
    </row>
    <row r="310" spans="1:1" hidden="1" x14ac:dyDescent="0.35">
      <c r="A310" s="840"/>
    </row>
    <row r="311" spans="1:1" hidden="1" x14ac:dyDescent="0.35"/>
  </sheetData>
  <sheetProtection algorithmName="SHA-512" hashValue="c1b/oKLNyHVSk5UaRu/JD6zDB67om++jQZjdQzG0yxhPCQtxrXZzwzdw9XhCdtBDVP9ghlUoZG8yHuVOZVoNtQ==" saltValue="JLz3l4/rgKyYCJIsNJJfhA==" spinCount="100000" sheet="1" formatRows="0" selectLockedCells="1"/>
  <mergeCells count="26">
    <mergeCell ref="B131:E131"/>
    <mergeCell ref="B127:I127"/>
    <mergeCell ref="B128:K128"/>
    <mergeCell ref="D140:F140"/>
    <mergeCell ref="C119:I119"/>
    <mergeCell ref="B122:K122"/>
    <mergeCell ref="B133:K133"/>
    <mergeCell ref="B136:E136"/>
    <mergeCell ref="B3:G3"/>
    <mergeCell ref="B4:I4"/>
    <mergeCell ref="E19:F19"/>
    <mergeCell ref="D15:F15"/>
    <mergeCell ref="C7:G7"/>
    <mergeCell ref="I7:K7"/>
    <mergeCell ref="R258:U258"/>
    <mergeCell ref="R254:U256"/>
    <mergeCell ref="R252:T252"/>
    <mergeCell ref="B218:C218"/>
    <mergeCell ref="B217:C217"/>
    <mergeCell ref="B200:L200"/>
    <mergeCell ref="B201:L201"/>
    <mergeCell ref="C193:J195"/>
    <mergeCell ref="C189:I190"/>
    <mergeCell ref="C164:I164"/>
    <mergeCell ref="D168:J170"/>
    <mergeCell ref="D171:J174"/>
  </mergeCells>
  <phoneticPr fontId="0" type="noConversion"/>
  <conditionalFormatting sqref="G17">
    <cfRule type="cellIs" dxfId="38" priority="5" stopIfTrue="1" operator="equal">
      <formula>$L$15</formula>
    </cfRule>
  </conditionalFormatting>
  <conditionalFormatting sqref="G19">
    <cfRule type="cellIs" dxfId="37" priority="4" stopIfTrue="1" operator="equal">
      <formula>1</formula>
    </cfRule>
  </conditionalFormatting>
  <conditionalFormatting sqref="C193:J195">
    <cfRule type="cellIs" dxfId="36" priority="1" stopIfTrue="1" operator="equal">
      <formula>NSRTest2</formula>
    </cfRule>
    <cfRule type="cellIs" dxfId="35" priority="50" stopIfTrue="1" operator="equal">
      <formula>NSRTest3</formula>
    </cfRule>
    <cfRule type="cellIs" dxfId="34" priority="51" stopIfTrue="1" operator="equal">
      <formula>NSRTest1</formula>
    </cfRule>
    <cfRule type="cellIs" dxfId="33" priority="52" stopIfTrue="1" operator="equal">
      <formula>NSRTest4</formula>
    </cfRule>
  </conditionalFormatting>
  <conditionalFormatting sqref="K195">
    <cfRule type="cellIs" dxfId="32" priority="53" stopIfTrue="1" operator="equal">
      <formula>$L$195-1</formula>
    </cfRule>
    <cfRule type="cellIs" dxfId="31" priority="54" stopIfTrue="1" operator="equal">
      <formula>$L$195</formula>
    </cfRule>
    <cfRule type="cellIs" dxfId="30" priority="55" stopIfTrue="1" operator="equal">
      <formula>$L$195-2</formula>
    </cfRule>
  </conditionalFormatting>
  <conditionalFormatting sqref="K193">
    <cfRule type="cellIs" dxfId="29" priority="69" stopIfTrue="1" operator="equal">
      <formula>0</formula>
    </cfRule>
    <cfRule type="cellIs" dxfId="28" priority="70" stopIfTrue="1" operator="lessThan">
      <formula>1</formula>
    </cfRule>
  </conditionalFormatting>
  <conditionalFormatting sqref="G140">
    <cfRule type="cellIs" dxfId="27" priority="3" stopIfTrue="1" operator="equal">
      <formula>IF(OR($K$29="",$K$29&lt;=80%),"[Please select]")</formula>
    </cfRule>
  </conditionalFormatting>
  <dataValidations count="17">
    <dataValidation type="whole" allowBlank="1" showInputMessage="1" showErrorMessage="1" sqref="E208 K17 E123:E124 C123:C124 C129:C130 G129:G130 E129:E130 I123:I124 G123:G124 I210:I211 C210:C211 G210:G211 E210:E211 G134:G135 I208 G208 C208 E134:E135 I129:I130 C134:C135 I134:I135" xr:uid="{00000000-0002-0000-0100-000000000000}">
      <formula1>0</formula1>
      <formula2>50000000</formula2>
    </dataValidation>
    <dataValidation type="list" allowBlank="1" showInputMessage="1" showErrorMessage="1" sqref="V252 G15 V255" xr:uid="{00000000-0002-0000-0100-000001000000}">
      <formula1>"Y,N"</formula1>
    </dataValidation>
    <dataValidation type="decimal" allowBlank="1" showInputMessage="1" showErrorMessage="1" sqref="G17" xr:uid="{00000000-0002-0000-0100-000002000000}">
      <formula1>0.01</formula1>
      <formula2>1</formula2>
    </dataValidation>
    <dataValidation type="whole" allowBlank="1" showInputMessage="1" showErrorMessage="1" errorTitle="Cell validation" error="Please enter a positive whole number, zero or leave blank" sqref="K163 C169 C161:C162 C113:C117 G113:G117 E113:E117 P11:P13 K143:K145 K159 K147 K149 K151 K153 K155 K157 I113:I117" xr:uid="{00000000-0002-0000-0100-000003000000}">
      <formula1>0</formula1>
      <formula2>100000000</formula2>
    </dataValidation>
    <dataValidation type="list" allowBlank="1" showInputMessage="1" showErrorMessage="1" sqref="I12" xr:uid="{00000000-0002-0000-0100-000004000000}">
      <formula1>GtrMatchList4</formula1>
    </dataValidation>
    <dataValidation type="list" allowBlank="1" showInputMessage="1" showErrorMessage="1" sqref="G12" xr:uid="{00000000-0002-0000-0100-000005000000}">
      <formula1>GtrMatchList3</formula1>
    </dataValidation>
    <dataValidation type="list" allowBlank="1" showInputMessage="1" showErrorMessage="1" sqref="E12" xr:uid="{00000000-0002-0000-0100-000006000000}">
      <formula1>GtrMatchList2</formula1>
    </dataValidation>
    <dataValidation type="list" allowBlank="1" showInputMessage="1" showErrorMessage="1" sqref="C12" xr:uid="{00000000-0002-0000-0100-000007000000}">
      <formula1>GtrMatchList1</formula1>
    </dataValidation>
    <dataValidation type="list" allowBlank="1" showInputMessage="1" showErrorMessage="1" sqref="C11 I11 G11 E11" xr:uid="{00000000-0002-0000-0100-000008000000}">
      <formula1>"Couple,Single"</formula1>
    </dataValidation>
    <dataValidation type="whole" allowBlank="1" showInputMessage="1" showErrorMessage="1" errorTitle="Cell validation" error="Enter value. Maximum no of children is 20" sqref="E13 G13 I13 C13" xr:uid="{00000000-0002-0000-0100-000009000000}">
      <formula1>0</formula1>
      <formula2>20</formula2>
    </dataValidation>
    <dataValidation type="list" allowBlank="1" showInputMessage="1" showErrorMessage="1" errorTitle="Validation" error="Please enter 'Yes' or 'No'" sqref="G21" xr:uid="{00000000-0002-0000-0100-00000A000000}">
      <formula1>"Yes,No"</formula1>
    </dataValidation>
    <dataValidation type="list" allowBlank="1" showInputMessage="1" showErrorMessage="1" errorTitle="Validation" error="Please enter 'Yes' or 'No'" sqref="K21" xr:uid="{00000000-0002-0000-0100-00000B000000}">
      <formula1>"1 year,2 years,3 years,4 years,5 years"</formula1>
    </dataValidation>
    <dataValidation type="whole" allowBlank="1" showInputMessage="1" showErrorMessage="1" errorTitle="Cell validation" error="Please enter a positive whole number" sqref="C171:C172" xr:uid="{00000000-0002-0000-0100-00000C000000}">
      <formula1>0</formula1>
      <formula2>100000000</formula2>
    </dataValidation>
    <dataValidation type="list" allowBlank="1" showInputMessage="1" showErrorMessage="1" errorTitle="Interest only period" error="Maximum 5 years. Must be a whole number between 0 and 5" sqref="G140" xr:uid="{00000000-0002-0000-0100-00000D000000}">
      <formula1>IO_DropdownList</formula1>
    </dataValidation>
    <dataValidation type="whole" allowBlank="1" showInputMessage="1" showErrorMessage="1" sqref="C143 C145 I143 I145 C147 I147 C149 I149 C151 I151 C153 I153 C155 I155 C157 I157 C159 I159" xr:uid="{00000000-0002-0000-0100-00000E000000}">
      <formula1>0</formula1>
      <formula2>1000000000</formula2>
    </dataValidation>
    <dataValidation type="decimal" allowBlank="1" showInputMessage="1" showErrorMessage="1" sqref="G143 G145 G147 G149 G157 G159" xr:uid="{00000000-0002-0000-0100-00000F000000}">
      <formula1>0</formula1>
      <formula2>1</formula2>
    </dataValidation>
    <dataValidation type="whole" allowBlank="1" showInputMessage="1" showErrorMessage="1" sqref="E143 E145 E147 E149 E151 E153 E155 E157 E159" xr:uid="{00000000-0002-0000-0100-000010000000}">
      <formula1>0</formula1>
      <formula2>360</formula2>
    </dataValidation>
  </dataValidations>
  <printOptions horizontalCentered="1"/>
  <pageMargins left="0.22" right="0.19" top="0.47" bottom="0.19685039370078741" header="0.45" footer="0.19685039370078741"/>
  <pageSetup paperSize="9" scale="90"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8435" r:id="rId4" name="Drop Down 3">
              <controlPr defaultSize="0" autoLine="0" autoPict="0">
                <anchor moveWithCells="1">
                  <from>
                    <xdr:col>5</xdr:col>
                    <xdr:colOff>104775</xdr:colOff>
                    <xdr:row>2</xdr:row>
                    <xdr:rowOff>28575</xdr:rowOff>
                  </from>
                  <to>
                    <xdr:col>6</xdr:col>
                    <xdr:colOff>904875</xdr:colOff>
                    <xdr:row>2</xdr:row>
                    <xdr:rowOff>219075</xdr:rowOff>
                  </to>
                </anchor>
              </controlPr>
            </control>
          </mc:Choice>
        </mc:AlternateContent>
        <mc:AlternateContent xmlns:mc="http://schemas.openxmlformats.org/markup-compatibility/2006">
          <mc:Choice Requires="x14">
            <control shapeId="18506" r:id="rId5" name="GtrResetButton">
              <controlPr defaultSize="0" print="0" autoFill="0" autoPict="0" macro="[0]!GtrResetButton_Click">
                <anchor moveWithCells="1" sizeWithCells="1">
                  <from>
                    <xdr:col>13</xdr:col>
                    <xdr:colOff>28575</xdr:colOff>
                    <xdr:row>1</xdr:row>
                    <xdr:rowOff>142875</xdr:rowOff>
                  </from>
                  <to>
                    <xdr:col>13</xdr:col>
                    <xdr:colOff>904875</xdr:colOff>
                    <xdr:row>2</xdr:row>
                    <xdr:rowOff>28575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P73"/>
  <sheetViews>
    <sheetView showGridLines="0" showRowColHeaders="0" zoomScale="145" zoomScaleNormal="145" workbookViewId="0">
      <selection activeCell="F8" sqref="F8"/>
    </sheetView>
  </sheetViews>
  <sheetFormatPr defaultColWidth="12.73046875" defaultRowHeight="12.75" x14ac:dyDescent="0.35"/>
  <cols>
    <col min="1" max="1" width="3.73046875" customWidth="1"/>
    <col min="2" max="2" width="2.265625" customWidth="1"/>
    <col min="3" max="3" width="36" customWidth="1"/>
    <col min="4" max="4" width="13.265625" customWidth="1"/>
    <col min="5" max="5" width="3.265625" customWidth="1"/>
    <col min="6" max="6" width="13.3984375" customWidth="1"/>
    <col min="7" max="7" width="2.265625" customWidth="1"/>
    <col min="8" max="8" width="12.73046875" customWidth="1"/>
    <col min="9" max="9" width="2.73046875" customWidth="1"/>
    <col min="10" max="10" width="13.265625" customWidth="1"/>
    <col min="11" max="11" width="17.265625" customWidth="1"/>
    <col min="12" max="12" width="2" customWidth="1"/>
    <col min="13" max="16" width="10.73046875" style="201" hidden="1" customWidth="1"/>
  </cols>
  <sheetData>
    <row r="1" spans="2:15" ht="13.15" thickBot="1" x14ac:dyDescent="0.4">
      <c r="M1" s="880"/>
      <c r="N1" s="880"/>
      <c r="O1" s="880"/>
    </row>
    <row r="2" spans="2:15" ht="6" customHeight="1" x14ac:dyDescent="0.6">
      <c r="B2" s="691"/>
      <c r="C2" s="692"/>
      <c r="D2" s="694"/>
      <c r="E2" s="694"/>
      <c r="F2" s="693"/>
      <c r="G2" s="694"/>
      <c r="H2" s="694"/>
      <c r="I2" s="694"/>
      <c r="J2" s="694"/>
      <c r="K2" s="694"/>
      <c r="L2" s="695"/>
      <c r="M2" s="880"/>
      <c r="N2" s="880"/>
      <c r="O2" s="880"/>
    </row>
    <row r="3" spans="2:15" ht="22.5" customHeight="1" x14ac:dyDescent="0.9">
      <c r="B3" s="1326"/>
      <c r="C3" s="1327"/>
      <c r="D3" s="690"/>
      <c r="E3" s="690"/>
      <c r="F3" s="690"/>
      <c r="G3" s="690"/>
      <c r="H3" s="690"/>
      <c r="I3" s="690"/>
      <c r="J3" s="690"/>
      <c r="K3" s="690"/>
      <c r="L3" s="696"/>
      <c r="M3" s="880"/>
      <c r="N3" s="880"/>
      <c r="O3" s="880"/>
    </row>
    <row r="4" spans="2:15" ht="21" customHeight="1" thickBot="1" x14ac:dyDescent="0.4">
      <c r="B4" s="702"/>
      <c r="C4" s="703" t="s">
        <v>270</v>
      </c>
      <c r="D4" s="1331" t="str">
        <f>Version</f>
        <v>Version: (16 Sep 2024)</v>
      </c>
      <c r="E4" s="1331"/>
      <c r="F4" s="1331"/>
      <c r="G4" s="888"/>
      <c r="H4" s="704"/>
      <c r="I4" s="701"/>
      <c r="J4" s="701"/>
      <c r="K4" s="701"/>
      <c r="L4" s="705"/>
      <c r="M4" s="880"/>
      <c r="N4" s="880"/>
      <c r="O4" s="880"/>
    </row>
    <row r="5" spans="2:15" ht="15" customHeight="1" x14ac:dyDescent="0.4">
      <c r="B5" s="706"/>
      <c r="C5" s="707" t="s">
        <v>271</v>
      </c>
      <c r="D5" s="708"/>
      <c r="E5" s="708"/>
      <c r="F5" s="708"/>
      <c r="G5" s="708"/>
      <c r="H5" s="708"/>
      <c r="I5" s="708"/>
      <c r="J5" s="708"/>
      <c r="K5" s="708"/>
      <c r="L5" s="709"/>
      <c r="M5" s="880"/>
      <c r="N5" s="880"/>
      <c r="O5" s="880"/>
    </row>
    <row r="6" spans="2:15" ht="5.25" hidden="1" customHeight="1" x14ac:dyDescent="0.4">
      <c r="B6" s="527"/>
      <c r="C6" s="528"/>
      <c r="D6" s="529"/>
      <c r="E6" s="529"/>
      <c r="F6" s="529"/>
      <c r="G6" s="529"/>
      <c r="H6" s="529"/>
      <c r="I6" s="529"/>
      <c r="J6" s="530"/>
      <c r="K6" s="530"/>
      <c r="L6" s="531"/>
      <c r="M6" s="880"/>
      <c r="N6" s="880"/>
      <c r="O6" s="880"/>
    </row>
    <row r="7" spans="2:15" ht="13.5" customHeight="1" x14ac:dyDescent="0.4">
      <c r="B7" s="508"/>
      <c r="D7" s="674" t="s">
        <v>272</v>
      </c>
      <c r="E7" s="674"/>
      <c r="F7" s="674" t="s">
        <v>273</v>
      </c>
      <c r="G7" s="1"/>
      <c r="H7" s="676" t="s">
        <v>274</v>
      </c>
      <c r="L7" s="509"/>
      <c r="M7" s="880"/>
      <c r="N7" s="880"/>
      <c r="O7" s="880"/>
    </row>
    <row r="8" spans="2:15" ht="15.75" customHeight="1" x14ac:dyDescent="0.4">
      <c r="B8" s="510"/>
      <c r="C8" s="681" t="s">
        <v>275</v>
      </c>
      <c r="D8" s="689" t="s">
        <v>785</v>
      </c>
      <c r="E8" s="663"/>
      <c r="F8" s="689" t="s">
        <v>786</v>
      </c>
      <c r="G8" s="44"/>
      <c r="H8" s="1328" t="str">
        <f>IF(OR(TaxYearPrev=0,TaxYearCur=0),IF(D24&lt;F24,"Please explain lower current year net income:",IF(D24&gt;F24*1.2,"Please explain &gt; 20% increase in net income:","")),IF(ISERROR(VALUE(D8)&lt;&gt;VALUE(F8)+1),IF(D24&lt;F24,"Please explain lower current year net income:",IF(D24&gt;F24*1.2,"Please explain &gt; 20% increase in net income:","")),IF(VALUE(D8)&lt;&gt;VALUE(F8)+1,"Error - Tax years not in consecutive order",IF(D24&lt;F24,"Please explain lower current year net income:",IF(D24&gt;F24*1.2,"Please explain &gt; 20% increase in net income:","")))))</f>
        <v/>
      </c>
      <c r="I8" s="1329"/>
      <c r="J8" s="1329"/>
      <c r="K8" s="1330"/>
      <c r="L8" s="511"/>
      <c r="M8" s="880"/>
      <c r="N8" s="880"/>
      <c r="O8" s="880"/>
    </row>
    <row r="9" spans="2:15" ht="3" customHeight="1" x14ac:dyDescent="0.35">
      <c r="B9" s="510"/>
      <c r="C9" s="1190"/>
      <c r="D9" s="682"/>
      <c r="E9" s="682"/>
      <c r="F9" s="682"/>
      <c r="G9" s="1190"/>
      <c r="H9" s="1333"/>
      <c r="I9" s="1334"/>
      <c r="J9" s="1334"/>
      <c r="K9" s="1335"/>
      <c r="L9" s="511"/>
      <c r="M9" s="880"/>
      <c r="N9" s="880"/>
      <c r="O9" s="880"/>
    </row>
    <row r="10" spans="2:15" ht="15.75" customHeight="1" x14ac:dyDescent="0.4">
      <c r="B10" s="512"/>
      <c r="C10" s="660" t="s">
        <v>276</v>
      </c>
      <c r="D10" s="687">
        <v>1406474</v>
      </c>
      <c r="E10" s="663"/>
      <c r="F10" s="687">
        <v>1388032</v>
      </c>
      <c r="G10" s="44"/>
      <c r="H10" s="1333"/>
      <c r="I10" s="1334"/>
      <c r="J10" s="1334"/>
      <c r="K10" s="1335"/>
      <c r="L10" s="511"/>
      <c r="M10" s="880"/>
      <c r="N10" s="880"/>
      <c r="O10" s="880"/>
    </row>
    <row r="11" spans="2:15" ht="15.75" customHeight="1" x14ac:dyDescent="0.35">
      <c r="B11" s="512"/>
      <c r="C11" s="661" t="s">
        <v>277</v>
      </c>
      <c r="D11" s="687"/>
      <c r="E11" s="663"/>
      <c r="F11" s="687"/>
      <c r="G11" s="44"/>
      <c r="H11" s="1333"/>
      <c r="I11" s="1334"/>
      <c r="J11" s="1334"/>
      <c r="K11" s="1335"/>
      <c r="L11" s="511"/>
      <c r="M11" s="880"/>
      <c r="N11" s="880"/>
      <c r="O11" s="880"/>
    </row>
    <row r="12" spans="2:15" ht="3.75" customHeight="1" x14ac:dyDescent="0.35">
      <c r="B12" s="512"/>
      <c r="C12" s="661"/>
      <c r="D12" s="661"/>
      <c r="E12" s="661"/>
      <c r="F12" s="661"/>
      <c r="G12" s="44"/>
      <c r="H12" s="1333"/>
      <c r="I12" s="1334"/>
      <c r="J12" s="1334"/>
      <c r="K12" s="1335"/>
      <c r="L12" s="511"/>
      <c r="M12" s="880"/>
      <c r="N12" s="880"/>
      <c r="O12" s="880"/>
    </row>
    <row r="13" spans="2:15" ht="15.75" customHeight="1" thickBot="1" x14ac:dyDescent="0.4">
      <c r="B13" s="512"/>
      <c r="C13" s="662" t="s">
        <v>278</v>
      </c>
      <c r="D13" s="686">
        <f>ProfitCur-NonRecIncCur</f>
        <v>1406474</v>
      </c>
      <c r="E13" s="675"/>
      <c r="F13" s="686">
        <f>ProfitPrev-NonRecIncPrev</f>
        <v>1388032</v>
      </c>
      <c r="G13" s="47"/>
      <c r="H13" s="1333"/>
      <c r="I13" s="1334"/>
      <c r="J13" s="1334"/>
      <c r="K13" s="1335"/>
      <c r="L13" s="511"/>
      <c r="M13" s="880"/>
      <c r="N13" s="880"/>
      <c r="O13" s="880"/>
    </row>
    <row r="14" spans="2:15" ht="9.75" customHeight="1" thickTop="1" x14ac:dyDescent="0.4">
      <c r="B14" s="512"/>
      <c r="C14" s="660" t="s">
        <v>279</v>
      </c>
      <c r="D14" s="663"/>
      <c r="E14" s="663"/>
      <c r="F14" s="663"/>
      <c r="G14" s="44"/>
      <c r="H14" s="1333"/>
      <c r="I14" s="1334"/>
      <c r="J14" s="1334"/>
      <c r="K14" s="1335"/>
      <c r="L14" s="511"/>
      <c r="M14" s="880"/>
      <c r="N14" s="880"/>
      <c r="O14" s="880"/>
    </row>
    <row r="15" spans="2:15" ht="15.75" customHeight="1" x14ac:dyDescent="0.35">
      <c r="B15" s="512"/>
      <c r="C15" s="663" t="s">
        <v>280</v>
      </c>
      <c r="D15" s="687">
        <v>300204</v>
      </c>
      <c r="E15" s="663"/>
      <c r="F15" s="687">
        <v>289990</v>
      </c>
      <c r="G15" s="44"/>
      <c r="H15" s="1333"/>
      <c r="I15" s="1334"/>
      <c r="J15" s="1334"/>
      <c r="K15" s="1335"/>
      <c r="L15" s="511"/>
      <c r="M15" s="880"/>
      <c r="N15" s="880"/>
      <c r="O15" s="880"/>
    </row>
    <row r="16" spans="2:15" ht="15.75" customHeight="1" x14ac:dyDescent="0.35">
      <c r="B16" s="512"/>
      <c r="C16" s="663" t="s">
        <v>281</v>
      </c>
      <c r="D16" s="687"/>
      <c r="E16" s="663"/>
      <c r="F16" s="687"/>
      <c r="G16" s="44"/>
      <c r="H16" s="1333"/>
      <c r="I16" s="1334"/>
      <c r="J16" s="1334"/>
      <c r="K16" s="1335"/>
      <c r="L16" s="511"/>
      <c r="M16" s="880"/>
      <c r="N16" s="880"/>
      <c r="O16" s="880"/>
    </row>
    <row r="17" spans="2:16" ht="15.75" customHeight="1" x14ac:dyDescent="0.35">
      <c r="B17" s="512"/>
      <c r="C17" s="663" t="s">
        <v>282</v>
      </c>
      <c r="D17" s="687"/>
      <c r="E17" s="663"/>
      <c r="F17" s="687"/>
      <c r="G17" s="44"/>
      <c r="H17" s="1333"/>
      <c r="I17" s="1334"/>
      <c r="J17" s="1334"/>
      <c r="K17" s="1335"/>
      <c r="L17" s="511"/>
      <c r="M17" s="880"/>
      <c r="N17" s="880"/>
      <c r="O17" s="880"/>
      <c r="P17" s="880"/>
    </row>
    <row r="18" spans="2:16" ht="15.75" customHeight="1" x14ac:dyDescent="0.35">
      <c r="B18" s="512"/>
      <c r="C18" s="663" t="s">
        <v>283</v>
      </c>
      <c r="D18" s="687"/>
      <c r="E18" s="663"/>
      <c r="F18" s="687"/>
      <c r="G18" s="44"/>
      <c r="H18" s="1333"/>
      <c r="I18" s="1334"/>
      <c r="J18" s="1334"/>
      <c r="K18" s="1335"/>
      <c r="L18" s="511"/>
      <c r="M18" s="880"/>
      <c r="N18" s="880"/>
      <c r="O18" s="880"/>
      <c r="P18" s="880"/>
    </row>
    <row r="19" spans="2:16" ht="15.75" customHeight="1" x14ac:dyDescent="0.35">
      <c r="B19" s="512"/>
      <c r="C19" s="663" t="s">
        <v>284</v>
      </c>
      <c r="D19" s="687"/>
      <c r="E19" s="663"/>
      <c r="F19" s="687"/>
      <c r="G19" s="44"/>
      <c r="H19" s="1333"/>
      <c r="I19" s="1334"/>
      <c r="J19" s="1334"/>
      <c r="K19" s="1335"/>
      <c r="L19" s="511"/>
      <c r="M19" s="880"/>
      <c r="N19" s="880"/>
      <c r="O19" s="880"/>
      <c r="P19" s="880"/>
    </row>
    <row r="20" spans="2:16" ht="15.75" customHeight="1" x14ac:dyDescent="0.35">
      <c r="B20" s="512"/>
      <c r="C20" s="663" t="s">
        <v>285</v>
      </c>
      <c r="D20" s="687"/>
      <c r="E20" s="663"/>
      <c r="F20" s="687"/>
      <c r="G20" s="44"/>
      <c r="H20" s="1333"/>
      <c r="I20" s="1334"/>
      <c r="J20" s="1334"/>
      <c r="K20" s="1335"/>
      <c r="L20" s="511"/>
      <c r="M20" s="880"/>
      <c r="N20" s="880"/>
      <c r="O20" s="880"/>
      <c r="P20" s="880"/>
    </row>
    <row r="21" spans="2:16" ht="4.5" customHeight="1" x14ac:dyDescent="0.35">
      <c r="B21" s="512"/>
      <c r="C21" s="663"/>
      <c r="D21" s="663"/>
      <c r="E21" s="663"/>
      <c r="F21" s="663"/>
      <c r="G21" s="974"/>
      <c r="H21" s="1333"/>
      <c r="I21" s="1334"/>
      <c r="J21" s="1334"/>
      <c r="K21" s="1335"/>
      <c r="L21" s="511"/>
      <c r="M21" s="880"/>
      <c r="N21" s="880"/>
      <c r="O21" s="880"/>
      <c r="P21" s="880"/>
    </row>
    <row r="22" spans="2:16" ht="15.75" customHeight="1" thickBot="1" x14ac:dyDescent="0.45">
      <c r="B22" s="512"/>
      <c r="C22" s="660" t="s">
        <v>286</v>
      </c>
      <c r="D22" s="686">
        <f>D15+D17+D18+D19+D20+MIN(VALUE(D16),MAX(D13*20%,0))</f>
        <v>300204</v>
      </c>
      <c r="E22" s="677"/>
      <c r="F22" s="686">
        <f>F15+F17+F18+F19+F20+MIN(VALUE(F16),MAX(F13*20%,0))</f>
        <v>289990</v>
      </c>
      <c r="G22" s="44"/>
      <c r="H22" s="1336"/>
      <c r="I22" s="1337"/>
      <c r="J22" s="1337"/>
      <c r="K22" s="1338"/>
      <c r="L22" s="511"/>
      <c r="M22" s="880"/>
      <c r="N22" s="880"/>
      <c r="O22" s="880"/>
      <c r="P22" s="880"/>
    </row>
    <row r="23" spans="2:16" ht="7.5" customHeight="1" thickTop="1" x14ac:dyDescent="0.4">
      <c r="B23" s="512"/>
      <c r="D23" s="677"/>
      <c r="E23" s="677"/>
      <c r="F23" s="677"/>
      <c r="G23" s="44"/>
      <c r="H23" s="46"/>
      <c r="I23" s="4"/>
      <c r="J23" s="203"/>
      <c r="K23" s="203"/>
      <c r="L23" s="511"/>
      <c r="M23" s="880"/>
      <c r="N23" s="880"/>
      <c r="O23" s="880"/>
      <c r="P23" s="880"/>
    </row>
    <row r="24" spans="2:16" ht="16.5" customHeight="1" x14ac:dyDescent="0.4">
      <c r="B24" s="512"/>
      <c r="C24" s="660" t="s">
        <v>287</v>
      </c>
      <c r="D24" s="685">
        <f>D13+D22</f>
        <v>1706678</v>
      </c>
      <c r="E24" s="677"/>
      <c r="F24" s="685">
        <f>F13+F22</f>
        <v>1678022</v>
      </c>
      <c r="G24" s="44"/>
      <c r="I24" s="202"/>
      <c r="L24" s="511"/>
      <c r="M24" s="1191">
        <v>2</v>
      </c>
      <c r="N24" s="880"/>
      <c r="O24" s="880"/>
      <c r="P24" s="880"/>
    </row>
    <row r="25" spans="2:16" ht="5.25" customHeight="1" x14ac:dyDescent="0.4">
      <c r="B25" s="512"/>
      <c r="C25" s="660"/>
      <c r="E25" s="28"/>
      <c r="F25" s="204"/>
      <c r="G25" s="683"/>
      <c r="H25" s="204"/>
      <c r="I25" s="202"/>
      <c r="L25" s="511"/>
      <c r="M25" s="880"/>
      <c r="N25" s="880"/>
      <c r="O25" s="880"/>
      <c r="P25" s="880"/>
    </row>
    <row r="26" spans="2:16" ht="18" customHeight="1" x14ac:dyDescent="0.35">
      <c r="B26" s="512"/>
      <c r="C26" s="663" t="s">
        <v>288</v>
      </c>
      <c r="E26" s="28"/>
      <c r="F26" s="673">
        <f>(F24+D24)/2</f>
        <v>1692350</v>
      </c>
      <c r="G26" s="890"/>
      <c r="H26" s="1342" t="str">
        <f>IF(AND(SE1netAv&gt;0,SE1netAv&gt;SE1netAvAdj,SE1Test=1),"This amount can only be considered on an exception basis","")</f>
        <v/>
      </c>
      <c r="I26" s="1342"/>
      <c r="J26" s="1342"/>
      <c r="K26" s="1342"/>
      <c r="L26" s="511"/>
      <c r="M26" s="880"/>
      <c r="N26" s="880"/>
      <c r="O26" s="880"/>
      <c r="P26" s="880"/>
    </row>
    <row r="27" spans="2:16" ht="6" customHeight="1" x14ac:dyDescent="0.4">
      <c r="B27" s="512"/>
      <c r="C27" s="1008"/>
      <c r="D27" s="684"/>
      <c r="E27" s="28"/>
      <c r="F27" s="678"/>
      <c r="G27" s="684"/>
      <c r="H27" s="204"/>
      <c r="I27" s="202"/>
      <c r="J27" s="684"/>
      <c r="K27" s="684"/>
      <c r="L27" s="511"/>
      <c r="M27" s="880"/>
      <c r="N27" s="880"/>
      <c r="O27" s="880"/>
      <c r="P27" s="880"/>
    </row>
    <row r="28" spans="2:16" ht="18.75" customHeight="1" x14ac:dyDescent="0.4">
      <c r="B28" s="512"/>
      <c r="C28" s="660" t="s">
        <v>289</v>
      </c>
      <c r="E28" s="1008"/>
      <c r="F28" s="664">
        <f>IF(D24&lt;F24,MIN(D24,F26),MIN(F26,F24+ABS(F24*0.2)))</f>
        <v>1692350</v>
      </c>
      <c r="G28" s="437"/>
      <c r="H28" s="1343" t="s">
        <v>290</v>
      </c>
      <c r="I28" s="1343"/>
      <c r="J28" s="1343"/>
      <c r="K28" s="1343"/>
      <c r="L28" s="511"/>
      <c r="M28" s="880"/>
      <c r="N28" s="880"/>
      <c r="O28" s="880"/>
      <c r="P28" s="880"/>
    </row>
    <row r="29" spans="2:16" ht="10.5" customHeight="1" x14ac:dyDescent="0.35">
      <c r="B29" s="512"/>
      <c r="C29" s="1332" t="s">
        <v>291</v>
      </c>
      <c r="D29" s="1332"/>
      <c r="E29" s="205"/>
      <c r="F29" s="680"/>
      <c r="G29" s="206"/>
      <c r="H29" s="206"/>
      <c r="I29" s="206"/>
      <c r="J29" s="207"/>
      <c r="K29" s="207"/>
      <c r="L29" s="511"/>
      <c r="M29" s="880"/>
      <c r="N29" s="880"/>
      <c r="O29" s="880"/>
      <c r="P29" s="880"/>
    </row>
    <row r="30" spans="2:16" ht="7.5" customHeight="1" x14ac:dyDescent="0.35">
      <c r="B30" s="512"/>
      <c r="C30" s="317"/>
      <c r="D30" s="205"/>
      <c r="E30" s="205"/>
      <c r="F30" s="317"/>
      <c r="G30" s="206"/>
      <c r="H30" s="206"/>
      <c r="I30" s="206"/>
      <c r="J30" s="207"/>
      <c r="K30" s="207"/>
      <c r="L30" s="511"/>
      <c r="M30" s="880"/>
      <c r="N30" s="880"/>
      <c r="O30" s="880"/>
      <c r="P30" s="880"/>
    </row>
    <row r="31" spans="2:16" ht="14.25" customHeight="1" x14ac:dyDescent="0.35">
      <c r="B31" s="512"/>
      <c r="C31" s="205"/>
      <c r="D31" s="667" t="s">
        <v>3</v>
      </c>
      <c r="E31" s="667"/>
      <c r="F31" s="667" t="s">
        <v>4</v>
      </c>
      <c r="G31" s="670"/>
      <c r="H31" s="667" t="s">
        <v>5</v>
      </c>
      <c r="I31" s="670"/>
      <c r="J31" s="667" t="s">
        <v>6</v>
      </c>
      <c r="K31" s="667" t="s">
        <v>292</v>
      </c>
      <c r="L31" s="511"/>
      <c r="M31" s="880"/>
      <c r="N31" s="880"/>
      <c r="O31" s="880"/>
      <c r="P31" s="880"/>
    </row>
    <row r="32" spans="2:16" ht="16.5" customHeight="1" x14ac:dyDescent="0.35">
      <c r="B32" s="512"/>
      <c r="C32" s="668" t="s">
        <v>293</v>
      </c>
      <c r="D32" s="688">
        <v>1</v>
      </c>
      <c r="E32" s="679"/>
      <c r="F32" s="688"/>
      <c r="G32" s="671"/>
      <c r="H32" s="688"/>
      <c r="I32" s="671"/>
      <c r="J32" s="688"/>
      <c r="K32" s="672" t="str">
        <f>IF(ROUND(D32+F32+H32+J32,3)&gt;100%,"Error - Total &gt;100%",TEXT(ROUND(D32+F32+H32+J32,3),"0.00%"))</f>
        <v>100.00%</v>
      </c>
      <c r="L32" s="710" t="str">
        <f>IF(ROUND(D32+F32+H32+J32,3)&gt;100%,K32,"")</f>
        <v/>
      </c>
      <c r="M32" s="1192">
        <f>ROUND(MAX(1-Bus1_App2Distr-Bus1_App3Distr-Bus1_App4Distr,0),8)</f>
        <v>1</v>
      </c>
      <c r="N32" s="1192">
        <f>ROUND(MAX(1-Bus1_App1Distr-Bus1_App3Distr-Bus1_App4Distr,0),8)</f>
        <v>0</v>
      </c>
      <c r="O32" s="1192">
        <f>ROUND(MAX(1-Bus1_App2Distr-Bus1_App1Distr-Bus1_App4Distr,0),8)</f>
        <v>0</v>
      </c>
      <c r="P32" s="1192">
        <f>ROUND(1-Bus1_App2Distr-Bus1_App3Distr-Bus1_App1Distr,8)</f>
        <v>0</v>
      </c>
    </row>
    <row r="33" spans="2:16" ht="3.75" customHeight="1" x14ac:dyDescent="0.35">
      <c r="B33" s="512"/>
      <c r="C33" s="668"/>
      <c r="D33" s="209"/>
      <c r="E33" s="209"/>
      <c r="F33" s="209"/>
      <c r="G33" s="209"/>
      <c r="H33" s="209"/>
      <c r="I33" s="209"/>
      <c r="J33" s="209"/>
      <c r="K33" s="211"/>
      <c r="L33" s="710"/>
      <c r="M33" s="880"/>
      <c r="N33" s="880"/>
      <c r="O33" s="880"/>
      <c r="P33" s="880"/>
    </row>
    <row r="34" spans="2:16" ht="16.5" customHeight="1" x14ac:dyDescent="0.35">
      <c r="B34" s="512"/>
      <c r="C34" s="669" t="s">
        <v>294</v>
      </c>
      <c r="D34" s="685">
        <f>IF(SE1Test=1,Bus1_App1Distr*SE1netAv,IF(SE1Test=2,Bus1_App1Distr*SE1netAvAdj,0))</f>
        <v>1692350</v>
      </c>
      <c r="E34" s="680"/>
      <c r="F34" s="685">
        <f>IF(SE1Test=1,Bus1_App2Distr*SE1netAv,IF(SE1Test=2,Bus1_App2Distr*SE1netAvAdj,0))</f>
        <v>0</v>
      </c>
      <c r="G34" s="420"/>
      <c r="H34" s="685">
        <f>IF(SE1Test=1,Bus1_App3Distr*SE1netAv,IF(SE1Test=2,Bus1_App3Distr*SE1netAvAdj,0))</f>
        <v>0</v>
      </c>
      <c r="I34" s="420"/>
      <c r="J34" s="685">
        <f>IF(SE1Test=1,Bus1_App4Distr*SE1netAv,IF(SE1Test=2,Bus1_App4Distr*SE1netAvAdj,0))</f>
        <v>0</v>
      </c>
      <c r="K34" s="207"/>
      <c r="L34" s="511"/>
      <c r="M34" s="880"/>
      <c r="N34" s="880"/>
      <c r="O34" s="880"/>
      <c r="P34" s="1193"/>
    </row>
    <row r="35" spans="2:16" ht="7.5" customHeight="1" x14ac:dyDescent="0.35">
      <c r="B35" s="512"/>
      <c r="C35" s="205"/>
      <c r="D35" s="205"/>
      <c r="E35" s="205"/>
      <c r="F35" s="205"/>
      <c r="G35" s="206"/>
      <c r="H35" s="206"/>
      <c r="I35" s="206"/>
      <c r="J35" s="207"/>
      <c r="K35" s="207"/>
      <c r="L35" s="511"/>
      <c r="M35" s="880"/>
      <c r="N35" s="880"/>
      <c r="O35" s="880"/>
      <c r="P35" s="880"/>
    </row>
    <row r="36" spans="2:16" ht="17.25" customHeight="1" x14ac:dyDescent="0.35">
      <c r="B36" s="1339" t="s">
        <v>295</v>
      </c>
      <c r="C36" s="1340"/>
      <c r="D36" s="1340"/>
      <c r="E36" s="1340"/>
      <c r="F36" s="1340"/>
      <c r="G36" s="1340"/>
      <c r="H36" s="1340"/>
      <c r="I36" s="1340"/>
      <c r="J36" s="1340"/>
      <c r="K36" s="1340"/>
      <c r="L36" s="1341"/>
      <c r="M36" s="880"/>
      <c r="N36" s="880"/>
      <c r="O36" s="880"/>
      <c r="P36" s="880"/>
    </row>
    <row r="37" spans="2:16" ht="16.5" customHeight="1" x14ac:dyDescent="0.4">
      <c r="B37" s="515"/>
      <c r="C37" s="503" t="s">
        <v>296</v>
      </c>
      <c r="D37" s="504"/>
      <c r="E37" s="504"/>
      <c r="F37" s="504"/>
      <c r="G37" s="504"/>
      <c r="H37" s="504"/>
      <c r="I37" s="504"/>
      <c r="J37" s="505"/>
      <c r="K37" s="505"/>
      <c r="L37" s="516"/>
      <c r="M37" s="880"/>
      <c r="N37" s="880"/>
      <c r="O37" s="880"/>
      <c r="P37" s="880"/>
    </row>
    <row r="38" spans="2:16" ht="5.25" hidden="1" customHeight="1" x14ac:dyDescent="0.4">
      <c r="B38" s="527"/>
      <c r="C38" s="528"/>
      <c r="D38" s="529"/>
      <c r="E38" s="529"/>
      <c r="F38" s="529"/>
      <c r="G38" s="529"/>
      <c r="H38" s="529"/>
      <c r="I38" s="529"/>
      <c r="J38" s="530"/>
      <c r="K38" s="530"/>
      <c r="L38" s="531"/>
      <c r="M38" s="880"/>
      <c r="N38" s="880"/>
      <c r="O38" s="880"/>
      <c r="P38" s="880"/>
    </row>
    <row r="39" spans="2:16" ht="14.25" customHeight="1" x14ac:dyDescent="0.4">
      <c r="B39" s="508"/>
      <c r="D39" s="674" t="s">
        <v>272</v>
      </c>
      <c r="E39" s="674"/>
      <c r="F39" s="674" t="s">
        <v>273</v>
      </c>
      <c r="G39" s="1"/>
      <c r="H39" s="676" t="s">
        <v>274</v>
      </c>
      <c r="L39" s="509"/>
      <c r="M39" s="880"/>
      <c r="N39" s="880"/>
      <c r="O39" s="880"/>
      <c r="P39" s="880"/>
    </row>
    <row r="40" spans="2:16" ht="15.75" customHeight="1" x14ac:dyDescent="0.4">
      <c r="B40" s="510"/>
      <c r="C40" s="681" t="s">
        <v>275</v>
      </c>
      <c r="D40" s="689" t="s">
        <v>785</v>
      </c>
      <c r="E40" s="663"/>
      <c r="F40" s="689" t="s">
        <v>786</v>
      </c>
      <c r="G40" s="44"/>
      <c r="H40" s="1328" t="str">
        <f>IF(OR(TaxYearPrev2=0,TaxYearCur2=0),IF(D56&lt;F56,"Please explain lower current year net income:",IF(D56&gt;F56*1.2,"Please explain &gt; 20% increase in net income:","")),IF(ISERROR(VALUE(D40)&lt;&gt;VALUE(F40)+1),IF(D56&lt;F56,"Please explain lower current year net income:",IF(D56&gt;F56*1.2,"Please explain &gt; 20% increase in net income:","")),IF(VALUE(D40)&lt;&gt;VALUE(F40)+1,"Error - Tax years not in consecutive order",IF(D56&lt;F56,"Please explain lower current year net income:",IF(D56&gt;F56*1.2,"Please explain &gt; 20% increase in net income:","")))))</f>
        <v>Please explain &gt; 20% increase in net income:</v>
      </c>
      <c r="I40" s="1329"/>
      <c r="J40" s="1329"/>
      <c r="K40" s="1330"/>
      <c r="L40" s="511"/>
      <c r="M40" s="880"/>
      <c r="N40" s="880"/>
      <c r="O40" s="880"/>
      <c r="P40" s="880"/>
    </row>
    <row r="41" spans="2:16" ht="3" customHeight="1" x14ac:dyDescent="0.35">
      <c r="B41" s="510"/>
      <c r="C41" s="682"/>
      <c r="D41" s="682"/>
      <c r="E41" s="682"/>
      <c r="F41" s="682"/>
      <c r="G41" s="1190"/>
      <c r="H41" s="1333"/>
      <c r="I41" s="1334"/>
      <c r="J41" s="1334"/>
      <c r="K41" s="1335"/>
      <c r="L41" s="511"/>
      <c r="M41" s="880"/>
      <c r="N41" s="880"/>
      <c r="O41" s="880"/>
      <c r="P41" s="880"/>
    </row>
    <row r="42" spans="2:16" ht="15.75" customHeight="1" x14ac:dyDescent="0.4">
      <c r="B42" s="512"/>
      <c r="C42" s="660" t="s">
        <v>276</v>
      </c>
      <c r="D42" s="687">
        <v>220730</v>
      </c>
      <c r="E42" s="663"/>
      <c r="F42" s="687">
        <v>187537</v>
      </c>
      <c r="G42" s="44"/>
      <c r="H42" s="1333"/>
      <c r="I42" s="1334"/>
      <c r="J42" s="1334"/>
      <c r="K42" s="1335"/>
      <c r="L42" s="511"/>
      <c r="M42" s="880"/>
      <c r="N42" s="880"/>
      <c r="O42" s="880"/>
      <c r="P42" s="880"/>
    </row>
    <row r="43" spans="2:16" ht="15.75" customHeight="1" x14ac:dyDescent="0.35">
      <c r="B43" s="512"/>
      <c r="C43" s="661" t="s">
        <v>277</v>
      </c>
      <c r="D43" s="687"/>
      <c r="E43" s="663"/>
      <c r="F43" s="687"/>
      <c r="G43" s="44"/>
      <c r="H43" s="1333"/>
      <c r="I43" s="1334"/>
      <c r="J43" s="1334"/>
      <c r="K43" s="1335"/>
      <c r="L43" s="511"/>
      <c r="M43" s="880"/>
      <c r="N43" s="880"/>
      <c r="O43" s="880"/>
      <c r="P43" s="880"/>
    </row>
    <row r="44" spans="2:16" ht="3.75" customHeight="1" x14ac:dyDescent="0.35">
      <c r="B44" s="512"/>
      <c r="C44" s="661"/>
      <c r="D44" s="661"/>
      <c r="E44" s="661"/>
      <c r="F44" s="661"/>
      <c r="G44" s="44"/>
      <c r="H44" s="1333"/>
      <c r="I44" s="1334"/>
      <c r="J44" s="1334"/>
      <c r="K44" s="1335"/>
      <c r="L44" s="511"/>
      <c r="M44" s="880"/>
      <c r="N44" s="880"/>
      <c r="O44" s="880"/>
      <c r="P44" s="880"/>
    </row>
    <row r="45" spans="2:16" ht="15.75" customHeight="1" thickBot="1" x14ac:dyDescent="0.4">
      <c r="B45" s="512"/>
      <c r="C45" s="662" t="s">
        <v>278</v>
      </c>
      <c r="D45" s="686">
        <f>ProfitCur2-NonRecIncCur2</f>
        <v>220730</v>
      </c>
      <c r="E45" s="675"/>
      <c r="F45" s="686">
        <f>ProfitPrev2-NonRecIncPrev2</f>
        <v>187537</v>
      </c>
      <c r="G45" s="47"/>
      <c r="H45" s="1333"/>
      <c r="I45" s="1334"/>
      <c r="J45" s="1334"/>
      <c r="K45" s="1335"/>
      <c r="L45" s="511"/>
      <c r="M45" s="880"/>
      <c r="N45" s="880"/>
      <c r="O45" s="880"/>
      <c r="P45" s="880"/>
    </row>
    <row r="46" spans="2:16" ht="10.5" customHeight="1" thickTop="1" x14ac:dyDescent="0.4">
      <c r="B46" s="512"/>
      <c r="C46" s="660" t="s">
        <v>279</v>
      </c>
      <c r="D46" s="4"/>
      <c r="E46" s="4"/>
      <c r="F46" s="4"/>
      <c r="G46" s="44"/>
      <c r="H46" s="1333"/>
      <c r="I46" s="1334"/>
      <c r="J46" s="1334"/>
      <c r="K46" s="1335"/>
      <c r="L46" s="511"/>
      <c r="M46" s="880"/>
      <c r="N46" s="880"/>
      <c r="O46" s="880"/>
      <c r="P46" s="880"/>
    </row>
    <row r="47" spans="2:16" ht="15.75" customHeight="1" x14ac:dyDescent="0.35">
      <c r="B47" s="512"/>
      <c r="C47" s="663" t="s">
        <v>280</v>
      </c>
      <c r="D47" s="687">
        <v>151315</v>
      </c>
      <c r="E47" s="853"/>
      <c r="F47" s="687">
        <v>48200</v>
      </c>
      <c r="G47" s="44"/>
      <c r="H47" s="1333"/>
      <c r="I47" s="1334"/>
      <c r="J47" s="1334"/>
      <c r="K47" s="1335"/>
      <c r="L47" s="511"/>
      <c r="M47" s="880"/>
      <c r="N47" s="880"/>
      <c r="O47" s="880"/>
      <c r="P47" s="880"/>
    </row>
    <row r="48" spans="2:16" ht="15.75" customHeight="1" x14ac:dyDescent="0.35">
      <c r="B48" s="512"/>
      <c r="C48" s="663" t="s">
        <v>281</v>
      </c>
      <c r="D48" s="687"/>
      <c r="E48" s="853"/>
      <c r="F48" s="687"/>
      <c r="G48" s="44"/>
      <c r="H48" s="1333"/>
      <c r="I48" s="1334"/>
      <c r="J48" s="1334"/>
      <c r="K48" s="1335"/>
      <c r="L48" s="511"/>
      <c r="M48" s="880"/>
      <c r="N48" s="880"/>
      <c r="O48" s="880"/>
      <c r="P48" s="880"/>
    </row>
    <row r="49" spans="2:16" ht="15.75" customHeight="1" x14ac:dyDescent="0.35">
      <c r="B49" s="512"/>
      <c r="C49" s="663" t="s">
        <v>282</v>
      </c>
      <c r="D49" s="687"/>
      <c r="E49" s="853"/>
      <c r="F49" s="687"/>
      <c r="G49" s="44"/>
      <c r="H49" s="1333"/>
      <c r="I49" s="1334"/>
      <c r="J49" s="1334"/>
      <c r="K49" s="1335"/>
      <c r="L49" s="511"/>
      <c r="M49" s="880"/>
      <c r="N49" s="880"/>
      <c r="O49" s="880"/>
      <c r="P49" s="880"/>
    </row>
    <row r="50" spans="2:16" ht="15.75" customHeight="1" x14ac:dyDescent="0.35">
      <c r="B50" s="512"/>
      <c r="C50" s="663" t="s">
        <v>283</v>
      </c>
      <c r="D50" s="687"/>
      <c r="E50" s="853"/>
      <c r="F50" s="687"/>
      <c r="G50" s="44"/>
      <c r="H50" s="1333"/>
      <c r="I50" s="1334"/>
      <c r="J50" s="1334"/>
      <c r="K50" s="1335"/>
      <c r="L50" s="511"/>
      <c r="M50" s="880"/>
      <c r="N50" s="880"/>
      <c r="O50" s="880"/>
      <c r="P50" s="880"/>
    </row>
    <row r="51" spans="2:16" ht="15.75" customHeight="1" x14ac:dyDescent="0.35">
      <c r="B51" s="512"/>
      <c r="C51" s="663" t="s">
        <v>284</v>
      </c>
      <c r="D51" s="687"/>
      <c r="E51" s="853"/>
      <c r="F51" s="687"/>
      <c r="G51" s="44"/>
      <c r="H51" s="1333"/>
      <c r="I51" s="1334"/>
      <c r="J51" s="1334"/>
      <c r="K51" s="1335"/>
      <c r="L51" s="511"/>
      <c r="M51" s="880"/>
      <c r="N51" s="880"/>
      <c r="O51" s="880"/>
      <c r="P51" s="880"/>
    </row>
    <row r="52" spans="2:16" ht="15.75" customHeight="1" x14ac:dyDescent="0.35">
      <c r="B52" s="512"/>
      <c r="C52" s="663" t="s">
        <v>285</v>
      </c>
      <c r="D52" s="687"/>
      <c r="E52" s="853"/>
      <c r="F52" s="687"/>
      <c r="G52" s="44"/>
      <c r="H52" s="1333"/>
      <c r="I52" s="1334"/>
      <c r="J52" s="1334"/>
      <c r="K52" s="1335"/>
      <c r="L52" s="511"/>
      <c r="M52" s="880"/>
      <c r="N52" s="880"/>
      <c r="O52" s="880"/>
      <c r="P52" s="880"/>
    </row>
    <row r="53" spans="2:16" ht="4.5" customHeight="1" x14ac:dyDescent="0.35">
      <c r="B53" s="512"/>
      <c r="C53" s="663"/>
      <c r="D53" s="974"/>
      <c r="E53" s="974"/>
      <c r="F53" s="974"/>
      <c r="G53" s="974"/>
      <c r="H53" s="1333"/>
      <c r="I53" s="1334"/>
      <c r="J53" s="1334"/>
      <c r="K53" s="1335"/>
      <c r="L53" s="511"/>
      <c r="M53" s="880"/>
      <c r="N53" s="880"/>
      <c r="O53" s="880"/>
      <c r="P53" s="880"/>
    </row>
    <row r="54" spans="2:16" ht="15.75" customHeight="1" thickBot="1" x14ac:dyDescent="0.45">
      <c r="B54" s="512"/>
      <c r="C54" s="660" t="s">
        <v>286</v>
      </c>
      <c r="D54" s="686">
        <f>D47+D49+D50+D51+D52+MIN(VALUE(D48),MAX(D45*20%,0))</f>
        <v>151315</v>
      </c>
      <c r="E54" s="28"/>
      <c r="F54" s="686">
        <f>F47+F49+F50+F51+F52+MIN(VALUE(F48),MAX(F45*20%,0))</f>
        <v>48200</v>
      </c>
      <c r="G54" s="44"/>
      <c r="H54" s="1336"/>
      <c r="I54" s="1337"/>
      <c r="J54" s="1337"/>
      <c r="K54" s="1338"/>
      <c r="L54" s="511"/>
      <c r="M54" s="880"/>
      <c r="N54" s="880"/>
      <c r="O54" s="880"/>
      <c r="P54" s="880"/>
    </row>
    <row r="55" spans="2:16" ht="7.5" customHeight="1" thickTop="1" x14ac:dyDescent="0.4">
      <c r="B55" s="512"/>
      <c r="C55" s="421"/>
      <c r="D55" s="28"/>
      <c r="E55" s="28"/>
      <c r="F55" s="28"/>
      <c r="G55" s="44"/>
      <c r="H55" s="46"/>
      <c r="I55" s="4"/>
      <c r="J55" s="207"/>
      <c r="K55" s="207"/>
      <c r="L55" s="511"/>
      <c r="M55" s="880"/>
      <c r="N55" s="880"/>
      <c r="O55" s="880"/>
      <c r="P55" s="880"/>
    </row>
    <row r="56" spans="2:16" ht="16.5" customHeight="1" x14ac:dyDescent="0.4">
      <c r="B56" s="512"/>
      <c r="C56" s="660" t="s">
        <v>287</v>
      </c>
      <c r="D56" s="685">
        <f>D45+D54</f>
        <v>372045</v>
      </c>
      <c r="E56" s="28"/>
      <c r="F56" s="685">
        <f>F45+F54</f>
        <v>235737</v>
      </c>
      <c r="G56" s="44"/>
      <c r="I56" s="202"/>
      <c r="L56" s="511"/>
      <c r="M56" s="1191">
        <v>2</v>
      </c>
      <c r="N56" s="880"/>
      <c r="O56" s="880"/>
      <c r="P56" s="880"/>
    </row>
    <row r="57" spans="2:16" ht="6" customHeight="1" x14ac:dyDescent="0.4">
      <c r="B57" s="512"/>
      <c r="C57" s="660"/>
      <c r="E57" s="28"/>
      <c r="F57" s="204"/>
      <c r="G57" s="316"/>
      <c r="H57" s="204"/>
      <c r="I57" s="202"/>
      <c r="L57" s="511"/>
      <c r="M57" s="880"/>
      <c r="N57" s="880"/>
      <c r="O57" s="880"/>
      <c r="P57" s="880"/>
    </row>
    <row r="58" spans="2:16" ht="16.5" customHeight="1" x14ac:dyDescent="0.35">
      <c r="B58" s="512"/>
      <c r="C58" s="663" t="s">
        <v>288</v>
      </c>
      <c r="E58" s="28"/>
      <c r="F58" s="673">
        <f>(F56+D56)/2</f>
        <v>303891</v>
      </c>
      <c r="G58" s="890"/>
      <c r="H58" s="1342" t="str">
        <f>IF(AND(SE2netAv&gt;0,SE2netAv&gt;SE2netAvAdj,SE2Test=1),"This amount can only be considered on an exception basis","")</f>
        <v/>
      </c>
      <c r="I58" s="1342"/>
      <c r="J58" s="1342"/>
      <c r="K58" s="1342"/>
      <c r="L58" s="511"/>
      <c r="M58" s="880"/>
      <c r="N58" s="880"/>
      <c r="O58" s="880"/>
      <c r="P58" s="880"/>
    </row>
    <row r="59" spans="2:16" ht="6" customHeight="1" x14ac:dyDescent="0.4">
      <c r="B59" s="512"/>
      <c r="C59" s="1008"/>
      <c r="D59" s="204"/>
      <c r="E59" s="28"/>
      <c r="F59" s="204"/>
      <c r="G59" s="44"/>
      <c r="H59" s="204"/>
      <c r="I59" s="202"/>
      <c r="J59" s="316"/>
      <c r="K59" s="316"/>
      <c r="L59" s="511"/>
      <c r="M59" s="880"/>
      <c r="N59" s="880"/>
      <c r="O59" s="880"/>
      <c r="P59" s="880"/>
    </row>
    <row r="60" spans="2:16" ht="17.25" customHeight="1" x14ac:dyDescent="0.4">
      <c r="B60" s="512"/>
      <c r="C60" s="660" t="s">
        <v>289</v>
      </c>
      <c r="E60" s="28"/>
      <c r="F60" s="664">
        <f>IF(D56&lt;F56,MIN(D56,F58),MIN(F58,F56+ABS(F56*0.2)))</f>
        <v>282884.40000000002</v>
      </c>
      <c r="G60" s="437"/>
      <c r="H60" s="1343" t="s">
        <v>290</v>
      </c>
      <c r="I60" s="1343"/>
      <c r="J60" s="1343"/>
      <c r="K60" s="1343"/>
      <c r="L60" s="511"/>
      <c r="M60" s="880"/>
      <c r="N60" s="880"/>
      <c r="O60" s="880"/>
      <c r="P60" s="880"/>
    </row>
    <row r="61" spans="2:16" ht="11.25" customHeight="1" x14ac:dyDescent="0.4">
      <c r="B61" s="512"/>
      <c r="C61" s="1332" t="s">
        <v>291</v>
      </c>
      <c r="D61" s="1332"/>
      <c r="E61" s="28"/>
      <c r="F61" s="680"/>
      <c r="G61" s="44"/>
      <c r="H61" s="204"/>
      <c r="I61" s="202"/>
      <c r="J61" s="316"/>
      <c r="K61" s="316"/>
      <c r="L61" s="511"/>
      <c r="M61" s="880"/>
      <c r="N61" s="880"/>
      <c r="O61" s="880"/>
      <c r="P61" s="880"/>
    </row>
    <row r="62" spans="2:16" ht="6.75" customHeight="1" x14ac:dyDescent="0.4">
      <c r="B62" s="512"/>
      <c r="C62" s="660"/>
      <c r="D62" s="204"/>
      <c r="E62" s="28"/>
      <c r="F62" s="665"/>
      <c r="G62" s="44"/>
      <c r="H62" s="204"/>
      <c r="I62" s="202"/>
      <c r="J62" s="316"/>
      <c r="K62" s="316"/>
      <c r="L62" s="511"/>
      <c r="M62" s="880"/>
      <c r="N62" s="880"/>
      <c r="O62" s="880"/>
      <c r="P62" s="880"/>
    </row>
    <row r="63" spans="2:16" ht="13.5" customHeight="1" x14ac:dyDescent="0.35">
      <c r="B63" s="512"/>
      <c r="C63" s="666"/>
      <c r="D63" s="667" t="s">
        <v>3</v>
      </c>
      <c r="E63" s="208"/>
      <c r="F63" s="667" t="s">
        <v>4</v>
      </c>
      <c r="G63" s="670"/>
      <c r="H63" s="667" t="s">
        <v>5</v>
      </c>
      <c r="I63" s="670"/>
      <c r="J63" s="667" t="s">
        <v>6</v>
      </c>
      <c r="K63" s="667" t="s">
        <v>292</v>
      </c>
      <c r="L63" s="511"/>
      <c r="M63" s="880"/>
      <c r="N63" s="880"/>
      <c r="O63" s="880"/>
      <c r="P63" s="880"/>
    </row>
    <row r="64" spans="2:16" ht="15.75" customHeight="1" x14ac:dyDescent="0.35">
      <c r="B64" s="512"/>
      <c r="C64" s="668" t="s">
        <v>293</v>
      </c>
      <c r="D64" s="688"/>
      <c r="E64" s="210"/>
      <c r="F64" s="688">
        <v>1</v>
      </c>
      <c r="G64" s="671"/>
      <c r="H64" s="688"/>
      <c r="I64" s="671"/>
      <c r="J64" s="688"/>
      <c r="K64" s="672" t="str">
        <f>IF(ROUND(D64+F64+H64+J64,3)&gt;100%,"Error - Total &gt;100%",TEXT(ROUND(D64+F64+H64+J64,3),"0.00%"))</f>
        <v>100.00%</v>
      </c>
      <c r="L64" s="710" t="str">
        <f>IF(ROUND(D64+F64+H64+J64,3)&gt;100%,K64,"")</f>
        <v/>
      </c>
      <c r="M64" s="1192">
        <f>ROUND(MAX(1-Bus2_App2Distr-Bus2_App3Distr-Bus2_App4Distr,0),8)</f>
        <v>0</v>
      </c>
      <c r="N64" s="1192">
        <f>ROUND(MAX(1-Bus2_App1Distr-Bus2_App3Distr-Bus2_App4Distr,0),8)</f>
        <v>1</v>
      </c>
      <c r="O64" s="1192">
        <f>ROUND(MAX(1-Bus2_App2Distr-Bus2_App1Distr-Bus2_App4Distr,0),8)</f>
        <v>0</v>
      </c>
      <c r="P64" s="1192">
        <f>ROUND(MAX(1-Bus2_App2Distr-Bus2_App3Distr-Bus2_App1Distr,0),8)</f>
        <v>0</v>
      </c>
    </row>
    <row r="65" spans="1:16" ht="3.75" customHeight="1" x14ac:dyDescent="0.35">
      <c r="B65" s="512"/>
      <c r="C65" s="668"/>
      <c r="D65" s="668"/>
      <c r="E65" s="209"/>
      <c r="F65" s="209"/>
      <c r="G65" s="209"/>
      <c r="H65" s="209"/>
      <c r="I65" s="209"/>
      <c r="J65" s="209"/>
      <c r="K65" s="211"/>
      <c r="L65" s="511"/>
      <c r="M65" s="880"/>
      <c r="N65" s="880"/>
      <c r="O65" s="880"/>
      <c r="P65" s="880"/>
    </row>
    <row r="66" spans="1:16" ht="16.5" customHeight="1" x14ac:dyDescent="0.35">
      <c r="B66" s="512"/>
      <c r="C66" s="669" t="s">
        <v>297</v>
      </c>
      <c r="D66" s="685">
        <f>IF(SE2Test=1,Bus2_App1Distr*SE2netAv,IF(SE2Test=2,Bus2_App1Distr*SE2netAvAdj,0))</f>
        <v>0</v>
      </c>
      <c r="E66" s="212"/>
      <c r="F66" s="685">
        <f>IF(SE2Test=1,Bus2_App2Distr*SE2netAv,IF(SE2Test=2,Bus2_App2Distr*SE2netAvAdj,0))</f>
        <v>282884.40000000002</v>
      </c>
      <c r="G66" s="212"/>
      <c r="H66" s="685">
        <f>IF(SE2Test=1,Bus2_App3Distr*SE2netAv,IF(SE2Test=2,Bus2_App3Distr*SE2netAvAdj,0))</f>
        <v>0</v>
      </c>
      <c r="I66" s="212"/>
      <c r="J66" s="685">
        <f>IF(SE2Test=1,Bus2_App4Distr*SE2netAv,IF(SE2Test=2,Bus2_App4Distr*SE2netAvAdj,0))</f>
        <v>0</v>
      </c>
      <c r="K66" s="211"/>
      <c r="L66" s="511"/>
      <c r="M66" s="880"/>
      <c r="N66" s="880"/>
      <c r="O66" s="880"/>
      <c r="P66" s="880"/>
    </row>
    <row r="67" spans="1:16" ht="6.75" customHeight="1" x14ac:dyDescent="0.35">
      <c r="B67" s="512"/>
      <c r="C67" s="205"/>
      <c r="D67" s="205"/>
      <c r="E67" s="205"/>
      <c r="F67" s="205"/>
      <c r="G67" s="206"/>
      <c r="H67" s="206"/>
      <c r="I67" s="206"/>
      <c r="J67" s="207"/>
      <c r="K67" s="207"/>
      <c r="L67" s="511"/>
      <c r="M67" s="880"/>
      <c r="N67" s="880"/>
      <c r="O67" s="880"/>
      <c r="P67" s="880"/>
    </row>
    <row r="68" spans="1:16" ht="17.25" customHeight="1" thickBot="1" x14ac:dyDescent="0.4">
      <c r="B68" s="1350" t="s">
        <v>295</v>
      </c>
      <c r="C68" s="1351"/>
      <c r="D68" s="1351"/>
      <c r="E68" s="1351"/>
      <c r="F68" s="1351"/>
      <c r="G68" s="1351"/>
      <c r="H68" s="1351"/>
      <c r="I68" s="1351"/>
      <c r="J68" s="1351"/>
      <c r="K68" s="1351"/>
      <c r="L68" s="1352"/>
      <c r="M68" s="880"/>
      <c r="N68" s="880"/>
      <c r="O68" s="880"/>
      <c r="P68" s="880"/>
    </row>
    <row r="69" spans="1:16" ht="12" customHeight="1" x14ac:dyDescent="0.35">
      <c r="A69" s="746"/>
      <c r="B69" s="1347" t="s">
        <v>298</v>
      </c>
      <c r="C69" s="1348"/>
      <c r="D69" s="1348"/>
      <c r="E69" s="1348"/>
      <c r="F69" s="1348"/>
      <c r="G69" s="1348"/>
      <c r="H69" s="1348"/>
      <c r="I69" s="1348"/>
      <c r="J69" s="1348"/>
      <c r="K69" s="1348"/>
      <c r="L69" s="1349"/>
      <c r="M69" s="38"/>
      <c r="N69" s="880"/>
      <c r="O69" s="880"/>
      <c r="P69" s="880"/>
    </row>
    <row r="70" spans="1:16" ht="12" customHeight="1" thickBot="1" x14ac:dyDescent="0.4">
      <c r="B70" s="1353" t="s">
        <v>299</v>
      </c>
      <c r="C70" s="1354"/>
      <c r="D70" s="1354"/>
      <c r="E70" s="1354"/>
      <c r="F70" s="1354"/>
      <c r="G70" s="1354"/>
      <c r="H70" s="1354"/>
      <c r="I70" s="1354"/>
      <c r="J70" s="1354"/>
      <c r="K70" s="1354"/>
      <c r="L70" s="1355"/>
      <c r="M70" s="38"/>
      <c r="N70" s="880"/>
      <c r="O70" s="880"/>
      <c r="P70" s="880"/>
    </row>
    <row r="71" spans="1:16" ht="12.75" customHeight="1" x14ac:dyDescent="0.35">
      <c r="A71" s="746"/>
      <c r="B71" s="1356" t="s">
        <v>300</v>
      </c>
      <c r="C71" s="1357"/>
      <c r="D71" s="1357"/>
      <c r="E71" s="1357"/>
      <c r="F71" s="1357"/>
      <c r="G71" s="1357"/>
      <c r="H71" s="1357"/>
      <c r="I71" s="1357"/>
      <c r="J71" s="1357"/>
      <c r="K71" s="1357"/>
      <c r="L71" s="1358"/>
      <c r="M71" s="38"/>
      <c r="N71" s="880"/>
      <c r="O71" s="880"/>
      <c r="P71" s="880"/>
    </row>
    <row r="72" spans="1:16" ht="12.75" customHeight="1" x14ac:dyDescent="0.35">
      <c r="A72" s="746"/>
      <c r="B72" s="1359" t="s">
        <v>301</v>
      </c>
      <c r="C72" s="1360"/>
      <c r="D72" s="1360"/>
      <c r="E72" s="1360"/>
      <c r="F72" s="1360"/>
      <c r="G72" s="1360"/>
      <c r="H72" s="1360"/>
      <c r="I72" s="1360"/>
      <c r="J72" s="1360"/>
      <c r="K72" s="1360"/>
      <c r="L72" s="1361"/>
      <c r="M72" s="38"/>
      <c r="N72" s="880"/>
      <c r="O72" s="880"/>
      <c r="P72" s="880"/>
    </row>
    <row r="73" spans="1:16" ht="12.75" customHeight="1" thickBot="1" x14ac:dyDescent="0.4">
      <c r="A73" s="746"/>
      <c r="B73" s="1344" t="s">
        <v>302</v>
      </c>
      <c r="C73" s="1345"/>
      <c r="D73" s="1345"/>
      <c r="E73" s="1345"/>
      <c r="F73" s="1345"/>
      <c r="G73" s="1345"/>
      <c r="H73" s="1345"/>
      <c r="I73" s="1345"/>
      <c r="J73" s="1345"/>
      <c r="K73" s="1345"/>
      <c r="L73" s="1346"/>
      <c r="M73" s="38"/>
      <c r="N73" s="880"/>
      <c r="O73" s="880"/>
      <c r="P73" s="880"/>
    </row>
  </sheetData>
  <sheetProtection algorithmName="SHA-512" hashValue="KLmqrb27fuzEQShNTPt/PEqlUWOTsTF5dpwfziLCfz54FkR0wTfYBOyBS2q8CoEAzu0l+fHXtGOH1mGYO34yqw==" saltValue="t50LkuT/Rw7VAril3qFjNA==" spinCount="100000" sheet="1" objects="1" scenarios="1" selectLockedCells="1"/>
  <mergeCells count="19">
    <mergeCell ref="B73:L73"/>
    <mergeCell ref="B69:L69"/>
    <mergeCell ref="B68:L68"/>
    <mergeCell ref="B70:L70"/>
    <mergeCell ref="B71:L71"/>
    <mergeCell ref="B72:L72"/>
    <mergeCell ref="B3:C3"/>
    <mergeCell ref="H8:K8"/>
    <mergeCell ref="D4:F4"/>
    <mergeCell ref="C61:D61"/>
    <mergeCell ref="H9:K22"/>
    <mergeCell ref="H41:K54"/>
    <mergeCell ref="H40:K40"/>
    <mergeCell ref="B36:L36"/>
    <mergeCell ref="H26:K26"/>
    <mergeCell ref="H28:K28"/>
    <mergeCell ref="C29:D29"/>
    <mergeCell ref="H60:K60"/>
    <mergeCell ref="H58:K58"/>
  </mergeCells>
  <phoneticPr fontId="34" type="noConversion"/>
  <conditionalFormatting sqref="K32:K33 K64:K66">
    <cfRule type="cellIs" dxfId="26" priority="1" stopIfTrue="1" operator="equal">
      <formula>$L$32</formula>
    </cfRule>
  </conditionalFormatting>
  <dataValidations count="5">
    <dataValidation type="decimal" allowBlank="1" showInputMessage="1" showErrorMessage="1" errorTitle="Input error" error="Please enter a % between 0 and 100. _x000a_Total allocation cannot be &gt; 100%." sqref="H32 H64" xr:uid="{00000000-0002-0000-0200-000000000000}">
      <formula1>0</formula1>
      <formula2>O32</formula2>
    </dataValidation>
    <dataValidation type="decimal" allowBlank="1" showInputMessage="1" showErrorMessage="1" errorTitle="Input error" error="Please enter a % between 0 and 100. _x000a_Total allocation cannot be &gt; 100%." sqref="F32 F64" xr:uid="{00000000-0002-0000-0200-000001000000}">
      <formula1>0</formula1>
      <formula2>N32</formula2>
    </dataValidation>
    <dataValidation type="decimal" allowBlank="1" showInputMessage="1" showErrorMessage="1" errorTitle="Input error" error="Please enter a % between 0 and 100. _x000a_Total allocation cannot be &gt; 100%." sqref="J32 J64" xr:uid="{00000000-0002-0000-0200-000002000000}">
      <formula1>0</formula1>
      <formula2>P32</formula2>
    </dataValidation>
    <dataValidation type="decimal" operator="greaterThanOrEqual" allowBlank="1" showInputMessage="1" showErrorMessage="1" errorTitle="Value" error="Must be greater than or equal to zero" sqref="F15:F20 D47:D52 F47:F52 D15:D20" xr:uid="{00000000-0002-0000-0200-000003000000}">
      <formula1>0</formula1>
    </dataValidation>
    <dataValidation type="decimal" allowBlank="1" showInputMessage="1" showErrorMessage="1" errorTitle="Input error" error="Please enter a % between 0 and 100. _x000a_Total allocation cannot be &gt; 100%." sqref="D64 D32" xr:uid="{00000000-0002-0000-0200-000004000000}">
      <formula1>0</formula1>
      <formula2>M32</formula2>
    </dataValidation>
  </dataValidations>
  <pageMargins left="0.3" right="0.16" top="0.56999999999999995" bottom="0.19" header="0.25" footer="0.14000000000000001"/>
  <pageSetup paperSize="9" scale="85"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92" r:id="rId4" name="BackButton">
              <controlPr defaultSize="0" print="0" autoFill="0" autoPict="0" macro="[0]!BackButton_Click">
                <anchor moveWithCells="1" sizeWithCells="1">
                  <from>
                    <xdr:col>7</xdr:col>
                    <xdr:colOff>333375</xdr:colOff>
                    <xdr:row>1</xdr:row>
                    <xdr:rowOff>66675</xdr:rowOff>
                  </from>
                  <to>
                    <xdr:col>10</xdr:col>
                    <xdr:colOff>266700</xdr:colOff>
                    <xdr:row>2</xdr:row>
                    <xdr:rowOff>180975</xdr:rowOff>
                  </to>
                </anchor>
              </controlPr>
            </control>
          </mc:Choice>
        </mc:AlternateContent>
        <mc:AlternateContent xmlns:mc="http://schemas.openxmlformats.org/markup-compatibility/2006">
          <mc:Choice Requires="x14">
            <control shapeId="16393" r:id="rId5" name="SEResetButton">
              <controlPr defaultSize="0" print="0" autoFill="0" autoPict="0" macro="[0]!SEResetButton_Click">
                <anchor moveWithCells="1" sizeWithCells="1">
                  <from>
                    <xdr:col>10</xdr:col>
                    <xdr:colOff>447675</xdr:colOff>
                    <xdr:row>1</xdr:row>
                    <xdr:rowOff>66675</xdr:rowOff>
                  </from>
                  <to>
                    <xdr:col>10</xdr:col>
                    <xdr:colOff>1066800</xdr:colOff>
                    <xdr:row>2</xdr:row>
                    <xdr:rowOff>180975</xdr:rowOff>
                  </to>
                </anchor>
              </controlPr>
            </control>
          </mc:Choice>
        </mc:AlternateContent>
        <mc:AlternateContent xmlns:mc="http://schemas.openxmlformats.org/markup-compatibility/2006">
          <mc:Choice Requires="x14">
            <control shapeId="16394" r:id="rId6" name="SE1Checkbox">
              <controlPr defaultSize="0" autoFill="0" autoLine="0" autoPict="0" macro="[0]!SE1Checkbox_Click">
                <anchor moveWithCells="1">
                  <from>
                    <xdr:col>4</xdr:col>
                    <xdr:colOff>28575</xdr:colOff>
                    <xdr:row>25</xdr:row>
                    <xdr:rowOff>28575</xdr:rowOff>
                  </from>
                  <to>
                    <xdr:col>5</xdr:col>
                    <xdr:colOff>104775</xdr:colOff>
                    <xdr:row>26</xdr:row>
                    <xdr:rowOff>0</xdr:rowOff>
                  </to>
                </anchor>
              </controlPr>
            </control>
          </mc:Choice>
        </mc:AlternateContent>
        <mc:AlternateContent xmlns:mc="http://schemas.openxmlformats.org/markup-compatibility/2006">
          <mc:Choice Requires="x14">
            <control shapeId="16395" r:id="rId7" name="SE1AdjCheckbox">
              <controlPr defaultSize="0" autoFill="0" autoLine="0" autoPict="0" macro="[0]!SE1AdjCheckbox_Click">
                <anchor moveWithCells="1">
                  <from>
                    <xdr:col>4</xdr:col>
                    <xdr:colOff>28575</xdr:colOff>
                    <xdr:row>27</xdr:row>
                    <xdr:rowOff>28575</xdr:rowOff>
                  </from>
                  <to>
                    <xdr:col>5</xdr:col>
                    <xdr:colOff>104775</xdr:colOff>
                    <xdr:row>27</xdr:row>
                    <xdr:rowOff>228600</xdr:rowOff>
                  </to>
                </anchor>
              </controlPr>
            </control>
          </mc:Choice>
        </mc:AlternateContent>
        <mc:AlternateContent xmlns:mc="http://schemas.openxmlformats.org/markup-compatibility/2006">
          <mc:Choice Requires="x14">
            <control shapeId="16396" r:id="rId8" name="SE2Checkbox">
              <controlPr defaultSize="0" autoFill="0" autoLine="0" autoPict="0" macro="[0]!SE2Checkbox_Click">
                <anchor moveWithCells="1">
                  <from>
                    <xdr:col>4</xdr:col>
                    <xdr:colOff>28575</xdr:colOff>
                    <xdr:row>57</xdr:row>
                    <xdr:rowOff>28575</xdr:rowOff>
                  </from>
                  <to>
                    <xdr:col>5</xdr:col>
                    <xdr:colOff>104775</xdr:colOff>
                    <xdr:row>58</xdr:row>
                    <xdr:rowOff>28575</xdr:rowOff>
                  </to>
                </anchor>
              </controlPr>
            </control>
          </mc:Choice>
        </mc:AlternateContent>
        <mc:AlternateContent xmlns:mc="http://schemas.openxmlformats.org/markup-compatibility/2006">
          <mc:Choice Requires="x14">
            <control shapeId="16397" r:id="rId9" name="SE2AdjCheckbox">
              <controlPr defaultSize="0" autoFill="0" autoLine="0" autoPict="0" macro="[0]!SE2AdjCheckbox_Click">
                <anchor moveWithCells="1">
                  <from>
                    <xdr:col>4</xdr:col>
                    <xdr:colOff>28575</xdr:colOff>
                    <xdr:row>59</xdr:row>
                    <xdr:rowOff>28575</xdr:rowOff>
                  </from>
                  <to>
                    <xdr:col>5</xdr:col>
                    <xdr:colOff>104775</xdr:colOff>
                    <xdr:row>60</xdr:row>
                    <xdr:rowOff>28575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pageSetUpPr fitToPage="1"/>
  </sheetPr>
  <dimension ref="B1:AM215"/>
  <sheetViews>
    <sheetView showGridLines="0" showRowColHeaders="0" zoomScaleNormal="85" zoomScaleSheetLayoutView="85" workbookViewId="0">
      <selection activeCell="D8" sqref="D8"/>
    </sheetView>
  </sheetViews>
  <sheetFormatPr defaultColWidth="9.265625" defaultRowHeight="12.75" x14ac:dyDescent="0.35"/>
  <cols>
    <col min="1" max="1" width="2.3984375" style="213" customWidth="1"/>
    <col min="2" max="2" width="27.3984375" style="213" customWidth="1"/>
    <col min="3" max="3" width="9.265625" style="213"/>
    <col min="4" max="4" width="13.73046875" style="213" customWidth="1"/>
    <col min="5" max="5" width="0.59765625" style="213" customWidth="1"/>
    <col min="6" max="6" width="2.73046875" style="213" customWidth="1"/>
    <col min="7" max="7" width="10.265625" style="214" customWidth="1"/>
    <col min="8" max="8" width="9.73046875" style="213" customWidth="1"/>
    <col min="9" max="9" width="2.73046875" style="214" customWidth="1"/>
    <col min="10" max="10" width="11.265625" style="214" customWidth="1"/>
    <col min="11" max="11" width="20.265625" style="214" customWidth="1"/>
    <col min="12" max="12" width="2" style="214" customWidth="1"/>
    <col min="13" max="13" width="1.265625" style="214" customWidth="1"/>
    <col min="14" max="14" width="12" style="214" customWidth="1"/>
    <col min="15" max="15" width="10.73046875" style="214" hidden="1" customWidth="1"/>
    <col min="16" max="16" width="10.59765625" style="214" hidden="1" customWidth="1"/>
    <col min="17" max="17" width="6.3984375" style="214" customWidth="1"/>
    <col min="18" max="35" width="9.265625" style="214"/>
    <col min="36" max="16384" width="9.265625" style="213"/>
  </cols>
  <sheetData>
    <row r="1" spans="2:35" ht="14.25" customHeight="1" thickBot="1" x14ac:dyDescent="0.4"/>
    <row r="2" spans="2:35" ht="17.25" customHeight="1" thickBot="1" x14ac:dyDescent="0.4">
      <c r="B2" s="1362" t="s">
        <v>303</v>
      </c>
      <c r="C2" s="1363"/>
      <c r="D2" s="1363"/>
      <c r="E2" s="1363"/>
      <c r="F2" s="1363"/>
      <c r="G2" s="1363"/>
      <c r="H2" s="2"/>
      <c r="I2" s="22"/>
      <c r="J2" s="22"/>
      <c r="K2" s="2"/>
      <c r="L2" s="140"/>
    </row>
    <row r="3" spans="2:35" ht="15.75" customHeight="1" thickBot="1" x14ac:dyDescent="0.4">
      <c r="B3" s="1364"/>
      <c r="C3" s="1365"/>
      <c r="D3" s="1365"/>
      <c r="E3" s="1365"/>
      <c r="F3" s="1365"/>
      <c r="G3" s="1365"/>
      <c r="H3" s="22"/>
      <c r="I3" s="22"/>
      <c r="J3" s="215"/>
      <c r="K3" s="43"/>
      <c r="L3" s="142"/>
    </row>
    <row r="4" spans="2:35" ht="30.75" customHeight="1" x14ac:dyDescent="0.35">
      <c r="B4" s="1366" t="s">
        <v>304</v>
      </c>
      <c r="C4" s="1367"/>
      <c r="D4" s="1367"/>
      <c r="E4" s="1367"/>
      <c r="F4" s="1367"/>
      <c r="G4" s="1367"/>
      <c r="H4" s="1367"/>
      <c r="I4" s="1367"/>
      <c r="J4" s="1367"/>
      <c r="K4" s="1367"/>
      <c r="L4" s="216"/>
      <c r="M4" s="217"/>
      <c r="N4" s="217"/>
    </row>
    <row r="5" spans="2:35" s="221" customFormat="1" ht="17.25" customHeight="1" thickBot="1" x14ac:dyDescent="0.4">
      <c r="B5" s="1389" t="s">
        <v>305</v>
      </c>
      <c r="C5" s="1390"/>
      <c r="D5" s="1390"/>
      <c r="E5" s="1390"/>
      <c r="F5" s="1390"/>
      <c r="G5" s="1390"/>
      <c r="H5" s="218" t="str">
        <f>Version</f>
        <v>Version: (16 Sep 2024)</v>
      </c>
      <c r="I5" s="219"/>
      <c r="J5" s="219"/>
      <c r="K5" s="219"/>
      <c r="L5" s="220"/>
      <c r="M5" s="217"/>
      <c r="N5" s="217"/>
      <c r="O5" s="217"/>
      <c r="P5" s="217"/>
      <c r="Q5" s="217"/>
      <c r="R5" s="217"/>
      <c r="S5" s="217"/>
      <c r="T5" s="217"/>
      <c r="U5" s="217"/>
      <c r="V5" s="217"/>
      <c r="W5" s="217"/>
      <c r="X5" s="217"/>
      <c r="Y5" s="217"/>
      <c r="Z5" s="217"/>
      <c r="AA5" s="217"/>
      <c r="AB5" s="217"/>
      <c r="AC5" s="217"/>
      <c r="AD5" s="217"/>
      <c r="AE5" s="217"/>
      <c r="AF5" s="217"/>
      <c r="AG5" s="217"/>
      <c r="AH5" s="217"/>
      <c r="AI5" s="217"/>
    </row>
    <row r="6" spans="2:35" ht="17.25" customHeight="1" x14ac:dyDescent="0.35">
      <c r="B6" s="1371" t="s">
        <v>306</v>
      </c>
      <c r="C6" s="1372"/>
      <c r="D6" s="1372"/>
      <c r="E6" s="1372"/>
      <c r="F6" s="1372"/>
      <c r="G6" s="1372"/>
      <c r="H6" s="1372"/>
      <c r="I6" s="1372"/>
      <c r="J6" s="1372"/>
      <c r="K6" s="1372"/>
      <c r="L6" s="1373"/>
      <c r="M6" s="217"/>
      <c r="N6" s="217"/>
    </row>
    <row r="7" spans="2:35" ht="3" customHeight="1" x14ac:dyDescent="0.35">
      <c r="B7" s="222"/>
      <c r="C7" s="223"/>
      <c r="D7" s="224"/>
      <c r="E7" s="224"/>
      <c r="F7" s="224"/>
      <c r="G7" s="224"/>
      <c r="H7" s="224"/>
      <c r="I7" s="224"/>
      <c r="J7" s="224"/>
      <c r="K7" s="224"/>
      <c r="L7" s="225"/>
      <c r="M7" s="217"/>
      <c r="N7" s="217"/>
    </row>
    <row r="8" spans="2:35" s="217" customFormat="1" ht="14.25" customHeight="1" x14ac:dyDescent="0.35">
      <c r="B8" s="226" t="s">
        <v>307</v>
      </c>
      <c r="C8" s="227" t="s">
        <v>308</v>
      </c>
      <c r="D8" s="342">
        <v>0</v>
      </c>
      <c r="E8" s="228"/>
      <c r="F8" s="228"/>
      <c r="H8" s="229"/>
      <c r="L8" s="230"/>
      <c r="O8" s="214"/>
      <c r="P8" s="214"/>
    </row>
    <row r="9" spans="2:35" s="221" customFormat="1" ht="14.25" customHeight="1" x14ac:dyDescent="0.35">
      <c r="B9" s="231"/>
      <c r="C9" s="227" t="s">
        <v>309</v>
      </c>
      <c r="D9" s="342">
        <v>0</v>
      </c>
      <c r="H9" s="232"/>
      <c r="L9" s="230"/>
      <c r="M9" s="217"/>
      <c r="N9" s="217"/>
      <c r="O9" s="214"/>
      <c r="P9" s="214"/>
      <c r="Q9" s="217"/>
      <c r="R9" s="217"/>
      <c r="S9" s="217"/>
      <c r="T9" s="217"/>
      <c r="U9" s="217"/>
      <c r="V9" s="217"/>
      <c r="W9" s="217"/>
      <c r="X9" s="217"/>
      <c r="Y9" s="217"/>
      <c r="Z9" s="217"/>
      <c r="AA9" s="217"/>
      <c r="AB9" s="217"/>
      <c r="AC9" s="217"/>
      <c r="AD9" s="217"/>
      <c r="AE9" s="217"/>
      <c r="AF9" s="217"/>
      <c r="AG9" s="217"/>
      <c r="AH9" s="217"/>
      <c r="AI9" s="217"/>
    </row>
    <row r="10" spans="2:35" s="221" customFormat="1" ht="14.25" customHeight="1" x14ac:dyDescent="0.35">
      <c r="B10" s="231"/>
      <c r="C10" s="227" t="s">
        <v>310</v>
      </c>
      <c r="D10" s="342">
        <v>0</v>
      </c>
      <c r="H10" s="232"/>
      <c r="L10" s="230"/>
      <c r="M10" s="217"/>
      <c r="N10" s="217"/>
      <c r="O10" s="214"/>
      <c r="P10" s="214"/>
      <c r="Q10" s="217"/>
      <c r="R10" s="217"/>
      <c r="S10" s="217"/>
      <c r="T10" s="217"/>
      <c r="U10" s="217"/>
      <c r="V10" s="217"/>
      <c r="W10" s="217"/>
      <c r="X10" s="217"/>
      <c r="Y10" s="217"/>
      <c r="Z10" s="217"/>
      <c r="AA10" s="217"/>
      <c r="AB10" s="217"/>
      <c r="AC10" s="217"/>
      <c r="AD10" s="217"/>
      <c r="AE10" s="217"/>
      <c r="AF10" s="217"/>
      <c r="AG10" s="217"/>
      <c r="AH10" s="217"/>
      <c r="AI10" s="217"/>
    </row>
    <row r="11" spans="2:35" s="221" customFormat="1" ht="14.25" customHeight="1" x14ac:dyDescent="0.35">
      <c r="B11" s="231"/>
      <c r="C11" s="227" t="s">
        <v>311</v>
      </c>
      <c r="D11" s="342">
        <v>0</v>
      </c>
      <c r="F11" s="1394" t="s">
        <v>312</v>
      </c>
      <c r="G11" s="1394"/>
      <c r="H11" s="1394"/>
      <c r="I11" s="1394"/>
      <c r="J11" s="1394"/>
      <c r="K11" s="1394"/>
      <c r="L11" s="230"/>
      <c r="M11" s="217"/>
      <c r="N11" s="217"/>
      <c r="O11" s="214"/>
      <c r="P11" s="214"/>
      <c r="Q11" s="217"/>
      <c r="R11" s="217"/>
      <c r="S11" s="217"/>
      <c r="T11" s="217"/>
      <c r="U11" s="217"/>
      <c r="V11" s="217"/>
      <c r="W11" s="217"/>
      <c r="X11" s="217"/>
      <c r="Y11" s="217"/>
      <c r="Z11" s="217"/>
      <c r="AA11" s="217"/>
      <c r="AB11" s="217"/>
      <c r="AC11" s="217"/>
      <c r="AD11" s="217"/>
      <c r="AE11" s="217"/>
      <c r="AF11" s="217"/>
      <c r="AG11" s="217"/>
      <c r="AH11" s="217"/>
      <c r="AI11" s="217"/>
    </row>
    <row r="12" spans="2:35" s="221" customFormat="1" ht="3.75" customHeight="1" x14ac:dyDescent="0.35">
      <c r="B12" s="233"/>
      <c r="L12" s="230"/>
      <c r="M12" s="217"/>
      <c r="N12" s="217"/>
      <c r="O12" s="214"/>
      <c r="P12" s="214"/>
      <c r="Q12" s="217"/>
      <c r="R12" s="217"/>
      <c r="S12" s="217"/>
      <c r="T12" s="217"/>
      <c r="U12" s="217"/>
      <c r="V12" s="217"/>
      <c r="W12" s="217"/>
      <c r="X12" s="217"/>
      <c r="Y12" s="217"/>
      <c r="Z12" s="217"/>
      <c r="AA12" s="217"/>
      <c r="AB12" s="217"/>
      <c r="AC12" s="217"/>
      <c r="AD12" s="217"/>
      <c r="AE12" s="217"/>
      <c r="AF12" s="217"/>
      <c r="AG12" s="217"/>
      <c r="AH12" s="217"/>
      <c r="AI12" s="217"/>
    </row>
    <row r="13" spans="2:35" s="221" customFormat="1" ht="14.25" customHeight="1" x14ac:dyDescent="0.35">
      <c r="B13" s="234" t="s">
        <v>313</v>
      </c>
      <c r="C13" s="235"/>
      <c r="D13" s="236">
        <f>SUM(D8:D11)</f>
        <v>0</v>
      </c>
      <c r="H13" s="232"/>
      <c r="L13" s="230"/>
      <c r="M13" s="217"/>
      <c r="N13" s="217"/>
      <c r="O13" s="214"/>
      <c r="P13" s="214"/>
      <c r="Q13" s="217"/>
      <c r="R13" s="217"/>
      <c r="S13" s="217"/>
      <c r="T13" s="217"/>
      <c r="U13" s="217"/>
      <c r="V13" s="217"/>
      <c r="W13" s="217"/>
      <c r="X13" s="217"/>
      <c r="Y13" s="217"/>
      <c r="Z13" s="217"/>
      <c r="AA13" s="217"/>
      <c r="AB13" s="217"/>
      <c r="AC13" s="217"/>
      <c r="AD13" s="217"/>
      <c r="AE13" s="217"/>
      <c r="AF13" s="217"/>
      <c r="AG13" s="217"/>
      <c r="AH13" s="217"/>
      <c r="AI13" s="217"/>
    </row>
    <row r="14" spans="2:35" s="221" customFormat="1" ht="4.5" customHeight="1" x14ac:dyDescent="0.35">
      <c r="B14" s="233"/>
      <c r="L14" s="230"/>
      <c r="M14" s="217"/>
      <c r="N14" s="217"/>
      <c r="O14" s="214"/>
      <c r="P14" s="214"/>
      <c r="Q14" s="217"/>
      <c r="R14" s="217"/>
      <c r="S14" s="217"/>
      <c r="T14" s="217"/>
      <c r="U14" s="217"/>
      <c r="V14" s="217"/>
      <c r="W14" s="217"/>
      <c r="X14" s="217"/>
      <c r="Y14" s="217"/>
      <c r="Z14" s="217"/>
      <c r="AA14" s="217"/>
      <c r="AB14" s="217"/>
      <c r="AC14" s="217"/>
      <c r="AD14" s="217"/>
      <c r="AE14" s="217"/>
      <c r="AF14" s="217"/>
      <c r="AG14" s="217"/>
      <c r="AH14" s="217"/>
      <c r="AI14" s="217"/>
    </row>
    <row r="15" spans="2:35" s="221" customFormat="1" ht="17.25" customHeight="1" x14ac:dyDescent="0.35">
      <c r="B15" s="1368" t="s">
        <v>314</v>
      </c>
      <c r="C15" s="1369"/>
      <c r="D15" s="1369"/>
      <c r="E15" s="1369"/>
      <c r="F15" s="1369"/>
      <c r="G15" s="1369"/>
      <c r="H15" s="1369"/>
      <c r="I15" s="1369"/>
      <c r="J15" s="1369"/>
      <c r="K15" s="1369"/>
      <c r="L15" s="1370"/>
      <c r="M15" s="217"/>
      <c r="N15" s="217"/>
      <c r="P15" s="214"/>
      <c r="Q15" s="217"/>
      <c r="R15" s="217"/>
      <c r="S15" s="217"/>
      <c r="T15" s="217"/>
      <c r="U15" s="217"/>
      <c r="V15" s="217"/>
      <c r="W15" s="217"/>
      <c r="X15" s="217"/>
      <c r="Y15" s="217"/>
      <c r="Z15" s="217"/>
      <c r="AA15" s="217"/>
      <c r="AB15" s="217"/>
      <c r="AC15" s="217"/>
      <c r="AD15" s="217"/>
      <c r="AE15" s="217"/>
      <c r="AF15" s="217"/>
      <c r="AG15" s="217"/>
      <c r="AH15" s="217"/>
      <c r="AI15" s="217"/>
    </row>
    <row r="16" spans="2:35" s="221" customFormat="1" ht="3" customHeight="1" thickBot="1" x14ac:dyDescent="0.4">
      <c r="B16" s="237"/>
      <c r="C16" s="238"/>
      <c r="D16" s="238"/>
      <c r="E16" s="238"/>
      <c r="F16" s="238"/>
      <c r="G16" s="238"/>
      <c r="H16" s="238"/>
      <c r="I16" s="238"/>
      <c r="J16" s="238"/>
      <c r="K16" s="238"/>
      <c r="L16" s="239"/>
      <c r="M16" s="217"/>
      <c r="N16" s="217"/>
      <c r="P16" s="214"/>
      <c r="Q16" s="217"/>
      <c r="R16" s="217"/>
      <c r="S16" s="217"/>
      <c r="T16" s="217"/>
      <c r="U16" s="217"/>
      <c r="V16" s="217"/>
      <c r="W16" s="217"/>
      <c r="X16" s="217"/>
      <c r="Y16" s="217"/>
      <c r="Z16" s="217"/>
      <c r="AA16" s="217"/>
      <c r="AB16" s="217"/>
      <c r="AC16" s="217"/>
      <c r="AD16" s="217"/>
      <c r="AE16" s="217"/>
      <c r="AF16" s="217"/>
      <c r="AG16" s="217"/>
      <c r="AH16" s="217"/>
      <c r="AI16" s="217"/>
    </row>
    <row r="17" spans="2:35" s="221" customFormat="1" ht="15" customHeight="1" thickBot="1" x14ac:dyDescent="0.4">
      <c r="B17" s="240"/>
      <c r="C17" s="241" t="s">
        <v>275</v>
      </c>
      <c r="D17" s="242">
        <v>2010</v>
      </c>
      <c r="F17" s="1379" t="s">
        <v>315</v>
      </c>
      <c r="G17" s="1395"/>
      <c r="H17" s="1395"/>
      <c r="I17" s="1395"/>
      <c r="J17" s="1395"/>
      <c r="K17" s="1395"/>
      <c r="L17" s="230"/>
      <c r="M17" s="217"/>
      <c r="N17" s="217"/>
      <c r="O17" s="214"/>
      <c r="P17" s="214"/>
      <c r="Q17" s="217"/>
      <c r="R17" s="217"/>
      <c r="S17" s="217"/>
      <c r="T17" s="217"/>
      <c r="U17" s="217"/>
      <c r="V17" s="217"/>
      <c r="W17" s="217"/>
      <c r="X17" s="217"/>
      <c r="Y17" s="217"/>
      <c r="Z17" s="217"/>
      <c r="AA17" s="217"/>
      <c r="AB17" s="217"/>
      <c r="AC17" s="217"/>
      <c r="AD17" s="217"/>
      <c r="AE17" s="217"/>
      <c r="AF17" s="217"/>
      <c r="AG17" s="217"/>
      <c r="AH17" s="217"/>
      <c r="AI17" s="217"/>
    </row>
    <row r="18" spans="2:35" s="221" customFormat="1" ht="4.5" customHeight="1" x14ac:dyDescent="0.35">
      <c r="B18" s="233"/>
      <c r="G18" s="217"/>
      <c r="H18" s="217"/>
      <c r="I18" s="217"/>
      <c r="J18" s="217"/>
      <c r="K18" s="217"/>
      <c r="L18" s="230"/>
      <c r="M18" s="217"/>
      <c r="N18" s="217"/>
      <c r="O18" s="214"/>
      <c r="P18" s="214"/>
      <c r="Q18" s="217"/>
      <c r="R18" s="217"/>
      <c r="S18" s="217"/>
      <c r="T18" s="217"/>
      <c r="U18" s="217"/>
      <c r="V18" s="217"/>
      <c r="W18" s="217"/>
      <c r="X18" s="217"/>
      <c r="Y18" s="217"/>
      <c r="Z18" s="217"/>
      <c r="AA18" s="217"/>
      <c r="AB18" s="217"/>
      <c r="AC18" s="217"/>
      <c r="AD18" s="217"/>
      <c r="AE18" s="217"/>
      <c r="AF18" s="217"/>
      <c r="AG18" s="217"/>
      <c r="AH18" s="217"/>
      <c r="AI18" s="217"/>
    </row>
    <row r="19" spans="2:35" s="221" customFormat="1" ht="15" customHeight="1" x14ac:dyDescent="0.35">
      <c r="B19" s="243" t="s">
        <v>316</v>
      </c>
      <c r="C19" s="244"/>
      <c r="D19" s="342">
        <v>0</v>
      </c>
      <c r="L19" s="230"/>
      <c r="M19" s="217"/>
      <c r="N19" s="217"/>
      <c r="O19" s="217"/>
      <c r="P19" s="217"/>
      <c r="Q19" s="217"/>
      <c r="R19" s="217"/>
      <c r="S19" s="217"/>
      <c r="T19" s="217"/>
      <c r="U19" s="217"/>
      <c r="V19" s="217"/>
      <c r="W19" s="217"/>
      <c r="X19" s="217"/>
      <c r="Y19" s="217"/>
      <c r="Z19" s="217"/>
      <c r="AA19" s="217"/>
      <c r="AB19" s="217"/>
      <c r="AC19" s="217"/>
      <c r="AD19" s="217"/>
      <c r="AE19" s="217"/>
      <c r="AF19" s="217"/>
      <c r="AG19" s="217"/>
      <c r="AH19" s="217"/>
      <c r="AI19" s="217"/>
    </row>
    <row r="20" spans="2:35" s="221" customFormat="1" ht="4.5" customHeight="1" x14ac:dyDescent="0.35">
      <c r="B20" s="245"/>
      <c r="C20" s="246"/>
      <c r="D20" s="217"/>
      <c r="G20" s="247"/>
      <c r="K20" s="248"/>
      <c r="L20" s="230"/>
      <c r="M20" s="217"/>
      <c r="N20" s="217"/>
      <c r="O20" s="217"/>
      <c r="P20" s="217"/>
      <c r="Q20" s="217"/>
      <c r="R20" s="217"/>
      <c r="S20" s="217"/>
      <c r="T20" s="217"/>
      <c r="U20" s="217"/>
      <c r="V20" s="217"/>
      <c r="W20" s="217"/>
      <c r="X20" s="217"/>
      <c r="Y20" s="217"/>
      <c r="Z20" s="217"/>
      <c r="AA20" s="217"/>
      <c r="AB20" s="217"/>
      <c r="AC20" s="217"/>
      <c r="AD20" s="217"/>
      <c r="AE20" s="217"/>
      <c r="AF20" s="217"/>
      <c r="AG20" s="217"/>
      <c r="AH20" s="217"/>
      <c r="AI20" s="217"/>
    </row>
    <row r="21" spans="2:35" s="221" customFormat="1" ht="15" customHeight="1" x14ac:dyDescent="0.35">
      <c r="B21" s="243" t="s">
        <v>317</v>
      </c>
      <c r="C21" s="244"/>
      <c r="D21" s="342">
        <v>0</v>
      </c>
      <c r="F21" s="249" t="s">
        <v>318</v>
      </c>
      <c r="G21" s="250"/>
      <c r="I21" s="217"/>
      <c r="J21" s="217"/>
      <c r="K21" s="251"/>
      <c r="L21" s="252"/>
      <c r="P21" s="217"/>
      <c r="S21" s="217"/>
      <c r="T21" s="217"/>
      <c r="U21" s="217"/>
      <c r="V21" s="217"/>
      <c r="W21" s="217"/>
      <c r="X21" s="217"/>
      <c r="Y21" s="217"/>
      <c r="Z21" s="217"/>
      <c r="AA21" s="217"/>
      <c r="AB21" s="217"/>
      <c r="AC21" s="217"/>
      <c r="AD21" s="217"/>
      <c r="AE21" s="217"/>
      <c r="AF21" s="217"/>
      <c r="AG21" s="217"/>
      <c r="AH21" s="217"/>
      <c r="AI21" s="217"/>
    </row>
    <row r="22" spans="2:35" s="221" customFormat="1" ht="4.5" customHeight="1" x14ac:dyDescent="0.35">
      <c r="B22" s="253"/>
      <c r="C22" s="254"/>
      <c r="D22" s="255"/>
      <c r="G22" s="250"/>
      <c r="I22" s="217"/>
      <c r="J22" s="217"/>
      <c r="K22" s="251"/>
      <c r="L22" s="230"/>
      <c r="M22" s="217"/>
      <c r="N22" s="217"/>
      <c r="O22" s="217"/>
      <c r="P22" s="217"/>
      <c r="Q22" s="217"/>
      <c r="R22" s="217"/>
      <c r="S22" s="217"/>
      <c r="T22" s="217"/>
      <c r="U22" s="217"/>
      <c r="V22" s="217"/>
      <c r="W22" s="217"/>
      <c r="X22" s="217"/>
      <c r="Y22" s="217"/>
      <c r="Z22" s="217"/>
      <c r="AA22" s="217"/>
      <c r="AB22" s="217"/>
      <c r="AC22" s="217"/>
      <c r="AD22" s="217"/>
      <c r="AE22" s="217"/>
      <c r="AF22" s="217"/>
      <c r="AG22" s="217"/>
      <c r="AH22" s="217"/>
      <c r="AI22" s="217"/>
    </row>
    <row r="23" spans="2:35" s="217" customFormat="1" ht="2.25" customHeight="1" x14ac:dyDescent="0.35">
      <c r="B23" s="243"/>
      <c r="C23" s="244"/>
      <c r="D23" s="256"/>
      <c r="E23" s="221"/>
      <c r="F23" s="221"/>
      <c r="G23" s="250"/>
      <c r="H23" s="221"/>
      <c r="K23" s="251"/>
      <c r="L23" s="230"/>
    </row>
    <row r="24" spans="2:35" s="221" customFormat="1" ht="15" customHeight="1" x14ac:dyDescent="0.35">
      <c r="B24" s="243" t="s">
        <v>319</v>
      </c>
      <c r="C24" s="244"/>
      <c r="D24" s="236">
        <f>D19-D21</f>
        <v>0</v>
      </c>
      <c r="G24" s="250"/>
      <c r="I24" s="217"/>
      <c r="J24" s="217"/>
      <c r="K24" s="251"/>
      <c r="L24" s="230"/>
      <c r="M24" s="217"/>
      <c r="N24" s="217"/>
      <c r="O24" s="217"/>
      <c r="P24" s="217"/>
      <c r="Q24" s="217"/>
      <c r="R24" s="217"/>
      <c r="S24" s="217"/>
      <c r="T24" s="217"/>
      <c r="U24" s="217"/>
      <c r="V24" s="217"/>
      <c r="W24" s="217"/>
      <c r="X24" s="217"/>
      <c r="Y24" s="217"/>
      <c r="Z24" s="217"/>
      <c r="AA24" s="217"/>
      <c r="AB24" s="217"/>
      <c r="AC24" s="217"/>
      <c r="AD24" s="217"/>
      <c r="AE24" s="217"/>
      <c r="AF24" s="217"/>
      <c r="AG24" s="217"/>
      <c r="AH24" s="217"/>
      <c r="AI24" s="217"/>
    </row>
    <row r="25" spans="2:35" s="221" customFormat="1" ht="3.75" customHeight="1" x14ac:dyDescent="0.35">
      <c r="B25" s="243"/>
      <c r="C25" s="244"/>
      <c r="D25" s="248"/>
      <c r="G25" s="250"/>
      <c r="I25" s="217"/>
      <c r="J25" s="217"/>
      <c r="K25" s="251"/>
      <c r="L25" s="230"/>
      <c r="M25" s="217"/>
      <c r="N25" s="217"/>
      <c r="O25" s="217"/>
      <c r="P25" s="217"/>
      <c r="Q25" s="217"/>
      <c r="R25" s="217"/>
      <c r="S25" s="217"/>
      <c r="T25" s="217"/>
      <c r="U25" s="217"/>
      <c r="V25" s="217"/>
      <c r="W25" s="217"/>
      <c r="X25" s="217"/>
      <c r="Y25" s="217"/>
      <c r="Z25" s="217"/>
      <c r="AA25" s="217"/>
      <c r="AB25" s="217"/>
      <c r="AC25" s="217"/>
      <c r="AD25" s="217"/>
      <c r="AE25" s="217"/>
      <c r="AF25" s="217"/>
      <c r="AG25" s="217"/>
      <c r="AH25" s="217"/>
      <c r="AI25" s="217"/>
    </row>
    <row r="26" spans="2:35" s="221" customFormat="1" ht="15" customHeight="1" x14ac:dyDescent="0.35">
      <c r="B26" s="245" t="s">
        <v>320</v>
      </c>
      <c r="C26" s="246"/>
      <c r="D26" s="342">
        <v>0</v>
      </c>
      <c r="F26" s="1374" t="s">
        <v>321</v>
      </c>
      <c r="G26" s="1375"/>
      <c r="H26" s="1375"/>
      <c r="I26" s="1375"/>
      <c r="J26" s="1375"/>
      <c r="K26" s="1376"/>
      <c r="L26" s="230"/>
      <c r="M26" s="217"/>
      <c r="N26" s="217"/>
      <c r="O26" s="217"/>
      <c r="P26" s="217"/>
      <c r="Q26" s="217"/>
      <c r="R26" s="217"/>
      <c r="S26" s="217"/>
      <c r="T26" s="217"/>
      <c r="U26" s="217"/>
      <c r="V26" s="217"/>
      <c r="W26" s="217"/>
      <c r="X26" s="217"/>
      <c r="Y26" s="217"/>
      <c r="Z26" s="217"/>
      <c r="AA26" s="217"/>
      <c r="AB26" s="217"/>
      <c r="AC26" s="217"/>
      <c r="AD26" s="217"/>
      <c r="AE26" s="217"/>
      <c r="AF26" s="217"/>
      <c r="AG26" s="217"/>
      <c r="AH26" s="217"/>
      <c r="AI26" s="217"/>
    </row>
    <row r="27" spans="2:35" s="221" customFormat="1" ht="3.75" customHeight="1" x14ac:dyDescent="0.35">
      <c r="B27" s="253"/>
      <c r="C27" s="254"/>
      <c r="D27" s="250"/>
      <c r="G27" s="250"/>
      <c r="I27" s="217"/>
      <c r="J27" s="217"/>
      <c r="K27" s="251"/>
      <c r="L27" s="230"/>
      <c r="M27" s="217"/>
      <c r="N27" s="217"/>
      <c r="O27" s="217"/>
      <c r="P27" s="217"/>
      <c r="Q27" s="217"/>
      <c r="R27" s="217"/>
      <c r="S27" s="217"/>
      <c r="T27" s="217"/>
      <c r="U27" s="217"/>
      <c r="V27" s="217"/>
      <c r="W27" s="217"/>
      <c r="X27" s="217"/>
      <c r="Y27" s="217"/>
      <c r="Z27" s="217"/>
      <c r="AA27" s="217"/>
      <c r="AB27" s="217"/>
      <c r="AC27" s="217"/>
      <c r="AD27" s="217"/>
      <c r="AE27" s="217"/>
      <c r="AF27" s="217"/>
      <c r="AG27" s="217"/>
      <c r="AH27" s="217"/>
      <c r="AI27" s="217"/>
    </row>
    <row r="28" spans="2:35" s="221" customFormat="1" ht="15" customHeight="1" x14ac:dyDescent="0.35">
      <c r="B28" s="243" t="s">
        <v>278</v>
      </c>
      <c r="C28" s="254"/>
      <c r="D28" s="236">
        <f>D24-D26</f>
        <v>0</v>
      </c>
      <c r="G28" s="250"/>
      <c r="I28" s="217"/>
      <c r="J28" s="217"/>
      <c r="K28" s="251"/>
      <c r="L28" s="230"/>
      <c r="M28" s="217"/>
      <c r="N28" s="217"/>
      <c r="O28" s="217"/>
      <c r="P28" s="217"/>
      <c r="Q28" s="217"/>
      <c r="R28" s="217"/>
      <c r="S28" s="217"/>
      <c r="T28" s="217"/>
      <c r="U28" s="217"/>
      <c r="V28" s="217"/>
      <c r="W28" s="217"/>
      <c r="X28" s="217"/>
      <c r="Y28" s="217"/>
      <c r="Z28" s="217"/>
      <c r="AA28" s="217"/>
      <c r="AB28" s="217"/>
      <c r="AC28" s="217"/>
      <c r="AD28" s="217"/>
      <c r="AE28" s="217"/>
      <c r="AF28" s="217"/>
      <c r="AG28" s="217"/>
      <c r="AH28" s="217"/>
      <c r="AI28" s="217"/>
    </row>
    <row r="29" spans="2:35" s="221" customFormat="1" ht="6" customHeight="1" x14ac:dyDescent="0.35">
      <c r="B29" s="243"/>
      <c r="C29" s="244"/>
      <c r="D29" s="256"/>
      <c r="G29" s="250"/>
      <c r="I29" s="217"/>
      <c r="J29" s="217"/>
      <c r="K29" s="251"/>
      <c r="L29" s="230"/>
      <c r="M29" s="217"/>
      <c r="N29" s="217"/>
      <c r="O29" s="217"/>
      <c r="P29" s="217"/>
      <c r="Q29" s="217"/>
      <c r="R29" s="217"/>
      <c r="S29" s="217"/>
      <c r="T29" s="217"/>
      <c r="U29" s="217"/>
      <c r="V29" s="217"/>
      <c r="W29" s="217"/>
      <c r="X29" s="217"/>
      <c r="Y29" s="217"/>
      <c r="Z29" s="217"/>
      <c r="AA29" s="217"/>
      <c r="AB29" s="217"/>
      <c r="AC29" s="217"/>
      <c r="AD29" s="217"/>
      <c r="AE29" s="217"/>
      <c r="AF29" s="217"/>
      <c r="AG29" s="217"/>
      <c r="AH29" s="217"/>
      <c r="AI29" s="217"/>
    </row>
    <row r="30" spans="2:35" s="221" customFormat="1" ht="11.25" customHeight="1" x14ac:dyDescent="0.35">
      <c r="B30" s="135" t="s">
        <v>279</v>
      </c>
      <c r="C30" s="257"/>
      <c r="D30" s="1194"/>
      <c r="F30" s="1377"/>
      <c r="G30" s="1378"/>
      <c r="H30" s="1378"/>
      <c r="I30" s="217"/>
      <c r="J30" s="217"/>
      <c r="K30" s="217"/>
      <c r="L30" s="230"/>
      <c r="M30" s="217"/>
      <c r="N30" s="217"/>
      <c r="O30" s="217"/>
      <c r="P30" s="217"/>
      <c r="Q30" s="217"/>
      <c r="R30" s="217"/>
      <c r="S30" s="217"/>
      <c r="T30" s="217"/>
      <c r="U30" s="217"/>
      <c r="V30" s="217"/>
      <c r="W30" s="217"/>
      <c r="X30" s="217"/>
      <c r="Y30" s="217"/>
      <c r="Z30" s="217"/>
      <c r="AA30" s="217"/>
      <c r="AB30" s="217"/>
      <c r="AC30" s="217"/>
      <c r="AD30" s="217"/>
      <c r="AE30" s="217"/>
      <c r="AF30" s="217"/>
      <c r="AG30" s="217"/>
      <c r="AH30" s="217"/>
      <c r="AI30" s="217"/>
    </row>
    <row r="31" spans="2:35" s="221" customFormat="1" ht="15" customHeight="1" x14ac:dyDescent="0.35">
      <c r="B31" s="258" t="s">
        <v>322</v>
      </c>
      <c r="C31" s="259"/>
      <c r="D31" s="342">
        <v>0</v>
      </c>
      <c r="F31" s="1379" t="s">
        <v>323</v>
      </c>
      <c r="G31" s="1379"/>
      <c r="H31" s="1379"/>
      <c r="I31" s="1379"/>
      <c r="J31" s="1379"/>
      <c r="K31" s="1379"/>
      <c r="L31" s="230"/>
      <c r="M31" s="217"/>
      <c r="O31" s="260" t="s">
        <v>324</v>
      </c>
      <c r="P31" s="261">
        <f>MIN((D28+SUM(D32:D34,D36))*20%,MIN(Addback_Depr))</f>
        <v>0</v>
      </c>
      <c r="Q31" s="262"/>
      <c r="R31" s="217"/>
      <c r="S31" s="217"/>
      <c r="T31" s="217"/>
      <c r="U31" s="217"/>
      <c r="V31" s="217"/>
      <c r="W31" s="217"/>
      <c r="X31" s="217"/>
      <c r="Y31" s="217"/>
      <c r="Z31" s="217"/>
      <c r="AA31" s="217"/>
      <c r="AB31" s="217"/>
      <c r="AC31" s="217"/>
      <c r="AD31" s="217"/>
      <c r="AE31" s="217"/>
      <c r="AF31" s="217"/>
      <c r="AG31" s="217"/>
      <c r="AH31" s="217"/>
      <c r="AI31" s="217"/>
    </row>
    <row r="32" spans="2:35" s="221" customFormat="1" ht="15" customHeight="1" x14ac:dyDescent="0.35">
      <c r="B32" s="258" t="s">
        <v>325</v>
      </c>
      <c r="C32" s="259"/>
      <c r="D32" s="342">
        <v>0</v>
      </c>
      <c r="F32" s="1379" t="s">
        <v>326</v>
      </c>
      <c r="G32" s="1379"/>
      <c r="H32" s="1379"/>
      <c r="I32" s="1379"/>
      <c r="J32" s="1379"/>
      <c r="K32" s="1379"/>
      <c r="L32" s="230"/>
      <c r="M32" s="217"/>
      <c r="N32" s="217"/>
      <c r="P32" s="217"/>
      <c r="Q32" s="217"/>
      <c r="R32" s="217"/>
      <c r="S32" s="217"/>
      <c r="T32" s="217"/>
      <c r="U32" s="217"/>
      <c r="V32" s="217"/>
      <c r="W32" s="217"/>
      <c r="X32" s="217"/>
      <c r="Y32" s="217"/>
      <c r="Z32" s="217"/>
      <c r="AA32" s="217"/>
      <c r="AB32" s="217"/>
      <c r="AC32" s="217"/>
      <c r="AD32" s="217"/>
      <c r="AE32" s="217"/>
      <c r="AF32" s="217"/>
      <c r="AG32" s="217"/>
      <c r="AH32" s="217"/>
      <c r="AI32" s="217"/>
    </row>
    <row r="33" spans="2:35" s="221" customFormat="1" ht="15" customHeight="1" x14ac:dyDescent="0.35">
      <c r="B33" s="258" t="s">
        <v>327</v>
      </c>
      <c r="C33" s="259"/>
      <c r="D33" s="342">
        <v>0</v>
      </c>
      <c r="F33" s="1379" t="s">
        <v>328</v>
      </c>
      <c r="G33" s="1379"/>
      <c r="H33" s="1379"/>
      <c r="I33" s="1379"/>
      <c r="J33" s="1379"/>
      <c r="K33" s="1379"/>
      <c r="L33" s="230"/>
      <c r="M33" s="217"/>
      <c r="N33" s="217"/>
      <c r="P33" s="217"/>
      <c r="Q33" s="217"/>
      <c r="R33" s="217"/>
      <c r="S33" s="217"/>
      <c r="T33" s="217"/>
      <c r="U33" s="217"/>
      <c r="V33" s="217"/>
      <c r="W33" s="217"/>
      <c r="X33" s="217"/>
      <c r="Y33" s="217"/>
      <c r="Z33" s="217"/>
      <c r="AA33" s="217"/>
      <c r="AB33" s="217"/>
      <c r="AC33" s="217"/>
      <c r="AD33" s="217"/>
      <c r="AE33" s="217"/>
      <c r="AF33" s="217"/>
      <c r="AG33" s="217"/>
      <c r="AH33" s="217"/>
      <c r="AI33" s="217"/>
    </row>
    <row r="34" spans="2:35" s="221" customFormat="1" ht="15" customHeight="1" x14ac:dyDescent="0.35">
      <c r="B34" s="258" t="s">
        <v>329</v>
      </c>
      <c r="C34" s="259"/>
      <c r="D34" s="342">
        <v>0</v>
      </c>
      <c r="F34" s="1379" t="s">
        <v>330</v>
      </c>
      <c r="G34" s="1379"/>
      <c r="H34" s="1379"/>
      <c r="I34" s="1379"/>
      <c r="J34" s="1379"/>
      <c r="K34" s="1379"/>
      <c r="L34" s="230"/>
      <c r="M34" s="217"/>
      <c r="N34" s="217"/>
      <c r="P34" s="217"/>
      <c r="Q34" s="217"/>
      <c r="R34" s="217"/>
      <c r="S34" s="217"/>
      <c r="T34" s="217"/>
      <c r="U34" s="217"/>
      <c r="V34" s="217"/>
      <c r="W34" s="217"/>
      <c r="X34" s="217"/>
      <c r="Y34" s="217"/>
      <c r="Z34" s="217"/>
      <c r="AA34" s="217"/>
      <c r="AB34" s="217"/>
      <c r="AC34" s="217"/>
      <c r="AD34" s="217"/>
      <c r="AE34" s="217"/>
      <c r="AF34" s="217"/>
      <c r="AG34" s="217"/>
      <c r="AH34" s="217"/>
      <c r="AI34" s="217"/>
    </row>
    <row r="35" spans="2:35" s="221" customFormat="1" ht="4.5" customHeight="1" x14ac:dyDescent="0.35">
      <c r="B35" s="258"/>
      <c r="C35" s="259"/>
      <c r="D35" s="263"/>
      <c r="E35" s="263"/>
      <c r="F35" s="263"/>
      <c r="G35" s="263"/>
      <c r="H35" s="263"/>
      <c r="I35" s="263"/>
      <c r="J35" s="263"/>
      <c r="K35" s="263"/>
      <c r="L35" s="230"/>
      <c r="M35" s="217"/>
      <c r="N35" s="217"/>
      <c r="P35" s="217"/>
      <c r="Q35" s="217"/>
      <c r="R35" s="217"/>
      <c r="S35" s="217"/>
      <c r="T35" s="217"/>
      <c r="U35" s="217"/>
      <c r="V35" s="217"/>
      <c r="W35" s="217"/>
      <c r="X35" s="217"/>
      <c r="Y35" s="217"/>
      <c r="Z35" s="217"/>
      <c r="AA35" s="217"/>
      <c r="AB35" s="217"/>
      <c r="AC35" s="217"/>
      <c r="AD35" s="217"/>
      <c r="AE35" s="217"/>
      <c r="AF35" s="217"/>
      <c r="AG35" s="217"/>
      <c r="AH35" s="217"/>
      <c r="AI35" s="217"/>
    </row>
    <row r="36" spans="2:35" s="221" customFormat="1" ht="15" customHeight="1" x14ac:dyDescent="0.35">
      <c r="B36" s="258" t="s">
        <v>331</v>
      </c>
      <c r="C36" s="259"/>
      <c r="D36" s="342">
        <v>0</v>
      </c>
      <c r="F36" s="1374" t="s">
        <v>321</v>
      </c>
      <c r="G36" s="1375"/>
      <c r="H36" s="1375"/>
      <c r="I36" s="1375"/>
      <c r="J36" s="1375"/>
      <c r="K36" s="1376"/>
      <c r="L36" s="230"/>
      <c r="M36" s="217"/>
      <c r="N36" s="217"/>
      <c r="P36" s="217"/>
      <c r="Q36" s="217"/>
      <c r="R36" s="217"/>
      <c r="S36" s="217"/>
      <c r="T36" s="217"/>
      <c r="U36" s="217"/>
      <c r="V36" s="217"/>
      <c r="W36" s="217"/>
      <c r="X36" s="217"/>
      <c r="Y36" s="217"/>
      <c r="Z36" s="217"/>
      <c r="AA36" s="217"/>
      <c r="AB36" s="217"/>
      <c r="AC36" s="217"/>
      <c r="AD36" s="217"/>
      <c r="AE36" s="217"/>
      <c r="AF36" s="217"/>
      <c r="AG36" s="217"/>
      <c r="AH36" s="217"/>
      <c r="AI36" s="217"/>
    </row>
    <row r="37" spans="2:35" s="217" customFormat="1" ht="11.25" customHeight="1" x14ac:dyDescent="0.35">
      <c r="B37" s="258"/>
      <c r="C37" s="259"/>
      <c r="D37" s="264"/>
      <c r="E37" s="221"/>
      <c r="F37" s="265" t="s">
        <v>332</v>
      </c>
      <c r="G37" s="266"/>
      <c r="K37" s="263"/>
      <c r="L37" s="230"/>
    </row>
    <row r="38" spans="2:35" s="217" customFormat="1" ht="15" customHeight="1" x14ac:dyDescent="0.35">
      <c r="B38" s="135" t="s">
        <v>286</v>
      </c>
      <c r="C38" s="257"/>
      <c r="D38" s="236">
        <f>MAX(MIN(SUM(D32:D36)+MIN((D28+SUM(D32:D34,D36))*20%,MIN(Addback_Depr)),VALUE(D21)),0)</f>
        <v>0</v>
      </c>
      <c r="E38" s="251"/>
      <c r="F38" s="221"/>
      <c r="G38" s="267"/>
      <c r="K38" s="263"/>
      <c r="L38" s="230"/>
    </row>
    <row r="39" spans="2:35" s="217" customFormat="1" ht="4.5" customHeight="1" thickBot="1" x14ac:dyDescent="0.4">
      <c r="B39" s="268"/>
      <c r="C39" s="269"/>
      <c r="D39" s="270"/>
      <c r="E39" s="270"/>
      <c r="F39" s="60"/>
      <c r="G39" s="267"/>
      <c r="K39" s="263"/>
      <c r="L39" s="230"/>
    </row>
    <row r="40" spans="2:35" s="217" customFormat="1" ht="15" customHeight="1" thickBot="1" x14ac:dyDescent="0.4">
      <c r="B40" s="135" t="s">
        <v>287</v>
      </c>
      <c r="C40" s="271"/>
      <c r="D40" s="272">
        <f>D28+D38</f>
        <v>0</v>
      </c>
      <c r="E40" s="251"/>
      <c r="F40" s="248"/>
      <c r="G40" s="267"/>
      <c r="K40" s="263"/>
      <c r="L40" s="230"/>
      <c r="Q40" s="273"/>
    </row>
    <row r="41" spans="2:35" s="217" customFormat="1" ht="6" customHeight="1" x14ac:dyDescent="0.35">
      <c r="B41" s="274"/>
      <c r="C41" s="275"/>
      <c r="D41" s="267"/>
      <c r="E41" s="267"/>
      <c r="F41" s="267"/>
      <c r="G41" s="267"/>
      <c r="K41" s="263"/>
      <c r="L41" s="230"/>
    </row>
    <row r="42" spans="2:35" s="217" customFormat="1" ht="18" customHeight="1" x14ac:dyDescent="0.35">
      <c r="B42" s="1368" t="s">
        <v>333</v>
      </c>
      <c r="C42" s="1369"/>
      <c r="D42" s="1369"/>
      <c r="E42" s="1369"/>
      <c r="F42" s="1369"/>
      <c r="G42" s="1369"/>
      <c r="H42" s="1369"/>
      <c r="I42" s="1369"/>
      <c r="J42" s="1369"/>
      <c r="K42" s="1369"/>
      <c r="L42" s="1370"/>
    </row>
    <row r="43" spans="2:35" s="217" customFormat="1" ht="3.75" customHeight="1" x14ac:dyDescent="0.35">
      <c r="B43" s="276"/>
      <c r="C43" s="277"/>
      <c r="D43" s="277"/>
      <c r="E43" s="277"/>
      <c r="F43" s="277"/>
      <c r="G43" s="277"/>
      <c r="H43" s="277"/>
      <c r="I43" s="277"/>
      <c r="J43" s="277"/>
      <c r="K43" s="277"/>
      <c r="L43" s="278"/>
    </row>
    <row r="44" spans="2:35" s="217" customFormat="1" ht="15" customHeight="1" x14ac:dyDescent="0.35">
      <c r="B44" s="274" t="s">
        <v>334</v>
      </c>
      <c r="C44" s="275"/>
      <c r="D44" s="279">
        <f>IF(MIN(Gross_Profit)=0,0,MAX((D21-D38)/(D19-D26),0))</f>
        <v>0</v>
      </c>
      <c r="E44" s="277"/>
      <c r="F44" s="277"/>
      <c r="G44" s="277"/>
      <c r="H44" s="277"/>
      <c r="I44" s="277"/>
      <c r="J44" s="277"/>
      <c r="K44" s="277"/>
      <c r="L44" s="278"/>
    </row>
    <row r="45" spans="2:35" s="217" customFormat="1" ht="15" customHeight="1" x14ac:dyDescent="0.35">
      <c r="B45" s="280" t="s">
        <v>335</v>
      </c>
      <c r="C45" s="281"/>
      <c r="D45" s="282">
        <f>IF(D44="",0,MAX(D13*(D44),(D21-D38)*1.03))</f>
        <v>0</v>
      </c>
      <c r="E45" s="221"/>
      <c r="F45" s="283" t="str">
        <f>"(Minimum is "&amp;IF(OR(D17=0,D17=""),"previous year",D17)&amp;" expenses + 3% CPI)"</f>
        <v>(Minimum is 2010 expenses + 3% CPI)</v>
      </c>
      <c r="G45" s="221"/>
      <c r="H45" s="232"/>
      <c r="I45" s="221"/>
      <c r="J45" s="221"/>
      <c r="K45" s="221"/>
      <c r="L45" s="252"/>
    </row>
    <row r="46" spans="2:35" s="217" customFormat="1" ht="15" customHeight="1" x14ac:dyDescent="0.35">
      <c r="B46" s="284" t="s">
        <v>336</v>
      </c>
      <c r="C46" s="285"/>
      <c r="D46" s="282">
        <f>IF(D44="",0,MAX(D13-D45,0))</f>
        <v>0</v>
      </c>
      <c r="E46" s="221"/>
      <c r="F46" s="221"/>
      <c r="G46" s="221"/>
      <c r="H46" s="232"/>
      <c r="I46" s="221"/>
      <c r="J46" s="221"/>
      <c r="K46" s="221"/>
      <c r="L46" s="230"/>
    </row>
    <row r="47" spans="2:35" s="217" customFormat="1" ht="5.25" customHeight="1" x14ac:dyDescent="0.35">
      <c r="B47" s="284"/>
      <c r="C47" s="285"/>
      <c r="D47" s="263"/>
      <c r="E47" s="221"/>
      <c r="F47" s="221"/>
      <c r="G47" s="221"/>
      <c r="H47" s="232"/>
      <c r="I47" s="221"/>
      <c r="J47" s="221"/>
      <c r="K47" s="221"/>
      <c r="L47" s="230"/>
    </row>
    <row r="48" spans="2:35" s="214" customFormat="1" ht="18" customHeight="1" x14ac:dyDescent="0.35">
      <c r="B48" s="1391" t="s">
        <v>337</v>
      </c>
      <c r="C48" s="1392"/>
      <c r="D48" s="286">
        <f>MAX(MIN(D40*1.2,D46),0)</f>
        <v>0</v>
      </c>
      <c r="E48" s="221"/>
      <c r="F48" s="1393" t="s">
        <v>338</v>
      </c>
      <c r="G48" s="1393"/>
      <c r="H48" s="1393"/>
      <c r="I48" s="1393"/>
      <c r="J48" s="1393"/>
      <c r="K48" s="1393"/>
      <c r="L48" s="287"/>
    </row>
    <row r="49" spans="2:39" s="294" customFormat="1" ht="18" customHeight="1" thickBot="1" x14ac:dyDescent="0.4">
      <c r="B49" s="288" t="s">
        <v>339</v>
      </c>
      <c r="C49" s="289"/>
      <c r="D49" s="290"/>
      <c r="E49" s="291"/>
      <c r="F49" s="292"/>
      <c r="G49" s="292"/>
      <c r="H49" s="291"/>
      <c r="I49" s="292"/>
      <c r="J49" s="292"/>
      <c r="K49" s="292"/>
      <c r="L49" s="293"/>
    </row>
    <row r="50" spans="2:39" s="296" customFormat="1" ht="14.25" customHeight="1" x14ac:dyDescent="0.35">
      <c r="B50" s="1380" t="s">
        <v>340</v>
      </c>
      <c r="C50" s="1381"/>
      <c r="D50" s="1381"/>
      <c r="E50" s="1381"/>
      <c r="F50" s="1381"/>
      <c r="G50" s="1381"/>
      <c r="H50" s="1381"/>
      <c r="I50" s="1381"/>
      <c r="J50" s="1381"/>
      <c r="K50" s="1381"/>
      <c r="L50" s="1382"/>
      <c r="M50" s="295"/>
      <c r="N50" s="295"/>
      <c r="Q50" s="297"/>
      <c r="AJ50" s="298"/>
      <c r="AK50" s="298"/>
      <c r="AL50" s="298"/>
      <c r="AM50" s="298"/>
    </row>
    <row r="51" spans="2:39" s="296" customFormat="1" ht="14.25" customHeight="1" x14ac:dyDescent="0.35">
      <c r="B51" s="1383" t="s">
        <v>341</v>
      </c>
      <c r="C51" s="1384"/>
      <c r="D51" s="1384"/>
      <c r="E51" s="1384"/>
      <c r="F51" s="1384"/>
      <c r="G51" s="1384"/>
      <c r="H51" s="1384"/>
      <c r="I51" s="1384"/>
      <c r="J51" s="1384"/>
      <c r="K51" s="1384"/>
      <c r="L51" s="1385"/>
      <c r="M51" s="299"/>
      <c r="N51" s="299"/>
      <c r="Q51" s="297"/>
      <c r="AJ51" s="298"/>
      <c r="AK51" s="298"/>
      <c r="AL51" s="298"/>
      <c r="AM51" s="298"/>
    </row>
    <row r="52" spans="2:39" s="296" customFormat="1" ht="14.25" customHeight="1" thickBot="1" x14ac:dyDescent="0.4">
      <c r="B52" s="1386" t="s">
        <v>342</v>
      </c>
      <c r="C52" s="1387"/>
      <c r="D52" s="1387"/>
      <c r="E52" s="1387"/>
      <c r="F52" s="1387"/>
      <c r="G52" s="1387"/>
      <c r="H52" s="1387"/>
      <c r="I52" s="1387"/>
      <c r="J52" s="1387"/>
      <c r="K52" s="1387"/>
      <c r="L52" s="1388"/>
      <c r="M52" s="299"/>
      <c r="N52" s="299"/>
      <c r="AJ52" s="298"/>
      <c r="AK52" s="298"/>
      <c r="AL52" s="298"/>
      <c r="AM52" s="298"/>
    </row>
    <row r="53" spans="2:39" s="296" customFormat="1" ht="11.65" x14ac:dyDescent="0.35">
      <c r="B53" s="300"/>
      <c r="C53" s="300"/>
      <c r="D53" s="301"/>
      <c r="E53" s="301"/>
      <c r="F53" s="302"/>
      <c r="G53" s="302"/>
      <c r="H53" s="301"/>
      <c r="I53" s="303"/>
      <c r="J53" s="303"/>
      <c r="K53" s="304"/>
      <c r="L53" s="299"/>
      <c r="M53" s="299"/>
      <c r="N53" s="299"/>
      <c r="AJ53" s="298"/>
      <c r="AK53" s="298"/>
      <c r="AL53" s="298"/>
      <c r="AM53" s="298"/>
    </row>
    <row r="54" spans="2:39" s="214" customFormat="1" x14ac:dyDescent="0.35">
      <c r="B54" s="305"/>
      <c r="C54" s="305"/>
      <c r="D54" s="306"/>
      <c r="E54" s="306"/>
      <c r="F54" s="307"/>
      <c r="G54" s="307"/>
      <c r="H54" s="306"/>
      <c r="I54" s="307"/>
      <c r="J54" s="307"/>
      <c r="K54" s="306"/>
      <c r="L54" s="306"/>
      <c r="M54" s="306"/>
      <c r="N54" s="306"/>
    </row>
    <row r="55" spans="2:39" s="214" customFormat="1" x14ac:dyDescent="0.35">
      <c r="B55" s="308"/>
      <c r="C55" s="308"/>
      <c r="D55" s="309"/>
      <c r="E55" s="305"/>
      <c r="F55" s="310"/>
      <c r="G55" s="310"/>
      <c r="H55" s="309"/>
      <c r="I55" s="311"/>
      <c r="J55" s="311"/>
      <c r="K55" s="309"/>
      <c r="L55" s="309"/>
      <c r="M55" s="309"/>
      <c r="N55" s="309"/>
    </row>
    <row r="56" spans="2:39" s="214" customFormat="1" x14ac:dyDescent="0.35">
      <c r="D56" s="312"/>
      <c r="H56" s="312"/>
      <c r="K56" s="312"/>
    </row>
    <row r="57" spans="2:39" s="214" customFormat="1" x14ac:dyDescent="0.35"/>
    <row r="58" spans="2:39" s="214" customFormat="1" x14ac:dyDescent="0.35"/>
    <row r="59" spans="2:39" s="214" customFormat="1" x14ac:dyDescent="0.35"/>
    <row r="60" spans="2:39" s="214" customFormat="1" x14ac:dyDescent="0.35"/>
    <row r="61" spans="2:39" s="214" customFormat="1" x14ac:dyDescent="0.35"/>
    <row r="62" spans="2:39" s="214" customFormat="1" x14ac:dyDescent="0.35"/>
    <row r="63" spans="2:39" s="214" customFormat="1" x14ac:dyDescent="0.35"/>
    <row r="64" spans="2:39" s="214" customFormat="1" x14ac:dyDescent="0.35"/>
    <row r="65" s="214" customFormat="1" x14ac:dyDescent="0.35"/>
    <row r="66" s="214" customFormat="1" x14ac:dyDescent="0.35"/>
    <row r="67" s="214" customFormat="1" x14ac:dyDescent="0.35"/>
    <row r="68" s="214" customFormat="1" x14ac:dyDescent="0.35"/>
    <row r="69" s="214" customFormat="1" x14ac:dyDescent="0.35"/>
    <row r="70" s="214" customFormat="1" x14ac:dyDescent="0.35"/>
    <row r="71" s="214" customFormat="1" x14ac:dyDescent="0.35"/>
    <row r="72" s="214" customFormat="1" x14ac:dyDescent="0.35"/>
    <row r="73" s="214" customFormat="1" x14ac:dyDescent="0.35"/>
    <row r="74" s="214" customFormat="1" x14ac:dyDescent="0.35"/>
    <row r="75" s="214" customFormat="1" x14ac:dyDescent="0.35"/>
    <row r="76" s="214" customFormat="1" x14ac:dyDescent="0.35"/>
    <row r="77" s="214" customFormat="1" x14ac:dyDescent="0.35"/>
    <row r="78" s="214" customFormat="1" x14ac:dyDescent="0.35"/>
    <row r="79" s="214" customFormat="1" x14ac:dyDescent="0.35"/>
    <row r="80" s="214" customFormat="1" x14ac:dyDescent="0.35"/>
    <row r="81" s="214" customFormat="1" x14ac:dyDescent="0.35"/>
    <row r="82" s="214" customFormat="1" x14ac:dyDescent="0.35"/>
    <row r="83" s="214" customFormat="1" x14ac:dyDescent="0.35"/>
    <row r="84" s="214" customFormat="1" x14ac:dyDescent="0.35"/>
    <row r="85" s="214" customFormat="1" x14ac:dyDescent="0.35"/>
    <row r="86" s="214" customFormat="1" x14ac:dyDescent="0.35"/>
    <row r="87" s="214" customFormat="1" x14ac:dyDescent="0.35"/>
    <row r="88" s="214" customFormat="1" x14ac:dyDescent="0.35"/>
    <row r="89" s="214" customFormat="1" x14ac:dyDescent="0.35"/>
    <row r="90" s="214" customFormat="1" x14ac:dyDescent="0.35"/>
    <row r="91" s="214" customFormat="1" x14ac:dyDescent="0.35"/>
    <row r="92" s="214" customFormat="1" x14ac:dyDescent="0.35"/>
    <row r="93" s="214" customFormat="1" x14ac:dyDescent="0.35"/>
    <row r="94" s="214" customFormat="1" x14ac:dyDescent="0.35"/>
    <row r="95" s="214" customFormat="1" x14ac:dyDescent="0.35"/>
    <row r="96" s="214" customFormat="1" x14ac:dyDescent="0.35"/>
    <row r="97" s="214" customFormat="1" x14ac:dyDescent="0.35"/>
    <row r="98" s="214" customFormat="1" x14ac:dyDescent="0.35"/>
    <row r="99" s="214" customFormat="1" x14ac:dyDescent="0.35"/>
    <row r="100" s="214" customFormat="1" x14ac:dyDescent="0.35"/>
    <row r="101" s="214" customFormat="1" x14ac:dyDescent="0.35"/>
    <row r="102" s="214" customFormat="1" x14ac:dyDescent="0.35"/>
    <row r="103" s="214" customFormat="1" x14ac:dyDescent="0.35"/>
    <row r="104" s="214" customFormat="1" x14ac:dyDescent="0.35"/>
    <row r="105" s="214" customFormat="1" x14ac:dyDescent="0.35"/>
    <row r="106" s="214" customFormat="1" x14ac:dyDescent="0.35"/>
    <row r="107" s="214" customFormat="1" x14ac:dyDescent="0.35"/>
    <row r="108" s="214" customFormat="1" x14ac:dyDescent="0.35"/>
    <row r="109" s="214" customFormat="1" x14ac:dyDescent="0.35"/>
    <row r="110" s="214" customFormat="1" x14ac:dyDescent="0.35"/>
    <row r="111" s="214" customFormat="1" x14ac:dyDescent="0.35"/>
    <row r="112" s="214" customFormat="1" x14ac:dyDescent="0.35"/>
    <row r="113" s="214" customFormat="1" x14ac:dyDescent="0.35"/>
    <row r="114" s="214" customFormat="1" x14ac:dyDescent="0.35"/>
    <row r="115" s="214" customFormat="1" x14ac:dyDescent="0.35"/>
    <row r="116" s="214" customFormat="1" x14ac:dyDescent="0.35"/>
    <row r="117" s="214" customFormat="1" x14ac:dyDescent="0.35"/>
    <row r="118" s="214" customFormat="1" x14ac:dyDescent="0.35"/>
    <row r="119" s="214" customFormat="1" x14ac:dyDescent="0.35"/>
    <row r="120" s="214" customFormat="1" x14ac:dyDescent="0.35"/>
    <row r="121" s="214" customFormat="1" x14ac:dyDescent="0.35"/>
    <row r="122" s="214" customFormat="1" x14ac:dyDescent="0.35"/>
    <row r="123" s="214" customFormat="1" x14ac:dyDescent="0.35"/>
    <row r="124" s="214" customFormat="1" x14ac:dyDescent="0.35"/>
    <row r="125" s="214" customFormat="1" x14ac:dyDescent="0.35"/>
    <row r="126" s="214" customFormat="1" x14ac:dyDescent="0.35"/>
    <row r="127" s="214" customFormat="1" x14ac:dyDescent="0.35"/>
    <row r="128" s="214" customFormat="1" x14ac:dyDescent="0.35"/>
    <row r="129" s="214" customFormat="1" x14ac:dyDescent="0.35"/>
    <row r="130" s="214" customFormat="1" x14ac:dyDescent="0.35"/>
    <row r="131" s="214" customFormat="1" x14ac:dyDescent="0.35"/>
    <row r="132" s="214" customFormat="1" x14ac:dyDescent="0.35"/>
    <row r="133" s="214" customFormat="1" x14ac:dyDescent="0.35"/>
    <row r="134" s="214" customFormat="1" x14ac:dyDescent="0.35"/>
    <row r="135" s="214" customFormat="1" x14ac:dyDescent="0.35"/>
    <row r="136" s="214" customFormat="1" x14ac:dyDescent="0.35"/>
    <row r="137" s="214" customFormat="1" x14ac:dyDescent="0.35"/>
    <row r="138" s="214" customFormat="1" x14ac:dyDescent="0.35"/>
    <row r="139" s="214" customFormat="1" x14ac:dyDescent="0.35"/>
    <row r="140" s="214" customFormat="1" x14ac:dyDescent="0.35"/>
    <row r="141" s="214" customFormat="1" x14ac:dyDescent="0.35"/>
    <row r="142" s="214" customFormat="1" x14ac:dyDescent="0.35"/>
    <row r="143" s="214" customFormat="1" x14ac:dyDescent="0.35"/>
    <row r="144" s="214" customFormat="1" x14ac:dyDescent="0.35"/>
    <row r="145" s="214" customFormat="1" x14ac:dyDescent="0.35"/>
    <row r="146" s="214" customFormat="1" x14ac:dyDescent="0.35"/>
    <row r="147" s="214" customFormat="1" x14ac:dyDescent="0.35"/>
    <row r="148" s="214" customFormat="1" x14ac:dyDescent="0.35"/>
    <row r="149" s="214" customFormat="1" x14ac:dyDescent="0.35"/>
    <row r="150" s="214" customFormat="1" x14ac:dyDescent="0.35"/>
    <row r="151" s="214" customFormat="1" x14ac:dyDescent="0.35"/>
    <row r="152" s="214" customFormat="1" x14ac:dyDescent="0.35"/>
    <row r="153" s="214" customFormat="1" x14ac:dyDescent="0.35"/>
    <row r="154" s="214" customFormat="1" x14ac:dyDescent="0.35"/>
    <row r="155" s="214" customFormat="1" x14ac:dyDescent="0.35"/>
    <row r="156" s="214" customFormat="1" x14ac:dyDescent="0.35"/>
    <row r="157" s="214" customFormat="1" x14ac:dyDescent="0.35"/>
    <row r="158" s="214" customFormat="1" x14ac:dyDescent="0.35"/>
    <row r="159" s="214" customFormat="1" x14ac:dyDescent="0.35"/>
    <row r="160" s="214" customFormat="1" x14ac:dyDescent="0.35"/>
    <row r="161" s="214" customFormat="1" x14ac:dyDescent="0.35"/>
    <row r="162" s="214" customFormat="1" x14ac:dyDescent="0.35"/>
    <row r="163" s="214" customFormat="1" x14ac:dyDescent="0.35"/>
    <row r="164" s="214" customFormat="1" x14ac:dyDescent="0.35"/>
    <row r="165" s="214" customFormat="1" x14ac:dyDescent="0.35"/>
    <row r="166" s="214" customFormat="1" x14ac:dyDescent="0.35"/>
    <row r="167" s="214" customFormat="1" x14ac:dyDescent="0.35"/>
    <row r="168" s="214" customFormat="1" x14ac:dyDescent="0.35"/>
    <row r="169" s="214" customFormat="1" x14ac:dyDescent="0.35"/>
    <row r="170" s="214" customFormat="1" x14ac:dyDescent="0.35"/>
    <row r="171" s="214" customFormat="1" x14ac:dyDescent="0.35"/>
    <row r="172" s="214" customFormat="1" x14ac:dyDescent="0.35"/>
    <row r="173" s="214" customFormat="1" x14ac:dyDescent="0.35"/>
    <row r="174" s="214" customFormat="1" x14ac:dyDescent="0.35"/>
    <row r="175" s="214" customFormat="1" x14ac:dyDescent="0.35"/>
    <row r="176" s="214" customFormat="1" x14ac:dyDescent="0.35"/>
    <row r="177" s="214" customFormat="1" x14ac:dyDescent="0.35"/>
    <row r="178" s="214" customFormat="1" x14ac:dyDescent="0.35"/>
    <row r="179" s="214" customFormat="1" x14ac:dyDescent="0.35"/>
    <row r="180" s="214" customFormat="1" x14ac:dyDescent="0.35"/>
    <row r="181" s="214" customFormat="1" x14ac:dyDescent="0.35"/>
    <row r="182" s="214" customFormat="1" x14ac:dyDescent="0.35"/>
    <row r="183" s="214" customFormat="1" x14ac:dyDescent="0.35"/>
    <row r="184" s="214" customFormat="1" x14ac:dyDescent="0.35"/>
    <row r="185" s="214" customFormat="1" x14ac:dyDescent="0.35"/>
    <row r="186" s="214" customFormat="1" x14ac:dyDescent="0.35"/>
    <row r="187" s="214" customFormat="1" x14ac:dyDescent="0.35"/>
    <row r="188" s="214" customFormat="1" x14ac:dyDescent="0.35"/>
    <row r="189" s="214" customFormat="1" x14ac:dyDescent="0.35"/>
    <row r="190" s="214" customFormat="1" x14ac:dyDescent="0.35"/>
    <row r="191" s="214" customFormat="1" x14ac:dyDescent="0.35"/>
    <row r="192" s="214" customFormat="1" x14ac:dyDescent="0.35"/>
    <row r="193" s="214" customFormat="1" x14ac:dyDescent="0.35"/>
    <row r="194" s="214" customFormat="1" x14ac:dyDescent="0.35"/>
    <row r="195" s="214" customFormat="1" x14ac:dyDescent="0.35"/>
    <row r="196" s="214" customFormat="1" x14ac:dyDescent="0.35"/>
    <row r="197" s="214" customFormat="1" x14ac:dyDescent="0.35"/>
    <row r="198" s="214" customFormat="1" x14ac:dyDescent="0.35"/>
    <row r="199" s="214" customFormat="1" x14ac:dyDescent="0.35"/>
    <row r="200" s="214" customFormat="1" x14ac:dyDescent="0.35"/>
    <row r="201" s="214" customFormat="1" x14ac:dyDescent="0.35"/>
    <row r="202" s="214" customFormat="1" x14ac:dyDescent="0.35"/>
    <row r="203" s="214" customFormat="1" x14ac:dyDescent="0.35"/>
    <row r="204" s="214" customFormat="1" x14ac:dyDescent="0.35"/>
    <row r="205" s="214" customFormat="1" x14ac:dyDescent="0.35"/>
    <row r="206" s="214" customFormat="1" x14ac:dyDescent="0.35"/>
    <row r="207" s="214" customFormat="1" x14ac:dyDescent="0.35"/>
    <row r="208" s="214" customFormat="1" x14ac:dyDescent="0.35"/>
    <row r="209" s="214" customFormat="1" x14ac:dyDescent="0.35"/>
    <row r="210" s="214" customFormat="1" x14ac:dyDescent="0.35"/>
    <row r="211" s="214" customFormat="1" x14ac:dyDescent="0.35"/>
    <row r="212" s="214" customFormat="1" x14ac:dyDescent="0.35"/>
    <row r="213" s="214" customFormat="1" x14ac:dyDescent="0.35"/>
    <row r="214" s="214" customFormat="1" x14ac:dyDescent="0.35"/>
    <row r="215" s="214" customFormat="1" x14ac:dyDescent="0.35"/>
  </sheetData>
  <sheetProtection algorithmName="SHA-512" hashValue="nLkSEf4hkKVPuitdA6ScO+PriZIEaXIj2jrGO5BcyxVy0TvUbYehU985c1TAtkINPeQR5VNGcsEHzFEgZR8l2g==" saltValue="ee3Qiw0Va5ReDnFIwY3MDg==" spinCount="100000" sheet="1" objects="1" scenarios="1" selectLockedCells="1"/>
  <mergeCells count="20">
    <mergeCell ref="B50:L50"/>
    <mergeCell ref="B51:L51"/>
    <mergeCell ref="B52:L52"/>
    <mergeCell ref="B5:G5"/>
    <mergeCell ref="B48:C48"/>
    <mergeCell ref="F33:K33"/>
    <mergeCell ref="F34:K34"/>
    <mergeCell ref="F48:K48"/>
    <mergeCell ref="F11:K11"/>
    <mergeCell ref="F17:K17"/>
    <mergeCell ref="B2:G3"/>
    <mergeCell ref="B4:K4"/>
    <mergeCell ref="B42:L42"/>
    <mergeCell ref="B15:L15"/>
    <mergeCell ref="B6:L6"/>
    <mergeCell ref="F26:K26"/>
    <mergeCell ref="F36:K36"/>
    <mergeCell ref="F30:H30"/>
    <mergeCell ref="F31:K31"/>
    <mergeCell ref="F32:K32"/>
  </mergeCells>
  <phoneticPr fontId="6" type="noConversion"/>
  <conditionalFormatting sqref="F26:K26 F36:K36">
    <cfRule type="cellIs" dxfId="25" priority="1" stopIfTrue="1" operator="equal">
      <formula>"Please specify"</formula>
    </cfRule>
  </conditionalFormatting>
  <dataValidations count="1">
    <dataValidation type="decimal" operator="greaterThanOrEqual" allowBlank="1" showInputMessage="1" showErrorMessage="1" errorTitle="Value" error="Must be a number greater than or equal to zero" sqref="D8:D11 D21 D19 D26 D31:D34 D36" xr:uid="{00000000-0002-0000-0300-000000000000}">
      <formula1>0</formula1>
    </dataValidation>
  </dataValidations>
  <pageMargins left="0.31" right="0.17" top="0.97" bottom="0.38" header="0.31" footer="0.26"/>
  <pageSetup paperSize="9" scale="91" orientation="portrait" r:id="rId1"/>
  <headerFooter alignWithMargins="0"/>
  <drawing r:id="rId2"/>
  <legacyDrawing r:id="rId3"/>
  <controls>
    <mc:AlternateContent xmlns:mc="http://schemas.openxmlformats.org/markup-compatibility/2006">
      <mc:Choice Requires="x14">
        <control shapeId="17409" r:id="rId4" name="Reset_EIVCalc">
          <controlPr defaultSize="0" print="0" autoLine="0" r:id="rId5">
            <anchor moveWithCells="1">
              <from>
                <xdr:col>10</xdr:col>
                <xdr:colOff>714375</xdr:colOff>
                <xdr:row>7</xdr:row>
                <xdr:rowOff>28575</xdr:rowOff>
              </from>
              <to>
                <xdr:col>10</xdr:col>
                <xdr:colOff>1419225</xdr:colOff>
                <xdr:row>8</xdr:row>
                <xdr:rowOff>123825</xdr:rowOff>
              </to>
            </anchor>
          </controlPr>
        </control>
      </mc:Choice>
      <mc:Fallback>
        <control shapeId="17409" r:id="rId4" name="Reset_EIVCalc"/>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O74"/>
  <sheetViews>
    <sheetView showGridLines="0" showRowColHeaders="0" topLeftCell="A49" zoomScale="160" zoomScaleNormal="160" workbookViewId="0">
      <selection activeCell="L2" sqref="L2"/>
    </sheetView>
  </sheetViews>
  <sheetFormatPr defaultColWidth="9.265625" defaultRowHeight="12.75" x14ac:dyDescent="0.35"/>
  <cols>
    <col min="1" max="1" width="3.3984375" customWidth="1"/>
    <col min="2" max="2" width="2.73046875" customWidth="1"/>
    <col min="3" max="3" width="16.59765625" customWidth="1"/>
    <col min="4" max="4" width="12.59765625" customWidth="1"/>
    <col min="5" max="5" width="17" customWidth="1"/>
    <col min="6" max="6" width="7.73046875" customWidth="1"/>
    <col min="7" max="7" width="7.265625" customWidth="1"/>
    <col min="8" max="8" width="7.3984375" customWidth="1"/>
    <col min="9" max="9" width="11.265625" customWidth="1"/>
    <col min="10" max="10" width="6.73046875" customWidth="1"/>
    <col min="11" max="11" width="10.73046875" customWidth="1"/>
    <col min="12" max="12" width="15.265625" customWidth="1"/>
    <col min="13" max="13" width="2.73046875" customWidth="1"/>
  </cols>
  <sheetData>
    <row r="1" spans="2:12" ht="13.15" thickBot="1" x14ac:dyDescent="0.4"/>
    <row r="2" spans="2:12" ht="26.25" customHeight="1" x14ac:dyDescent="0.6">
      <c r="B2" s="697"/>
      <c r="C2" s="692"/>
      <c r="D2" s="693"/>
      <c r="E2" s="694"/>
      <c r="F2" s="694"/>
      <c r="G2" s="694"/>
      <c r="H2" s="694"/>
      <c r="I2" s="694"/>
      <c r="J2" s="694"/>
      <c r="K2" s="694"/>
      <c r="L2" s="698"/>
    </row>
    <row r="3" spans="2:12" ht="18.75" customHeight="1" x14ac:dyDescent="0.5">
      <c r="B3" s="699"/>
      <c r="C3" s="1396" t="s">
        <v>343</v>
      </c>
      <c r="D3" s="1396"/>
      <c r="E3" s="1396"/>
      <c r="F3" s="1396"/>
      <c r="G3" s="1396"/>
      <c r="H3" s="1396"/>
      <c r="I3" s="1396"/>
      <c r="J3" s="1396"/>
      <c r="K3" s="1140"/>
      <c r="L3" s="700"/>
    </row>
    <row r="4" spans="2:12" ht="9" customHeight="1" thickBot="1" x14ac:dyDescent="0.4">
      <c r="B4" s="1141"/>
      <c r="C4" s="1142"/>
      <c r="D4" s="1143"/>
      <c r="E4" s="1143"/>
      <c r="F4" s="1143"/>
      <c r="G4" s="1143"/>
      <c r="H4" s="1143"/>
      <c r="I4" s="1143"/>
      <c r="J4" s="1143"/>
      <c r="K4" s="1143"/>
      <c r="L4" s="1144"/>
    </row>
    <row r="5" spans="2:12" ht="15.75" customHeight="1" x14ac:dyDescent="0.4">
      <c r="B5" s="507"/>
      <c r="C5" s="506" t="s">
        <v>344</v>
      </c>
      <c r="D5" s="1145"/>
      <c r="E5" s="1145"/>
      <c r="F5" s="1145"/>
      <c r="G5" s="1145"/>
      <c r="H5" s="1145"/>
      <c r="I5" s="1145"/>
      <c r="J5" s="1145"/>
      <c r="K5" s="1145"/>
      <c r="L5" s="1146"/>
    </row>
    <row r="6" spans="2:12" ht="5.25" hidden="1" customHeight="1" x14ac:dyDescent="0.4">
      <c r="B6" s="527"/>
      <c r="C6" s="528"/>
      <c r="D6" s="529"/>
      <c r="E6" s="529"/>
      <c r="F6" s="529"/>
      <c r="G6" s="529"/>
      <c r="H6" s="529"/>
      <c r="I6" s="529"/>
      <c r="J6" s="530"/>
      <c r="K6" s="530"/>
      <c r="L6" s="531"/>
    </row>
    <row r="7" spans="2:12" ht="5.25" customHeight="1" x14ac:dyDescent="0.35">
      <c r="B7" s="508"/>
      <c r="C7" s="26"/>
      <c r="D7" s="1147"/>
      <c r="E7" s="1147"/>
      <c r="F7" s="1147"/>
      <c r="G7" s="1147"/>
      <c r="H7" s="1147"/>
      <c r="I7" s="1147"/>
      <c r="J7" s="1147"/>
      <c r="K7" s="1147"/>
      <c r="L7" s="1148"/>
    </row>
    <row r="8" spans="2:12" ht="14.25" customHeight="1" x14ac:dyDescent="0.35">
      <c r="B8" s="508"/>
      <c r="C8" s="532" t="s">
        <v>345</v>
      </c>
      <c r="D8" s="1149"/>
      <c r="E8" s="1149"/>
      <c r="F8" s="1149"/>
      <c r="G8" s="1149"/>
      <c r="H8" s="1149"/>
      <c r="I8" s="1149"/>
      <c r="J8" s="1149"/>
      <c r="K8" s="1149"/>
      <c r="L8" s="1150"/>
    </row>
    <row r="9" spans="2:12" ht="14.25" customHeight="1" x14ac:dyDescent="0.35">
      <c r="B9" s="510"/>
      <c r="C9" s="532" t="s">
        <v>346</v>
      </c>
      <c r="D9" s="420"/>
      <c r="E9" s="420"/>
      <c r="F9" s="420"/>
      <c r="G9" s="420"/>
      <c r="H9" s="420"/>
      <c r="I9" s="420"/>
      <c r="J9" s="420"/>
      <c r="K9" s="420"/>
      <c r="L9" s="533"/>
    </row>
    <row r="10" spans="2:12" ht="14.25" customHeight="1" x14ac:dyDescent="0.35">
      <c r="B10" s="510"/>
      <c r="C10" s="532" t="s">
        <v>347</v>
      </c>
      <c r="D10" s="420"/>
      <c r="E10" s="420"/>
      <c r="F10" s="420"/>
      <c r="G10" s="420"/>
      <c r="H10" s="420"/>
      <c r="I10" s="420"/>
      <c r="J10" s="420"/>
      <c r="K10" s="420"/>
      <c r="L10" s="533"/>
    </row>
    <row r="11" spans="2:12" ht="14.25" customHeight="1" x14ac:dyDescent="0.35">
      <c r="B11" s="512"/>
      <c r="C11" s="420" t="s">
        <v>348</v>
      </c>
      <c r="D11" s="420"/>
      <c r="E11" s="420"/>
      <c r="F11" s="420"/>
      <c r="G11" s="420"/>
      <c r="H11" s="420"/>
      <c r="I11" s="420"/>
      <c r="J11" s="420"/>
      <c r="K11" s="420"/>
      <c r="L11" s="533"/>
    </row>
    <row r="12" spans="2:12" ht="14.25" customHeight="1" x14ac:dyDescent="0.35">
      <c r="B12" s="512"/>
      <c r="C12" s="420" t="s">
        <v>349</v>
      </c>
      <c r="D12" s="420"/>
      <c r="E12" s="420"/>
      <c r="F12" s="420"/>
      <c r="G12" s="420"/>
      <c r="H12" s="420"/>
      <c r="I12" s="420"/>
      <c r="J12" s="420"/>
      <c r="K12" s="420"/>
      <c r="L12" s="533"/>
    </row>
    <row r="13" spans="2:12" ht="14.25" customHeight="1" x14ac:dyDescent="0.35">
      <c r="B13" s="512"/>
      <c r="C13" s="420" t="s">
        <v>350</v>
      </c>
      <c r="D13" s="420"/>
      <c r="E13" s="420"/>
      <c r="F13" s="420"/>
      <c r="G13" s="420"/>
      <c r="H13" s="420"/>
      <c r="I13" s="420"/>
      <c r="J13" s="420"/>
      <c r="K13" s="420"/>
      <c r="L13" s="533"/>
    </row>
    <row r="14" spans="2:12" ht="14.25" customHeight="1" x14ac:dyDescent="0.35">
      <c r="B14" s="512"/>
      <c r="C14" s="420" t="s">
        <v>351</v>
      </c>
      <c r="D14" s="420"/>
      <c r="E14" s="420"/>
      <c r="F14" s="420"/>
      <c r="G14" s="420"/>
      <c r="H14" s="420"/>
      <c r="I14" s="420"/>
      <c r="J14" s="420"/>
      <c r="K14" s="420"/>
      <c r="L14" s="533"/>
    </row>
    <row r="15" spans="2:12" ht="14.25" customHeight="1" x14ac:dyDescent="0.35">
      <c r="B15" s="510"/>
      <c r="C15" s="532" t="s">
        <v>352</v>
      </c>
      <c r="D15" s="420"/>
      <c r="E15" s="420"/>
      <c r="F15" s="420"/>
      <c r="G15" s="420"/>
      <c r="H15" s="420"/>
      <c r="I15" s="420"/>
      <c r="J15" s="420"/>
      <c r="K15" s="420"/>
      <c r="L15" s="533"/>
    </row>
    <row r="16" spans="2:12" ht="14.25" customHeight="1" x14ac:dyDescent="0.35">
      <c r="B16" s="513"/>
      <c r="C16" s="532" t="s">
        <v>353</v>
      </c>
      <c r="D16" s="420"/>
      <c r="E16" s="420"/>
      <c r="F16" s="420"/>
      <c r="G16" s="420"/>
      <c r="H16" s="420"/>
      <c r="I16" s="420"/>
      <c r="J16" s="420"/>
      <c r="K16" s="420"/>
      <c r="L16" s="533"/>
    </row>
    <row r="17" spans="2:12" ht="14.25" customHeight="1" x14ac:dyDescent="0.35">
      <c r="B17" s="513"/>
      <c r="C17" s="532" t="s">
        <v>354</v>
      </c>
      <c r="D17" s="420"/>
      <c r="E17" s="420"/>
      <c r="F17" s="420"/>
      <c r="G17" s="420"/>
      <c r="H17" s="420"/>
      <c r="I17" s="420"/>
      <c r="J17" s="420"/>
      <c r="K17" s="420"/>
      <c r="L17" s="533"/>
    </row>
    <row r="18" spans="2:12" ht="12" customHeight="1" x14ac:dyDescent="0.35">
      <c r="B18" s="513"/>
      <c r="C18" s="532" t="s">
        <v>355</v>
      </c>
      <c r="D18" s="420"/>
      <c r="E18" s="420"/>
      <c r="F18" s="420"/>
      <c r="G18" s="420"/>
      <c r="H18" s="420"/>
      <c r="I18" s="420"/>
      <c r="J18" s="420"/>
      <c r="K18" s="420"/>
      <c r="L18" s="533"/>
    </row>
    <row r="19" spans="2:12" ht="5.25" customHeight="1" x14ac:dyDescent="0.35">
      <c r="B19" s="512"/>
      <c r="C19" s="31"/>
      <c r="D19" s="31"/>
      <c r="E19" s="31"/>
      <c r="F19" s="31"/>
      <c r="G19" s="31"/>
      <c r="H19" s="31"/>
      <c r="I19" s="31"/>
      <c r="J19" s="31"/>
      <c r="K19" s="31"/>
      <c r="L19" s="514"/>
    </row>
    <row r="20" spans="2:12" ht="15.75" customHeight="1" x14ac:dyDescent="0.4">
      <c r="B20" s="515"/>
      <c r="C20" s="503" t="s">
        <v>356</v>
      </c>
      <c r="D20" s="504"/>
      <c r="E20" s="504"/>
      <c r="F20" s="504"/>
      <c r="G20" s="504"/>
      <c r="H20" s="504"/>
      <c r="I20" s="504"/>
      <c r="J20" s="505"/>
      <c r="K20" s="505"/>
      <c r="L20" s="516"/>
    </row>
    <row r="21" spans="2:12" ht="6" hidden="1" customHeight="1" x14ac:dyDescent="0.4">
      <c r="B21" s="527"/>
      <c r="C21" s="528"/>
      <c r="D21" s="529"/>
      <c r="E21" s="529"/>
      <c r="F21" s="529"/>
      <c r="G21" s="529"/>
      <c r="H21" s="529"/>
      <c r="I21" s="529"/>
      <c r="J21" s="530"/>
      <c r="K21" s="530"/>
      <c r="L21" s="531"/>
    </row>
    <row r="22" spans="2:12" ht="6.75" customHeight="1" x14ac:dyDescent="0.4">
      <c r="B22" s="517"/>
      <c r="C22" s="46"/>
      <c r="D22" s="31"/>
      <c r="E22" s="31"/>
      <c r="F22" s="31"/>
      <c r="G22" s="31"/>
      <c r="H22" s="31"/>
      <c r="I22" s="31"/>
      <c r="J22" s="34"/>
      <c r="K22" s="34"/>
      <c r="L22" s="514"/>
    </row>
    <row r="23" spans="2:12" ht="15" customHeight="1" x14ac:dyDescent="0.35">
      <c r="B23" s="534"/>
      <c r="C23" s="535" t="s">
        <v>357</v>
      </c>
      <c r="D23" s="810">
        <v>10000000</v>
      </c>
      <c r="E23" s="420"/>
      <c r="F23" s="421"/>
      <c r="G23" s="420"/>
      <c r="H23" s="420"/>
      <c r="I23" s="420"/>
      <c r="J23" s="420"/>
      <c r="K23" s="420"/>
      <c r="L23" s="533"/>
    </row>
    <row r="24" spans="2:12" ht="4.5" customHeight="1" x14ac:dyDescent="0.35">
      <c r="B24" s="534"/>
      <c r="C24" s="535"/>
      <c r="D24" s="420"/>
      <c r="E24" s="537"/>
      <c r="F24" s="420"/>
      <c r="G24" s="420"/>
      <c r="H24" s="420"/>
      <c r="I24" s="420"/>
      <c r="J24" s="536"/>
      <c r="K24" s="536"/>
      <c r="L24" s="533"/>
    </row>
    <row r="25" spans="2:12" ht="15" customHeight="1" x14ac:dyDescent="0.35">
      <c r="B25" s="538"/>
      <c r="C25" s="535" t="s">
        <v>358</v>
      </c>
      <c r="D25" s="536" t="s">
        <v>359</v>
      </c>
      <c r="F25" s="809">
        <v>0.95</v>
      </c>
      <c r="G25" s="420" t="s">
        <v>360</v>
      </c>
      <c r="H25" s="420"/>
      <c r="I25" s="420"/>
      <c r="J25" s="420"/>
      <c r="K25" s="420"/>
      <c r="L25" s="533"/>
    </row>
    <row r="26" spans="2:12" ht="3.75" customHeight="1" x14ac:dyDescent="0.35">
      <c r="B26" s="538"/>
      <c r="C26" s="535"/>
      <c r="F26" s="420"/>
      <c r="G26" s="420"/>
      <c r="H26" s="420"/>
      <c r="I26" s="420"/>
      <c r="J26" s="420"/>
      <c r="K26" s="420"/>
      <c r="L26" s="533"/>
    </row>
    <row r="27" spans="2:12" ht="15" customHeight="1" x14ac:dyDescent="0.35">
      <c r="B27" s="538"/>
      <c r="C27" s="535"/>
      <c r="D27" s="536" t="s">
        <v>361</v>
      </c>
      <c r="F27" s="809">
        <v>0.9</v>
      </c>
      <c r="G27" s="420" t="s">
        <v>360</v>
      </c>
      <c r="K27" s="420"/>
      <c r="L27" s="533"/>
    </row>
    <row r="28" spans="2:12" ht="3.75" customHeight="1" x14ac:dyDescent="0.35">
      <c r="B28" s="538"/>
      <c r="C28" s="535"/>
      <c r="D28" s="536"/>
      <c r="F28" s="807"/>
      <c r="G28" s="420"/>
      <c r="H28" s="420"/>
      <c r="I28" s="420"/>
      <c r="J28" s="420"/>
      <c r="K28" s="420"/>
      <c r="L28" s="533"/>
    </row>
    <row r="29" spans="2:12" ht="15" customHeight="1" x14ac:dyDescent="0.35">
      <c r="B29" s="538"/>
      <c r="C29" s="535"/>
      <c r="D29" s="536" t="s">
        <v>213</v>
      </c>
      <c r="F29" s="809">
        <v>0.8</v>
      </c>
      <c r="G29" s="420"/>
      <c r="H29" s="420"/>
      <c r="I29" s="420"/>
      <c r="J29" s="420"/>
      <c r="K29" s="420"/>
      <c r="L29" s="533"/>
    </row>
    <row r="30" spans="2:12" ht="8.25" customHeight="1" x14ac:dyDescent="0.35">
      <c r="B30" s="538"/>
      <c r="D30" s="540"/>
      <c r="E30" s="420"/>
      <c r="F30" s="420"/>
      <c r="G30" s="420"/>
      <c r="H30" s="420"/>
      <c r="I30" s="536"/>
      <c r="J30" s="420"/>
      <c r="K30" s="420"/>
      <c r="L30" s="533"/>
    </row>
    <row r="31" spans="2:12" x14ac:dyDescent="0.35">
      <c r="B31" s="538"/>
      <c r="C31" s="1139" t="s">
        <v>362</v>
      </c>
      <c r="D31" s="420"/>
      <c r="E31" s="420"/>
      <c r="F31" s="420"/>
      <c r="G31" s="420"/>
      <c r="H31" s="420"/>
      <c r="I31" s="420"/>
      <c r="J31" s="420"/>
      <c r="K31" s="536"/>
      <c r="L31" s="541"/>
    </row>
    <row r="32" spans="2:12" x14ac:dyDescent="0.35">
      <c r="B32" s="538"/>
      <c r="C32" s="536" t="s">
        <v>363</v>
      </c>
      <c r="D32" s="420"/>
      <c r="E32" s="420"/>
      <c r="F32" s="420"/>
      <c r="G32" s="420"/>
      <c r="H32" s="420"/>
      <c r="I32" s="420"/>
      <c r="J32" s="420"/>
      <c r="K32" s="536"/>
      <c r="L32" s="541"/>
    </row>
    <row r="33" spans="2:12" x14ac:dyDescent="0.35">
      <c r="B33" s="519"/>
      <c r="D33" s="44"/>
      <c r="E33" s="44"/>
      <c r="F33" s="44"/>
      <c r="G33" s="44"/>
      <c r="H33" s="44"/>
      <c r="I33" s="44"/>
      <c r="J33" s="44"/>
      <c r="K33" s="44"/>
      <c r="L33" s="511"/>
    </row>
    <row r="34" spans="2:12" ht="15.75" customHeight="1" x14ac:dyDescent="0.4">
      <c r="B34" s="520"/>
      <c r="C34" s="503" t="s">
        <v>364</v>
      </c>
      <c r="D34" s="504"/>
      <c r="E34" s="504"/>
      <c r="F34" s="504"/>
      <c r="G34" s="504"/>
      <c r="H34" s="504"/>
      <c r="I34" s="504"/>
      <c r="J34" s="505"/>
      <c r="K34" s="505"/>
      <c r="L34" s="516"/>
    </row>
    <row r="35" spans="2:12" ht="5.25" hidden="1" customHeight="1" x14ac:dyDescent="0.4">
      <c r="B35" s="527"/>
      <c r="C35" s="528"/>
      <c r="D35" s="529"/>
      <c r="E35" s="529"/>
      <c r="F35" s="529"/>
      <c r="G35" s="529"/>
      <c r="H35" s="529"/>
      <c r="I35" s="529"/>
      <c r="J35" s="530"/>
      <c r="K35" s="530"/>
      <c r="L35" s="531"/>
    </row>
    <row r="36" spans="2:12" ht="5.25" customHeight="1" x14ac:dyDescent="0.35">
      <c r="B36" s="517"/>
      <c r="C36" s="34"/>
      <c r="D36" s="31"/>
      <c r="E36" s="31"/>
      <c r="F36" s="31"/>
      <c r="G36" s="31"/>
      <c r="H36" s="31"/>
      <c r="I36" s="31"/>
      <c r="J36" s="34"/>
      <c r="K36" s="34"/>
      <c r="L36" s="514"/>
    </row>
    <row r="37" spans="2:12" ht="14.25" customHeight="1" x14ac:dyDescent="0.35">
      <c r="B37" s="518"/>
      <c r="C37" s="535" t="s">
        <v>365</v>
      </c>
      <c r="D37" s="420" t="s">
        <v>366</v>
      </c>
      <c r="E37" s="421"/>
      <c r="F37" s="808">
        <v>1</v>
      </c>
      <c r="G37" s="421" t="s">
        <v>367</v>
      </c>
      <c r="I37" s="420"/>
      <c r="J37" s="420"/>
      <c r="K37" s="421"/>
      <c r="L37" s="542"/>
    </row>
    <row r="38" spans="2:12" ht="4.5" customHeight="1" x14ac:dyDescent="0.35">
      <c r="B38" s="518"/>
      <c r="C38" s="535"/>
      <c r="D38" s="420"/>
      <c r="E38" s="543"/>
      <c r="F38" s="420"/>
      <c r="G38" s="420"/>
      <c r="H38" s="544"/>
      <c r="I38" s="420"/>
      <c r="J38" s="536"/>
      <c r="K38" s="545"/>
      <c r="L38" s="542"/>
    </row>
    <row r="39" spans="2:12" ht="14.25" hidden="1" customHeight="1" x14ac:dyDescent="0.35">
      <c r="B39" s="518"/>
      <c r="C39" s="535"/>
      <c r="D39" s="420" t="s">
        <v>368</v>
      </c>
      <c r="E39" s="543"/>
      <c r="I39" s="420"/>
      <c r="J39" s="808">
        <v>1.2</v>
      </c>
      <c r="K39" s="420" t="s">
        <v>369</v>
      </c>
      <c r="L39" s="542"/>
    </row>
    <row r="40" spans="2:12" ht="4.5" hidden="1" customHeight="1" x14ac:dyDescent="0.35">
      <c r="B40" s="518"/>
      <c r="C40" s="535"/>
      <c r="D40" s="420"/>
      <c r="E40" s="543"/>
      <c r="F40" s="420"/>
      <c r="G40" s="420"/>
      <c r="H40" s="544"/>
      <c r="I40" s="420"/>
      <c r="J40" s="536"/>
      <c r="K40" s="545"/>
      <c r="L40" s="542"/>
    </row>
    <row r="41" spans="2:12" ht="14.25" hidden="1" customHeight="1" x14ac:dyDescent="0.35">
      <c r="B41" s="518"/>
      <c r="C41" s="535"/>
      <c r="D41" s="536" t="s">
        <v>370</v>
      </c>
      <c r="E41" s="543"/>
      <c r="F41" s="808">
        <v>1.05</v>
      </c>
      <c r="G41" s="420" t="s">
        <v>371</v>
      </c>
      <c r="H41" s="421"/>
      <c r="I41" s="420"/>
      <c r="J41" s="536"/>
      <c r="K41" s="545"/>
      <c r="L41" s="542"/>
    </row>
    <row r="42" spans="2:12" ht="13.5" hidden="1" customHeight="1" x14ac:dyDescent="0.35">
      <c r="B42" s="518"/>
      <c r="C42" s="535"/>
      <c r="D42" s="420" t="s">
        <v>372</v>
      </c>
      <c r="E42" s="543"/>
      <c r="F42" s="421"/>
      <c r="G42" s="420"/>
      <c r="H42" s="421"/>
      <c r="I42" s="420"/>
      <c r="J42" s="536"/>
      <c r="K42" s="545"/>
      <c r="L42" s="542"/>
    </row>
    <row r="43" spans="2:12" ht="6.75" hidden="1" customHeight="1" x14ac:dyDescent="0.35">
      <c r="B43" s="518"/>
      <c r="C43" s="535"/>
      <c r="D43" s="420"/>
      <c r="E43" s="543"/>
      <c r="F43" s="421"/>
      <c r="G43" s="420"/>
      <c r="H43" s="421"/>
      <c r="I43" s="420"/>
      <c r="J43" s="536"/>
      <c r="K43" s="545"/>
      <c r="L43" s="542"/>
    </row>
    <row r="44" spans="2:12" ht="10.5" hidden="1" customHeight="1" x14ac:dyDescent="0.35">
      <c r="B44" s="518"/>
      <c r="C44" s="535"/>
      <c r="D44" s="536" t="s">
        <v>373</v>
      </c>
      <c r="E44" s="543"/>
      <c r="F44" s="544"/>
      <c r="G44" s="420"/>
      <c r="H44" s="544"/>
      <c r="I44" s="420"/>
      <c r="J44" s="536"/>
      <c r="K44" s="545"/>
      <c r="L44" s="542"/>
    </row>
    <row r="45" spans="2:12" ht="12.75" hidden="1" customHeight="1" x14ac:dyDescent="0.35">
      <c r="B45" s="518"/>
      <c r="C45" s="535"/>
      <c r="D45" s="420" t="s">
        <v>374</v>
      </c>
      <c r="E45" s="543"/>
      <c r="F45" s="544"/>
      <c r="G45" s="420"/>
      <c r="H45" s="544"/>
      <c r="I45" s="420"/>
      <c r="J45" s="536"/>
      <c r="K45" s="545"/>
      <c r="L45" s="542"/>
    </row>
    <row r="46" spans="2:12" ht="6.75" customHeight="1" x14ac:dyDescent="0.4">
      <c r="B46" s="519"/>
      <c r="C46" s="546"/>
      <c r="D46" s="539"/>
      <c r="E46" s="421"/>
      <c r="F46" s="421"/>
      <c r="G46" s="421"/>
      <c r="H46" s="421"/>
      <c r="I46" s="421"/>
      <c r="J46" s="421"/>
      <c r="K46" s="421"/>
      <c r="L46" s="547"/>
    </row>
    <row r="47" spans="2:12" ht="15.75" customHeight="1" x14ac:dyDescent="0.4">
      <c r="B47" s="520"/>
      <c r="C47" s="503" t="s">
        <v>375</v>
      </c>
      <c r="D47" s="504"/>
      <c r="E47" s="504"/>
      <c r="F47" s="504"/>
      <c r="G47" s="504"/>
      <c r="H47" s="504"/>
      <c r="I47" s="504"/>
      <c r="J47" s="505"/>
      <c r="K47" s="505"/>
      <c r="L47" s="516"/>
    </row>
    <row r="48" spans="2:12" ht="6" hidden="1" customHeight="1" x14ac:dyDescent="0.4">
      <c r="B48" s="527"/>
      <c r="C48" s="528"/>
      <c r="D48" s="529"/>
      <c r="E48" s="529"/>
      <c r="F48" s="529"/>
      <c r="G48" s="529"/>
      <c r="H48" s="529"/>
      <c r="I48" s="529"/>
      <c r="J48" s="530"/>
      <c r="K48" s="530"/>
      <c r="L48" s="531"/>
    </row>
    <row r="49" spans="1:15" ht="6.75" customHeight="1" x14ac:dyDescent="0.35">
      <c r="A49" s="746"/>
      <c r="B49" s="517"/>
      <c r="C49" s="34"/>
      <c r="D49" s="31"/>
      <c r="E49" s="31"/>
      <c r="F49" s="31"/>
      <c r="G49" s="31"/>
      <c r="H49" s="31"/>
      <c r="I49" s="31"/>
      <c r="J49" s="34"/>
      <c r="K49" s="34"/>
      <c r="L49" s="514"/>
      <c r="M49" s="7"/>
      <c r="N49" s="7"/>
      <c r="O49" s="7"/>
    </row>
    <row r="50" spans="1:15" ht="13.5" x14ac:dyDescent="0.35">
      <c r="A50" s="746"/>
      <c r="B50" s="518"/>
      <c r="C50" s="532" t="s">
        <v>376</v>
      </c>
      <c r="D50" s="420"/>
      <c r="E50" s="421"/>
      <c r="F50" s="420" t="s">
        <v>377</v>
      </c>
      <c r="G50" s="421"/>
      <c r="H50" s="421"/>
      <c r="I50" s="420"/>
      <c r="J50" s="420"/>
      <c r="K50" s="421"/>
      <c r="L50" s="542"/>
      <c r="M50" s="7"/>
      <c r="N50" s="7"/>
      <c r="O50" s="7"/>
    </row>
    <row r="51" spans="1:15" ht="16.5" customHeight="1" x14ac:dyDescent="0.35">
      <c r="A51" s="746"/>
      <c r="B51" s="518"/>
      <c r="C51" s="532" t="s">
        <v>378</v>
      </c>
      <c r="D51" s="536"/>
      <c r="E51" s="536"/>
      <c r="F51" s="536"/>
      <c r="G51" s="536"/>
      <c r="H51" s="536"/>
      <c r="I51" s="536"/>
      <c r="J51" s="536"/>
      <c r="K51" s="545"/>
      <c r="L51" s="542"/>
      <c r="M51" s="7"/>
      <c r="N51" s="7"/>
      <c r="O51" s="7"/>
    </row>
    <row r="52" spans="1:15" ht="13.5" x14ac:dyDescent="0.35">
      <c r="B52" s="518"/>
      <c r="C52" s="532" t="s">
        <v>379</v>
      </c>
      <c r="D52" s="420"/>
      <c r="E52" s="536"/>
      <c r="F52" s="536"/>
      <c r="G52" s="536"/>
      <c r="H52" s="536"/>
      <c r="I52" s="536"/>
      <c r="J52" s="536"/>
      <c r="K52" s="545"/>
      <c r="L52" s="542"/>
      <c r="M52" s="7"/>
      <c r="N52" s="7"/>
      <c r="O52" s="7"/>
    </row>
    <row r="53" spans="1:15" ht="14.25" customHeight="1" x14ac:dyDescent="0.35">
      <c r="B53" s="519"/>
      <c r="C53" s="420" t="s">
        <v>380</v>
      </c>
      <c r="D53" s="539"/>
      <c r="E53" s="420"/>
      <c r="F53" s="420"/>
      <c r="G53" s="420"/>
      <c r="H53" s="420"/>
      <c r="I53" s="420"/>
      <c r="J53" s="420"/>
      <c r="K53" s="420"/>
      <c r="L53" s="533"/>
    </row>
    <row r="54" spans="1:15" ht="14.25" customHeight="1" x14ac:dyDescent="0.35">
      <c r="B54" s="519"/>
      <c r="C54" s="420" t="s">
        <v>381</v>
      </c>
      <c r="D54" s="539"/>
      <c r="E54" s="420"/>
      <c r="F54" s="420"/>
      <c r="G54" s="420"/>
      <c r="H54" s="420"/>
      <c r="I54" s="420"/>
      <c r="J54" s="420"/>
      <c r="K54" s="420"/>
      <c r="L54" s="533"/>
    </row>
    <row r="55" spans="1:15" ht="14.25" customHeight="1" x14ac:dyDescent="0.35">
      <c r="B55" s="519"/>
      <c r="C55" s="420" t="s">
        <v>382</v>
      </c>
      <c r="D55" s="539"/>
      <c r="E55" s="420"/>
      <c r="F55" s="420"/>
      <c r="G55" s="420"/>
      <c r="H55" s="420"/>
      <c r="I55" s="420"/>
      <c r="J55" s="420"/>
      <c r="K55" s="420"/>
      <c r="L55" s="533"/>
    </row>
    <row r="56" spans="1:15" ht="14.25" customHeight="1" x14ac:dyDescent="0.35">
      <c r="B56" s="519"/>
      <c r="C56" s="420" t="s">
        <v>383</v>
      </c>
      <c r="D56" s="420"/>
      <c r="E56" s="543"/>
      <c r="F56" s="420"/>
      <c r="G56" s="420"/>
      <c r="H56" s="420"/>
      <c r="I56" s="420"/>
      <c r="J56" s="420"/>
      <c r="K56" s="420"/>
      <c r="L56" s="533"/>
    </row>
    <row r="57" spans="1:15" ht="14.25" customHeight="1" x14ac:dyDescent="0.35">
      <c r="B57" s="519"/>
      <c r="C57" s="420" t="s">
        <v>384</v>
      </c>
      <c r="D57" s="420"/>
      <c r="E57" s="543"/>
      <c r="F57" s="420"/>
      <c r="G57" s="420"/>
      <c r="H57" s="420"/>
      <c r="I57" s="420"/>
      <c r="J57" s="420"/>
      <c r="K57" s="420"/>
      <c r="L57" s="533"/>
    </row>
    <row r="58" spans="1:15" x14ac:dyDescent="0.35">
      <c r="B58" s="519"/>
      <c r="C58" s="420" t="s">
        <v>385</v>
      </c>
      <c r="D58" s="420"/>
      <c r="E58" s="543"/>
      <c r="F58" s="420"/>
      <c r="G58" s="420"/>
      <c r="H58" s="420"/>
      <c r="I58" s="420"/>
      <c r="J58" s="420"/>
      <c r="K58" s="420"/>
      <c r="L58" s="533"/>
    </row>
    <row r="59" spans="1:15" ht="9" hidden="1" customHeight="1" x14ac:dyDescent="0.35">
      <c r="B59" s="519"/>
      <c r="C59" s="44"/>
      <c r="D59" s="44"/>
      <c r="E59" s="48"/>
      <c r="F59" s="44"/>
      <c r="G59" s="44"/>
      <c r="H59" s="44"/>
      <c r="I59" s="44"/>
      <c r="J59" s="44"/>
      <c r="K59" s="44"/>
      <c r="L59" s="511"/>
    </row>
    <row r="60" spans="1:15" ht="13.5" hidden="1" customHeight="1" thickBot="1" x14ac:dyDescent="0.45">
      <c r="B60" s="522"/>
      <c r="C60" s="45" t="s">
        <v>386</v>
      </c>
      <c r="D60" s="32"/>
      <c r="E60" s="32"/>
      <c r="F60" s="32"/>
      <c r="G60" s="32"/>
      <c r="H60" s="32"/>
      <c r="I60" s="32"/>
      <c r="J60" s="33"/>
      <c r="K60" s="33"/>
      <c r="L60" s="523"/>
    </row>
    <row r="61" spans="1:15" ht="5.25" hidden="1" customHeight="1" x14ac:dyDescent="0.4">
      <c r="B61" s="524"/>
      <c r="C61" s="339"/>
      <c r="D61" s="340"/>
      <c r="E61" s="340"/>
      <c r="F61" s="340"/>
      <c r="G61" s="340"/>
      <c r="H61" s="340"/>
      <c r="I61" s="340"/>
      <c r="J61" s="341"/>
      <c r="K61" s="341"/>
      <c r="L61" s="525"/>
    </row>
    <row r="62" spans="1:15" ht="14.25" hidden="1" customHeight="1" x14ac:dyDescent="0.35">
      <c r="B62" s="519"/>
      <c r="C62" s="44" t="s">
        <v>387</v>
      </c>
      <c r="D62" s="44"/>
      <c r="E62" s="48"/>
      <c r="F62" s="44"/>
      <c r="G62" s="44"/>
      <c r="H62" s="44"/>
      <c r="I62" s="44"/>
      <c r="J62" s="44"/>
      <c r="K62" s="44"/>
      <c r="L62" s="511"/>
    </row>
    <row r="63" spans="1:15" ht="14.25" hidden="1" customHeight="1" x14ac:dyDescent="0.35">
      <c r="B63" s="519"/>
      <c r="C63" s="42" t="s">
        <v>376</v>
      </c>
      <c r="D63" s="44"/>
      <c r="F63" s="44" t="s">
        <v>388</v>
      </c>
      <c r="I63" s="44"/>
      <c r="J63" s="44"/>
      <c r="L63" s="521"/>
    </row>
    <row r="64" spans="1:15" ht="14.25" hidden="1" customHeight="1" x14ac:dyDescent="0.35">
      <c r="B64" s="519"/>
      <c r="C64" s="42" t="s">
        <v>389</v>
      </c>
      <c r="D64" s="44"/>
      <c r="F64" s="44"/>
      <c r="G64" s="44"/>
      <c r="I64" s="44"/>
      <c r="J64" s="44"/>
      <c r="L64" s="521"/>
    </row>
    <row r="65" spans="2:12" ht="14.25" hidden="1" customHeight="1" x14ac:dyDescent="0.35">
      <c r="B65" s="519"/>
      <c r="C65" s="44" t="s">
        <v>390</v>
      </c>
      <c r="D65" s="44"/>
      <c r="E65" s="48"/>
      <c r="F65" s="44"/>
      <c r="G65" s="44"/>
      <c r="H65" s="44"/>
      <c r="I65" s="44"/>
      <c r="J65" s="44"/>
      <c r="K65" s="44"/>
      <c r="L65" s="511"/>
    </row>
    <row r="66" spans="2:12" ht="9" customHeight="1" x14ac:dyDescent="0.35">
      <c r="B66" s="519"/>
      <c r="C66" s="44"/>
      <c r="D66" s="44"/>
      <c r="E66" s="48"/>
      <c r="F66" s="44"/>
      <c r="G66" s="44"/>
      <c r="H66" s="44"/>
      <c r="I66" s="44"/>
      <c r="J66" s="44"/>
      <c r="K66" s="44"/>
      <c r="L66" s="511"/>
    </row>
    <row r="67" spans="2:12" ht="15.75" hidden="1" customHeight="1" x14ac:dyDescent="0.4">
      <c r="B67" s="520"/>
      <c r="C67" s="503" t="s">
        <v>391</v>
      </c>
      <c r="D67" s="504"/>
      <c r="E67" s="504"/>
      <c r="F67" s="504"/>
      <c r="G67" s="504"/>
      <c r="H67" s="504"/>
      <c r="I67" s="504"/>
      <c r="J67" s="505"/>
      <c r="K67" s="505"/>
      <c r="L67" s="516"/>
    </row>
    <row r="68" spans="2:12" ht="5.25" hidden="1" customHeight="1" x14ac:dyDescent="0.4">
      <c r="B68" s="527"/>
      <c r="C68" s="528"/>
      <c r="D68" s="529"/>
      <c r="E68" s="529"/>
      <c r="F68" s="529"/>
      <c r="G68" s="529"/>
      <c r="H68" s="529"/>
      <c r="I68" s="529"/>
      <c r="J68" s="530"/>
      <c r="K68" s="530"/>
      <c r="L68" s="531"/>
    </row>
    <row r="69" spans="2:12" ht="16.5" hidden="1" customHeight="1" x14ac:dyDescent="0.35">
      <c r="B69" s="519"/>
      <c r="C69" s="420" t="s">
        <v>392</v>
      </c>
      <c r="D69" s="420"/>
      <c r="E69" s="543"/>
      <c r="F69" s="420"/>
      <c r="G69" s="420"/>
      <c r="H69" s="420"/>
      <c r="I69" s="420"/>
      <c r="J69" s="420"/>
      <c r="K69" s="420"/>
      <c r="L69" s="533"/>
    </row>
    <row r="70" spans="2:12" ht="13.5" hidden="1" customHeight="1" x14ac:dyDescent="0.35">
      <c r="B70" s="519"/>
      <c r="C70" s="420" t="s">
        <v>393</v>
      </c>
      <c r="D70" s="420"/>
      <c r="E70" s="543"/>
      <c r="F70" s="420"/>
      <c r="G70" s="420"/>
      <c r="H70" s="420"/>
      <c r="I70" s="420"/>
      <c r="J70" s="420"/>
      <c r="K70" s="420"/>
      <c r="L70" s="533"/>
    </row>
    <row r="71" spans="2:12" ht="13.5" hidden="1" customHeight="1" x14ac:dyDescent="0.35">
      <c r="B71" s="519"/>
      <c r="C71" s="420" t="s">
        <v>394</v>
      </c>
      <c r="D71" s="420"/>
      <c r="E71" s="543"/>
      <c r="F71" s="420"/>
      <c r="G71" s="420"/>
      <c r="H71" s="420"/>
      <c r="I71" s="420"/>
      <c r="J71" s="420"/>
      <c r="K71" s="420"/>
      <c r="L71" s="533"/>
    </row>
    <row r="72" spans="2:12" ht="13.5" hidden="1" customHeight="1" x14ac:dyDescent="0.35">
      <c r="B72" s="519"/>
      <c r="C72" s="420" t="s">
        <v>395</v>
      </c>
      <c r="D72" s="420"/>
      <c r="E72" s="543"/>
      <c r="F72" s="420"/>
      <c r="G72" s="420"/>
      <c r="H72" s="420"/>
      <c r="I72" s="420"/>
      <c r="J72" s="420"/>
      <c r="K72" s="420"/>
      <c r="L72" s="533"/>
    </row>
    <row r="73" spans="2:12" ht="13.5" hidden="1" customHeight="1" x14ac:dyDescent="0.35">
      <c r="B73" s="519"/>
      <c r="C73" s="420" t="s">
        <v>396</v>
      </c>
      <c r="D73" s="420"/>
      <c r="E73" s="543"/>
      <c r="F73" s="420"/>
      <c r="G73" s="420"/>
      <c r="H73" s="420"/>
      <c r="I73" s="420"/>
      <c r="J73" s="420"/>
      <c r="K73" s="420"/>
      <c r="L73" s="533"/>
    </row>
    <row r="74" spans="2:12" ht="8.25" customHeight="1" thickBot="1" x14ac:dyDescent="0.45">
      <c r="B74" s="526"/>
      <c r="C74" s="548"/>
      <c r="D74" s="549"/>
      <c r="E74" s="550"/>
      <c r="F74" s="550"/>
      <c r="G74" s="550"/>
      <c r="H74" s="550"/>
      <c r="I74" s="550"/>
      <c r="J74" s="550"/>
      <c r="K74" s="550"/>
      <c r="L74" s="551"/>
    </row>
  </sheetData>
  <sheetProtection algorithmName="SHA-512" hashValue="cJkg1o6pdtH9rqEAWclDXUxDOFWcC8mQKH2oJRQXYMiC/xBzYoOuiK4tPrJR10X2Wyx1ZMuvVtVNGQFAvbOT9g==" saltValue="2bXwMN2NjfLG5BVQ/MmOxQ==" spinCount="100000" sheet="1" objects="1" scenarios="1" formatRows="0" selectLockedCells="1"/>
  <mergeCells count="1">
    <mergeCell ref="C3:J3"/>
  </mergeCells>
  <phoneticPr fontId="0" type="noConversion"/>
  <pageMargins left="0.25" right="0.28000000000000003" top="0.54" bottom="0.26" header="0.51181102362204722" footer="0.25"/>
  <pageSetup paperSize="9" scale="87" orientation="portrait" r:id="rId1"/>
  <headerFooter alignWithMargins="0"/>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R51"/>
  <sheetViews>
    <sheetView showGridLines="0" showRowColHeaders="0" zoomScaleNormal="100" workbookViewId="0">
      <selection activeCell="C8" sqref="C8:G8"/>
    </sheetView>
  </sheetViews>
  <sheetFormatPr defaultColWidth="9.265625" defaultRowHeight="12.75" x14ac:dyDescent="0.35"/>
  <cols>
    <col min="1" max="1" width="3.265625" customWidth="1"/>
    <col min="2" max="2" width="25" customWidth="1"/>
    <col min="3" max="3" width="12.3984375" customWidth="1"/>
    <col min="4" max="4" width="10.265625" customWidth="1"/>
    <col min="5" max="5" width="6.265625" customWidth="1"/>
    <col min="6" max="6" width="4.265625" customWidth="1"/>
    <col min="7" max="7" width="9" customWidth="1"/>
    <col min="8" max="9" width="6" customWidth="1"/>
    <col min="10" max="11" width="13.3984375" customWidth="1"/>
    <col min="12" max="12" width="1.59765625" style="6" customWidth="1"/>
    <col min="13" max="13" width="2.265625" customWidth="1"/>
    <col min="14" max="14" width="12" hidden="1" customWidth="1"/>
    <col min="15" max="15" width="14.73046875" customWidth="1"/>
  </cols>
  <sheetData>
    <row r="1" spans="2:18" ht="13.15" thickBot="1" x14ac:dyDescent="0.4"/>
    <row r="2" spans="2:18" ht="33" customHeight="1" x14ac:dyDescent="1">
      <c r="B2" s="731"/>
      <c r="C2" s="718"/>
      <c r="D2" s="719"/>
      <c r="E2" s="718"/>
      <c r="F2" s="718"/>
      <c r="G2" s="718"/>
      <c r="H2" s="718"/>
      <c r="I2" s="718"/>
      <c r="J2" s="719"/>
      <c r="K2" s="719"/>
      <c r="L2" s="723"/>
      <c r="N2" s="141">
        <v>43831</v>
      </c>
      <c r="R2" s="38"/>
    </row>
    <row r="3" spans="2:18" ht="23.25" customHeight="1" x14ac:dyDescent="0.35">
      <c r="B3" s="732" t="s">
        <v>397</v>
      </c>
      <c r="C3" s="727"/>
      <c r="D3" s="711"/>
      <c r="E3" s="727"/>
      <c r="F3" s="727"/>
      <c r="G3" s="727"/>
      <c r="H3" s="727"/>
      <c r="I3" s="727"/>
      <c r="J3" s="711"/>
      <c r="K3" s="711"/>
      <c r="L3" s="724"/>
      <c r="N3" s="143"/>
      <c r="R3" s="38"/>
    </row>
    <row r="4" spans="2:18" s="145" customFormat="1" ht="18" customHeight="1" thickBot="1" x14ac:dyDescent="0.4">
      <c r="B4" s="733"/>
      <c r="C4" s="728"/>
      <c r="D4" s="728"/>
      <c r="E4" s="728"/>
      <c r="F4" s="728"/>
      <c r="G4" s="728"/>
      <c r="H4" s="729" t="str">
        <f>Version</f>
        <v>Version: (16 Sep 2024)</v>
      </c>
      <c r="I4" s="728"/>
      <c r="J4" s="730"/>
      <c r="K4" s="730"/>
      <c r="L4" s="734"/>
      <c r="M4"/>
      <c r="N4"/>
      <c r="O4"/>
      <c r="P4"/>
      <c r="Q4"/>
      <c r="R4" s="144"/>
    </row>
    <row r="5" spans="2:18" s="146" customFormat="1" ht="22.5" customHeight="1" x14ac:dyDescent="0.4">
      <c r="B5" s="1397" t="s">
        <v>398</v>
      </c>
      <c r="C5" s="1398"/>
      <c r="D5" s="1398"/>
      <c r="E5" s="1398"/>
      <c r="F5" s="1398"/>
      <c r="G5" s="1398"/>
      <c r="H5" s="1398"/>
      <c r="I5" s="1398"/>
      <c r="J5" s="1398"/>
      <c r="K5" s="1398"/>
      <c r="L5" s="1399"/>
      <c r="R5" s="147"/>
    </row>
    <row r="6" spans="2:18" s="146" customFormat="1" ht="17.25" customHeight="1" x14ac:dyDescent="0.45">
      <c r="B6" s="624" t="s">
        <v>399</v>
      </c>
      <c r="C6" s="615"/>
      <c r="D6" s="615"/>
      <c r="E6" s="616"/>
      <c r="F6" s="616"/>
      <c r="G6" s="616"/>
      <c r="H6" s="616"/>
      <c r="I6" s="616"/>
      <c r="J6" s="615"/>
      <c r="K6" s="615"/>
      <c r="L6" s="625"/>
      <c r="R6" s="147"/>
    </row>
    <row r="7" spans="2:18" s="150" customFormat="1" ht="4.5" customHeight="1" x14ac:dyDescent="0.35">
      <c r="B7" s="626"/>
      <c r="C7" s="148"/>
      <c r="D7" s="149"/>
      <c r="E7" s="149"/>
      <c r="F7" s="149"/>
      <c r="G7" s="149"/>
      <c r="H7" s="149"/>
      <c r="I7" s="149"/>
      <c r="J7" s="148"/>
      <c r="K7" s="148"/>
      <c r="L7" s="627"/>
    </row>
    <row r="8" spans="2:18" s="150" customFormat="1" ht="18" customHeight="1" x14ac:dyDescent="0.35">
      <c r="B8" s="639" t="s">
        <v>400</v>
      </c>
      <c r="C8" s="1400"/>
      <c r="D8" s="1401"/>
      <c r="E8" s="1401"/>
      <c r="F8" s="1401"/>
      <c r="G8" s="1402"/>
      <c r="H8" s="1413" t="s">
        <v>401</v>
      </c>
      <c r="I8" s="1413"/>
      <c r="J8" s="1413"/>
      <c r="K8" s="640"/>
      <c r="L8" s="627"/>
    </row>
    <row r="9" spans="2:18" s="150" customFormat="1" ht="7.5" customHeight="1" x14ac:dyDescent="0.35">
      <c r="B9" s="639"/>
      <c r="C9" s="641"/>
      <c r="D9" s="641"/>
      <c r="E9" s="641"/>
      <c r="F9" s="641"/>
      <c r="G9" s="642"/>
      <c r="H9" s="642"/>
      <c r="I9" s="643"/>
      <c r="J9" s="641"/>
      <c r="K9" s="641"/>
      <c r="L9" s="627"/>
    </row>
    <row r="10" spans="2:18" s="150" customFormat="1" ht="17.25" customHeight="1" x14ac:dyDescent="0.35">
      <c r="B10" s="639" t="s">
        <v>402</v>
      </c>
      <c r="C10" s="644"/>
      <c r="D10" s="1416" t="s">
        <v>403</v>
      </c>
      <c r="E10" s="1416"/>
      <c r="F10" s="1416"/>
      <c r="G10" s="1414"/>
      <c r="H10" s="1415"/>
      <c r="I10" s="1408" t="s">
        <v>404</v>
      </c>
      <c r="J10" s="1408"/>
      <c r="K10" s="644"/>
      <c r="L10" s="627"/>
      <c r="N10" s="151"/>
    </row>
    <row r="11" spans="2:18" s="150" customFormat="1" ht="6.75" customHeight="1" x14ac:dyDescent="0.35">
      <c r="B11" s="645"/>
      <c r="C11" s="641"/>
      <c r="D11" s="643"/>
      <c r="E11" s="641"/>
      <c r="F11" s="641"/>
      <c r="G11" s="641"/>
      <c r="H11" s="641"/>
      <c r="I11" s="641"/>
      <c r="J11" s="646"/>
      <c r="K11" s="646"/>
      <c r="L11" s="627"/>
      <c r="N11" s="151"/>
    </row>
    <row r="12" spans="2:18" s="150" customFormat="1" ht="16.5" customHeight="1" x14ac:dyDescent="0.35">
      <c r="B12" s="639" t="s">
        <v>405</v>
      </c>
      <c r="C12" s="1400"/>
      <c r="D12" s="1401"/>
      <c r="E12" s="1401"/>
      <c r="F12" s="1401"/>
      <c r="G12" s="1401"/>
      <c r="H12" s="1401"/>
      <c r="I12" s="1401"/>
      <c r="J12" s="1401"/>
      <c r="K12" s="1402"/>
      <c r="L12" s="627"/>
    </row>
    <row r="13" spans="2:18" s="150" customFormat="1" ht="5.25" customHeight="1" x14ac:dyDescent="0.35">
      <c r="B13" s="628"/>
      <c r="C13" s="152"/>
      <c r="D13" s="152"/>
      <c r="E13" s="152"/>
      <c r="F13" s="152"/>
      <c r="G13" s="152"/>
      <c r="H13" s="152"/>
      <c r="I13" s="152"/>
      <c r="J13" s="152"/>
      <c r="K13" s="152"/>
      <c r="L13" s="629"/>
    </row>
    <row r="14" spans="2:18" s="153" customFormat="1" ht="17.25" customHeight="1" x14ac:dyDescent="0.45">
      <c r="B14" s="624" t="s">
        <v>406</v>
      </c>
      <c r="C14" s="617"/>
      <c r="D14" s="617"/>
      <c r="E14" s="618"/>
      <c r="F14" s="618"/>
      <c r="G14" s="618"/>
      <c r="H14" s="618"/>
      <c r="I14" s="618"/>
      <c r="J14" s="617"/>
      <c r="K14" s="617"/>
      <c r="L14" s="630"/>
      <c r="R14" s="154"/>
    </row>
    <row r="15" spans="2:18" s="150" customFormat="1" ht="5.25" customHeight="1" x14ac:dyDescent="0.35">
      <c r="B15" s="626"/>
      <c r="C15" s="148"/>
      <c r="D15" s="149"/>
      <c r="E15" s="149"/>
      <c r="F15" s="149"/>
      <c r="G15" s="149"/>
      <c r="H15" s="149"/>
      <c r="I15" s="149"/>
      <c r="J15" s="148"/>
      <c r="K15" s="148"/>
      <c r="L15" s="627"/>
    </row>
    <row r="16" spans="2:18" s="150" customFormat="1" ht="17.25" customHeight="1" x14ac:dyDescent="0.35">
      <c r="B16" s="639" t="s">
        <v>407</v>
      </c>
      <c r="C16" s="1400"/>
      <c r="D16" s="1401"/>
      <c r="E16" s="1401"/>
      <c r="F16" s="1401"/>
      <c r="G16" s="1402"/>
      <c r="H16" s="1413" t="s">
        <v>408</v>
      </c>
      <c r="I16" s="1413"/>
      <c r="J16" s="1413"/>
      <c r="K16" s="640"/>
      <c r="L16" s="627"/>
    </row>
    <row r="17" spans="1:12" s="150" customFormat="1" ht="6" customHeight="1" x14ac:dyDescent="0.35">
      <c r="B17" s="639"/>
      <c r="C17" s="641"/>
      <c r="D17" s="641"/>
      <c r="E17" s="641"/>
      <c r="F17" s="641"/>
      <c r="G17" s="641"/>
      <c r="H17" s="641"/>
      <c r="I17" s="641"/>
      <c r="J17" s="641"/>
      <c r="K17" s="641"/>
      <c r="L17" s="627"/>
    </row>
    <row r="18" spans="1:12" s="150" customFormat="1" ht="18" customHeight="1" x14ac:dyDescent="0.35">
      <c r="B18" s="639" t="s">
        <v>409</v>
      </c>
      <c r="C18" s="644"/>
      <c r="D18" s="647" t="s">
        <v>410</v>
      </c>
      <c r="E18" s="643"/>
      <c r="F18" s="643"/>
      <c r="G18" s="643"/>
      <c r="H18" s="1408" t="s">
        <v>411</v>
      </c>
      <c r="I18" s="1408"/>
      <c r="J18" s="1408"/>
      <c r="K18" s="644"/>
      <c r="L18" s="627"/>
    </row>
    <row r="19" spans="1:12" s="150" customFormat="1" ht="6" customHeight="1" x14ac:dyDescent="0.35">
      <c r="B19" s="648"/>
      <c r="C19" s="649"/>
      <c r="D19" s="650"/>
      <c r="E19" s="641"/>
      <c r="F19" s="641"/>
      <c r="G19" s="641"/>
      <c r="H19" s="641"/>
      <c r="I19" s="641"/>
      <c r="J19" s="641"/>
      <c r="K19" s="641"/>
      <c r="L19" s="627"/>
    </row>
    <row r="20" spans="1:12" s="150" customFormat="1" ht="17.25" customHeight="1" x14ac:dyDescent="0.35">
      <c r="B20" s="639" t="s">
        <v>405</v>
      </c>
      <c r="C20" s="1400"/>
      <c r="D20" s="1401"/>
      <c r="E20" s="1401"/>
      <c r="F20" s="1401"/>
      <c r="G20" s="1401"/>
      <c r="H20" s="1401"/>
      <c r="I20" s="1401"/>
      <c r="J20" s="1401"/>
      <c r="K20" s="1402"/>
      <c r="L20" s="629"/>
    </row>
    <row r="21" spans="1:12" s="150" customFormat="1" ht="4.5" customHeight="1" x14ac:dyDescent="0.35">
      <c r="B21" s="631"/>
      <c r="C21" s="155"/>
      <c r="D21" s="155"/>
      <c r="E21" s="155"/>
      <c r="F21" s="155"/>
      <c r="G21" s="155"/>
      <c r="H21" s="155"/>
      <c r="I21" s="155"/>
      <c r="J21" s="155"/>
      <c r="K21" s="155"/>
      <c r="L21" s="629"/>
    </row>
    <row r="22" spans="1:12" s="153" customFormat="1" ht="17.25" customHeight="1" x14ac:dyDescent="0.45">
      <c r="B22" s="632" t="s">
        <v>412</v>
      </c>
      <c r="C22" s="614"/>
      <c r="D22" s="614"/>
      <c r="E22" s="614"/>
      <c r="F22" s="614"/>
      <c r="G22" s="614"/>
      <c r="H22" s="614"/>
      <c r="I22" s="614"/>
      <c r="J22" s="614"/>
      <c r="K22" s="614"/>
      <c r="L22" s="633"/>
    </row>
    <row r="23" spans="1:12" s="150" customFormat="1" ht="9" customHeight="1" x14ac:dyDescent="0.35">
      <c r="B23" s="631"/>
      <c r="C23" s="155"/>
      <c r="D23" s="155"/>
      <c r="E23" s="155"/>
      <c r="F23" s="155"/>
      <c r="G23" s="155"/>
      <c r="H23" s="155"/>
      <c r="I23" s="155"/>
      <c r="J23" s="155"/>
      <c r="K23" s="155"/>
      <c r="L23" s="629"/>
    </row>
    <row r="24" spans="1:12" s="150" customFormat="1" ht="15" customHeight="1" x14ac:dyDescent="0.35">
      <c r="A24" s="155"/>
      <c r="B24" s="639" t="s">
        <v>413</v>
      </c>
      <c r="C24" s="1406" t="str">
        <f>IF(AND(G10=0,K10=0),"",C10/IF(K10=0,G10,IF(G10=0,K10,MIN(G10,K10))))</f>
        <v/>
      </c>
      <c r="D24" s="1417" t="s">
        <v>414</v>
      </c>
      <c r="F24" s="1442" t="s">
        <v>415</v>
      </c>
      <c r="G24" s="1442"/>
      <c r="H24" s="1442"/>
      <c r="I24" s="1442"/>
      <c r="J24" s="1437" t="str">
        <f>IF(AND(C28&gt;0,K18=0),"",IF(C31="","",C31/K18))</f>
        <v/>
      </c>
      <c r="K24" s="657" t="s">
        <v>416</v>
      </c>
      <c r="L24" s="629"/>
    </row>
    <row r="25" spans="1:12" s="150" customFormat="1" ht="4.5" customHeight="1" x14ac:dyDescent="0.35">
      <c r="A25" s="155"/>
      <c r="B25" s="1409" t="s">
        <v>417</v>
      </c>
      <c r="C25" s="1407"/>
      <c r="D25" s="1417"/>
      <c r="F25" s="1442"/>
      <c r="G25" s="1442"/>
      <c r="H25" s="1442"/>
      <c r="I25" s="1442"/>
      <c r="J25" s="1438"/>
      <c r="L25" s="629"/>
    </row>
    <row r="26" spans="1:12" s="150" customFormat="1" ht="8.25" customHeight="1" x14ac:dyDescent="0.35">
      <c r="B26" s="1409"/>
      <c r="C26" s="156"/>
      <c r="D26" s="655"/>
      <c r="F26" s="157"/>
      <c r="L26" s="629"/>
    </row>
    <row r="27" spans="1:12" s="150" customFormat="1" ht="1.5" customHeight="1" x14ac:dyDescent="0.35">
      <c r="B27" s="651"/>
      <c r="C27" s="155"/>
      <c r="D27" s="655"/>
      <c r="E27" s="155"/>
      <c r="F27" s="155"/>
      <c r="L27" s="629"/>
    </row>
    <row r="28" spans="1:12" s="150" customFormat="1" ht="12.75" customHeight="1" x14ac:dyDescent="0.45">
      <c r="B28" s="652" t="s">
        <v>418</v>
      </c>
      <c r="C28" s="1410">
        <v>0.79999999999999993</v>
      </c>
      <c r="D28" s="656" t="s">
        <v>419</v>
      </c>
      <c r="F28" s="1441" t="s">
        <v>420</v>
      </c>
      <c r="G28" s="1441"/>
      <c r="H28" s="1441"/>
      <c r="I28" s="1441"/>
      <c r="J28" s="1437" t="str">
        <f>IF(OR(C31="",J24=""),"",(C18+C31)/K18)</f>
        <v/>
      </c>
      <c r="K28" s="658" t="s">
        <v>421</v>
      </c>
      <c r="L28" s="634"/>
    </row>
    <row r="29" spans="1:12" s="150" customFormat="1" ht="6.75" customHeight="1" x14ac:dyDescent="0.35">
      <c r="B29" s="1412" t="s">
        <v>422</v>
      </c>
      <c r="C29" s="1411"/>
      <c r="D29" s="1423" t="str">
        <f>IF(BwrLVR_Pledge&gt;80%," LMI Payable","")</f>
        <v/>
      </c>
      <c r="E29" s="1423"/>
      <c r="F29" s="1427" t="s">
        <v>423</v>
      </c>
      <c r="G29" s="1427"/>
      <c r="H29" s="1427"/>
      <c r="I29" s="1427"/>
      <c r="J29" s="1438"/>
      <c r="K29" s="159"/>
      <c r="L29" s="634"/>
    </row>
    <row r="30" spans="1:12" s="150" customFormat="1" ht="7.5" customHeight="1" x14ac:dyDescent="0.35">
      <c r="B30" s="1412"/>
      <c r="C30" s="158"/>
      <c r="D30" s="1423"/>
      <c r="E30" s="1423"/>
      <c r="F30" s="1427"/>
      <c r="G30" s="1427"/>
      <c r="H30" s="1427"/>
      <c r="I30" s="1427"/>
      <c r="L30" s="634"/>
    </row>
    <row r="31" spans="1:12" s="150" customFormat="1" ht="8.25" customHeight="1" x14ac:dyDescent="0.35">
      <c r="B31" s="1403" t="s">
        <v>424</v>
      </c>
      <c r="C31" s="1404" t="str">
        <f>IF(OR(AND(G10=0,K10=0),Gtr_SecValue=0,BwrLVR_Pledge=0,Loan_amount=0),"",ROUNDUP(C10/C28-IF(K10=0,G10,IF(G10=0,K10,MIN(G10,K10))),0))</f>
        <v/>
      </c>
      <c r="I31" s="160"/>
      <c r="K31" s="160"/>
      <c r="L31" s="634"/>
    </row>
    <row r="32" spans="1:12" s="150" customFormat="1" ht="12.75" customHeight="1" x14ac:dyDescent="0.35">
      <c r="B32" s="1403"/>
      <c r="C32" s="1405"/>
      <c r="E32" s="1428" t="str">
        <f>IF(OR(AND(G10=0,K10=0),BwrLVR_Pledge=0,Loan_amount=0),"",VLOOKUP(TRUE,J37:K44,2,0))</f>
        <v/>
      </c>
      <c r="F32" s="1429"/>
      <c r="G32" s="1429"/>
      <c r="H32" s="1429"/>
      <c r="I32" s="1429"/>
      <c r="J32" s="1429"/>
      <c r="K32" s="1430"/>
      <c r="L32" s="634"/>
    </row>
    <row r="33" spans="2:12" s="150" customFormat="1" ht="7.5" customHeight="1" x14ac:dyDescent="0.35">
      <c r="B33" s="653"/>
      <c r="E33" s="1431"/>
      <c r="F33" s="1432"/>
      <c r="G33" s="1432"/>
      <c r="H33" s="1432"/>
      <c r="I33" s="1432"/>
      <c r="J33" s="1432"/>
      <c r="K33" s="1433"/>
      <c r="L33" s="634"/>
    </row>
    <row r="34" spans="2:12" s="150" customFormat="1" ht="18.75" customHeight="1" x14ac:dyDescent="0.35">
      <c r="B34" s="639" t="s">
        <v>425</v>
      </c>
      <c r="C34" s="654" t="str">
        <f>IF(OR(AND(G10=0,K10=0),Gtr_SecValue=0,BwrLVR_Pledge=0,Loan_amount=0),"",IF(OR(E32=" ",E32=0),"Pass","Fail"))</f>
        <v/>
      </c>
      <c r="E34" s="1434"/>
      <c r="F34" s="1435"/>
      <c r="G34" s="1435"/>
      <c r="H34" s="1435"/>
      <c r="I34" s="1435"/>
      <c r="J34" s="1435"/>
      <c r="K34" s="1436"/>
      <c r="L34" s="634"/>
    </row>
    <row r="35" spans="2:12" s="150" customFormat="1" ht="11.25" customHeight="1" thickBot="1" x14ac:dyDescent="0.4">
      <c r="B35" s="635"/>
      <c r="C35" s="636"/>
      <c r="D35" s="636"/>
      <c r="E35" s="636"/>
      <c r="F35" s="636"/>
      <c r="G35" s="638"/>
      <c r="H35" s="638"/>
      <c r="I35" s="638"/>
      <c r="J35" s="638"/>
      <c r="K35" s="638"/>
      <c r="L35" s="637"/>
    </row>
    <row r="36" spans="2:12" s="153" customFormat="1" ht="16.5" hidden="1" customHeight="1" x14ac:dyDescent="0.45">
      <c r="B36" s="619" t="s">
        <v>426</v>
      </c>
      <c r="C36" s="620"/>
      <c r="D36" s="620"/>
      <c r="E36" s="1424"/>
      <c r="F36" s="1425"/>
      <c r="G36" s="1426"/>
      <c r="H36" s="620"/>
      <c r="I36" s="620"/>
      <c r="J36" s="621" t="s">
        <v>427</v>
      </c>
      <c r="K36" s="622" t="s">
        <v>428</v>
      </c>
      <c r="L36" s="623"/>
    </row>
    <row r="37" spans="2:12" s="153" customFormat="1" ht="16.5" hidden="1" customHeight="1" x14ac:dyDescent="0.45">
      <c r="B37" s="161" t="s">
        <v>429</v>
      </c>
      <c r="C37" s="162" t="s">
        <v>430</v>
      </c>
      <c r="D37" s="163">
        <v>0</v>
      </c>
      <c r="E37" s="1422"/>
      <c r="F37" s="1422"/>
      <c r="G37" s="1422"/>
      <c r="H37" s="164"/>
      <c r="I37" s="164"/>
      <c r="J37" s="165" t="b">
        <f ca="1">INDIRECT(B37)&lt;=D37</f>
        <v>0</v>
      </c>
      <c r="K37" s="166" t="s">
        <v>431</v>
      </c>
      <c r="L37" s="167"/>
    </row>
    <row r="38" spans="2:12" s="153" customFormat="1" ht="15" hidden="1" customHeight="1" x14ac:dyDescent="0.45">
      <c r="B38" s="161" t="s">
        <v>429</v>
      </c>
      <c r="C38" s="162" t="s">
        <v>432</v>
      </c>
      <c r="D38" s="163">
        <v>1.1000000000000001</v>
      </c>
      <c r="E38" s="1422"/>
      <c r="F38" s="1422"/>
      <c r="G38" s="1422"/>
      <c r="H38" s="164"/>
      <c r="I38" s="164"/>
      <c r="J38" s="165" t="b">
        <f ca="1">INDIRECT(B38)&gt;D38</f>
        <v>1</v>
      </c>
      <c r="K38" s="166" t="str">
        <f>"Max borrower LVR (without pledge) is "&amp;TEXT(D38,"0%")</f>
        <v>Max borrower LVR (without pledge) is 110%</v>
      </c>
      <c r="L38" s="167"/>
    </row>
    <row r="39" spans="2:12" s="153" customFormat="1" ht="16.5" hidden="1" customHeight="1" x14ac:dyDescent="0.45">
      <c r="B39" s="161" t="s">
        <v>433</v>
      </c>
      <c r="C39" s="162" t="s">
        <v>432</v>
      </c>
      <c r="D39" s="162">
        <v>0</v>
      </c>
      <c r="E39" s="1421" t="s">
        <v>434</v>
      </c>
      <c r="F39" s="1421"/>
      <c r="G39" s="1421"/>
      <c r="H39" s="168" t="s">
        <v>435</v>
      </c>
      <c r="I39" s="168">
        <v>0</v>
      </c>
      <c r="J39" s="165" t="b">
        <f ca="1">AND(INDIRECT(B39)&gt;D39,INDIRECT(E39)=I39)</f>
        <v>1</v>
      </c>
      <c r="K39" s="166" t="s">
        <v>436</v>
      </c>
      <c r="L39" s="167"/>
    </row>
    <row r="40" spans="2:12" s="153" customFormat="1" ht="15" hidden="1" customHeight="1" x14ac:dyDescent="0.45">
      <c r="B40" s="161" t="s">
        <v>433</v>
      </c>
      <c r="C40" s="162" t="s">
        <v>432</v>
      </c>
      <c r="D40" s="163">
        <v>0.85</v>
      </c>
      <c r="E40" s="1422"/>
      <c r="F40" s="1422"/>
      <c r="G40" s="1422"/>
      <c r="H40" s="164"/>
      <c r="I40" s="164"/>
      <c r="J40" s="165" t="b">
        <f ca="1">INDIRECT(B40)&gt;D40</f>
        <v>0</v>
      </c>
      <c r="K40" s="166" t="str">
        <f>"Max borrower LVR (with pledge) is "&amp;TEXT(D40,"0%")</f>
        <v>Max borrower LVR (with pledge) is 85%</v>
      </c>
      <c r="L40" s="167"/>
    </row>
    <row r="41" spans="2:12" s="153" customFormat="1" ht="15" hidden="1" customHeight="1" x14ac:dyDescent="0.45">
      <c r="B41" s="161" t="s">
        <v>437</v>
      </c>
      <c r="C41" s="162" t="s">
        <v>432</v>
      </c>
      <c r="D41" s="163">
        <v>0.5</v>
      </c>
      <c r="E41" s="1422"/>
      <c r="F41" s="1422"/>
      <c r="G41" s="1422"/>
      <c r="H41" s="164"/>
      <c r="I41" s="164"/>
      <c r="J41" s="165" t="b">
        <f ca="1">INDIRECT(B41)&gt;D41</f>
        <v>1</v>
      </c>
      <c r="K41" s="166" t="str">
        <f>"Max guarantor pleadge LVR is "&amp;TEXT(D41,"0%")</f>
        <v>Max guarantor pleadge LVR is 50%</v>
      </c>
      <c r="L41" s="167"/>
    </row>
    <row r="42" spans="2:12" s="153" customFormat="1" ht="15" hidden="1" customHeight="1" x14ac:dyDescent="0.45">
      <c r="B42" s="161" t="s">
        <v>438</v>
      </c>
      <c r="C42" s="162" t="s">
        <v>432</v>
      </c>
      <c r="D42" s="163">
        <v>0.7</v>
      </c>
      <c r="E42" s="1422"/>
      <c r="F42" s="1422"/>
      <c r="G42" s="1422"/>
      <c r="H42" s="164"/>
      <c r="I42" s="164"/>
      <c r="J42" s="165" t="b">
        <f ca="1">INDIRECT(B42)&gt;D42</f>
        <v>1</v>
      </c>
      <c r="K42" s="166" t="str">
        <f>"Max overall guarantor LVR is "&amp;TEXT(D42,"0%")</f>
        <v>Max overall guarantor LVR is 70%</v>
      </c>
      <c r="L42" s="167"/>
    </row>
    <row r="43" spans="2:12" s="153" customFormat="1" ht="15" hidden="1" customHeight="1" x14ac:dyDescent="0.45">
      <c r="B43" s="161" t="s">
        <v>433</v>
      </c>
      <c r="C43" s="162" t="s">
        <v>439</v>
      </c>
      <c r="D43" s="169" t="s">
        <v>440</v>
      </c>
      <c r="E43" s="170"/>
      <c r="F43" s="171"/>
      <c r="G43" s="172"/>
      <c r="H43" s="164"/>
      <c r="I43" s="164"/>
      <c r="J43" s="165" t="b">
        <f ca="1">INDIRECT(B43)&lt;INDIRECT(D43)</f>
        <v>1</v>
      </c>
      <c r="K43" s="166" t="e">
        <f>"Min borrower LVR based on available pledge amount is "&amp;TEXT(ROUNDUP(C46,4),"0.00%")</f>
        <v>#VALUE!</v>
      </c>
      <c r="L43" s="167"/>
    </row>
    <row r="44" spans="2:12" s="153" customFormat="1" ht="15" hidden="1" customHeight="1" x14ac:dyDescent="0.45">
      <c r="B44" s="161"/>
      <c r="C44" s="173"/>
      <c r="D44" s="174"/>
      <c r="E44" s="1418"/>
      <c r="F44" s="1419"/>
      <c r="G44" s="1420"/>
      <c r="H44" s="164"/>
      <c r="I44" s="164"/>
      <c r="J44" s="165" t="b">
        <v>1</v>
      </c>
      <c r="K44" s="164" t="s">
        <v>43</v>
      </c>
      <c r="L44" s="167"/>
    </row>
    <row r="45" spans="2:12" s="153" customFormat="1" ht="15" hidden="1" customHeight="1" x14ac:dyDescent="0.45">
      <c r="B45" s="175"/>
      <c r="C45" s="176"/>
      <c r="D45" s="177"/>
      <c r="E45" s="178"/>
      <c r="F45" s="178"/>
      <c r="G45" s="178"/>
      <c r="H45" s="179"/>
      <c r="I45" s="179"/>
      <c r="K45" s="179"/>
      <c r="L45" s="167"/>
    </row>
    <row r="46" spans="2:12" s="153" customFormat="1" ht="15" hidden="1" customHeight="1" x14ac:dyDescent="0.45">
      <c r="B46" s="180" t="s">
        <v>441</v>
      </c>
      <c r="C46" s="181" t="str">
        <f>IF(C24="","",ROUNDUP(C10/(IF(K10=0,G10,IF(G10=0,K10,MIN(G10,K10)))+J46),4))</f>
        <v/>
      </c>
      <c r="D46" s="182" t="s">
        <v>442</v>
      </c>
      <c r="E46" s="179"/>
      <c r="F46" s="179"/>
      <c r="G46" s="179"/>
      <c r="H46" s="179"/>
      <c r="I46" s="183" t="s">
        <v>443</v>
      </c>
      <c r="J46" s="184">
        <f>MAX(MIN(K18*50%,K18*70%-C18),0)</f>
        <v>0</v>
      </c>
      <c r="K46" s="179"/>
      <c r="L46" s="167"/>
    </row>
    <row r="47" spans="2:12" s="153" customFormat="1" ht="10.5" hidden="1" customHeight="1" thickBot="1" x14ac:dyDescent="0.5">
      <c r="B47" s="185" t="s">
        <v>444</v>
      </c>
      <c r="C47" s="186"/>
      <c r="D47" s="186"/>
      <c r="E47" s="187"/>
      <c r="F47" s="187"/>
      <c r="G47" s="187"/>
      <c r="H47" s="187"/>
      <c r="I47" s="187"/>
      <c r="J47" s="187"/>
      <c r="K47" s="187"/>
      <c r="L47" s="188"/>
    </row>
    <row r="48" spans="2:12" ht="3.75" hidden="1" customHeight="1" x14ac:dyDescent="0.4">
      <c r="B48" s="189"/>
      <c r="C48" s="189"/>
      <c r="D48" s="189"/>
      <c r="E48" s="189"/>
      <c r="F48" s="189"/>
      <c r="G48" s="189"/>
      <c r="H48" s="189"/>
      <c r="I48" s="190"/>
      <c r="J48" s="189"/>
      <c r="K48" s="189"/>
    </row>
    <row r="49" spans="2:10" ht="13.15" hidden="1" x14ac:dyDescent="0.35">
      <c r="G49" s="1439" t="s">
        <v>424</v>
      </c>
      <c r="H49" s="1439"/>
      <c r="I49" s="1440"/>
      <c r="J49" s="191" t="e">
        <f>ROUNDUP(IF(AND(G10=0,K10=0),"",C10/C28-IF(K10=0,G10,IF(G10=0,K10,MIN(G10,K10)))),0)</f>
        <v>#VALUE!</v>
      </c>
    </row>
    <row r="50" spans="2:10" hidden="1" x14ac:dyDescent="0.35"/>
    <row r="51" spans="2:10" ht="18.75" customHeight="1" x14ac:dyDescent="0.45">
      <c r="B51" s="659"/>
    </row>
  </sheetData>
  <sheetProtection algorithmName="SHA-512" hashValue="ZRgosvJHIzCRj+Vbvmdgi6W5J5s3maksqIDaD+5C3jGiH/rgATl/TiVgqQ+rf6KfGJ5j1shCiC1FJEYQsZPowg==" saltValue="d2182ThByFXEEbTm7E6xyQ==" spinCount="100000" sheet="1" objects="1" scenarios="1" selectLockedCells="1"/>
  <mergeCells count="34">
    <mergeCell ref="H16:J16"/>
    <mergeCell ref="E32:K34"/>
    <mergeCell ref="J28:J29"/>
    <mergeCell ref="G49:I49"/>
    <mergeCell ref="J24:J25"/>
    <mergeCell ref="F28:I28"/>
    <mergeCell ref="F24:I25"/>
    <mergeCell ref="D24:D25"/>
    <mergeCell ref="E44:G44"/>
    <mergeCell ref="E39:G39"/>
    <mergeCell ref="E37:G37"/>
    <mergeCell ref="E42:G42"/>
    <mergeCell ref="E38:G38"/>
    <mergeCell ref="E40:G40"/>
    <mergeCell ref="E41:G41"/>
    <mergeCell ref="D29:E30"/>
    <mergeCell ref="E36:G36"/>
    <mergeCell ref="F29:I30"/>
    <mergeCell ref="B5:L5"/>
    <mergeCell ref="C12:K12"/>
    <mergeCell ref="B31:B32"/>
    <mergeCell ref="C31:C32"/>
    <mergeCell ref="C8:G8"/>
    <mergeCell ref="C24:C25"/>
    <mergeCell ref="C20:K20"/>
    <mergeCell ref="H18:J18"/>
    <mergeCell ref="B25:B26"/>
    <mergeCell ref="C28:C29"/>
    <mergeCell ref="B29:B30"/>
    <mergeCell ref="H8:J8"/>
    <mergeCell ref="G10:H10"/>
    <mergeCell ref="C16:G16"/>
    <mergeCell ref="D10:F10"/>
    <mergeCell ref="I10:J10"/>
  </mergeCells>
  <phoneticPr fontId="0" type="noConversion"/>
  <conditionalFormatting sqref="C28:C29">
    <cfRule type="cellIs" dxfId="24" priority="3" stopIfTrue="1" operator="greaterThan">
      <formula>$D$40</formula>
    </cfRule>
  </conditionalFormatting>
  <conditionalFormatting sqref="C46">
    <cfRule type="cellIs" dxfId="23" priority="8" stopIfTrue="1" operator="equal">
      <formula>""</formula>
    </cfRule>
    <cfRule type="cellIs" dxfId="22" priority="9" stopIfTrue="1" operator="greaterThan">
      <formula>$D$40</formula>
    </cfRule>
  </conditionalFormatting>
  <conditionalFormatting sqref="C34">
    <cfRule type="cellIs" dxfId="21" priority="10" stopIfTrue="1" operator="equal">
      <formula>""</formula>
    </cfRule>
    <cfRule type="cellIs" dxfId="20" priority="11" stopIfTrue="1" operator="equal">
      <formula>"Fail"</formula>
    </cfRule>
  </conditionalFormatting>
  <conditionalFormatting sqref="K18">
    <cfRule type="cellIs" dxfId="19" priority="12" stopIfTrue="1" operator="equal">
      <formula>$C$28</formula>
    </cfRule>
    <cfRule type="cellIs" dxfId="18" priority="13" stopIfTrue="1" operator="equal">
      <formula>IF($E$32="",1,0)</formula>
    </cfRule>
  </conditionalFormatting>
  <conditionalFormatting sqref="C24:C25">
    <cfRule type="cellIs" dxfId="17" priority="21" stopIfTrue="1" operator="equal">
      <formula>""</formula>
    </cfRule>
    <cfRule type="cellIs" dxfId="16" priority="22" stopIfTrue="1" operator="greaterThan">
      <formula>$D$38</formula>
    </cfRule>
  </conditionalFormatting>
  <conditionalFormatting sqref="J24:J25">
    <cfRule type="cellIs" dxfId="15" priority="23" stopIfTrue="1" operator="equal">
      <formula>""</formula>
    </cfRule>
    <cfRule type="cellIs" dxfId="14" priority="24" stopIfTrue="1" operator="greaterThan">
      <formula>$D$41</formula>
    </cfRule>
  </conditionalFormatting>
  <conditionalFormatting sqref="J28:J29">
    <cfRule type="cellIs" dxfId="13" priority="25" stopIfTrue="1" operator="equal">
      <formula>""</formula>
    </cfRule>
    <cfRule type="cellIs" dxfId="12" priority="26" stopIfTrue="1" operator="greaterThan">
      <formula>$D$42</formula>
    </cfRule>
  </conditionalFormatting>
  <dataValidations count="8">
    <dataValidation type="decimal" allowBlank="1" showInputMessage="1" showErrorMessage="1" errorTitle="Max LVR" error="80%" promptTitle="Max LVR" prompt="80%" sqref="C28:C29" xr:uid="{00000000-0002-0000-0500-000000000000}">
      <formula1>0</formula1>
      <formula2>0.8</formula2>
    </dataValidation>
    <dataValidation type="list" allowBlank="1" showInputMessage="1" showErrorMessage="1" sqref="K16" xr:uid="{00000000-0002-0000-0500-000001000000}">
      <formula1>"Parent,Sibling,Child"</formula1>
    </dataValidation>
    <dataValidation type="list" allowBlank="1" showInputMessage="1" showErrorMessage="1" sqref="K8" xr:uid="{00000000-0002-0000-0500-000002000000}">
      <formula1>"Child,Sibling,Parent"</formula1>
    </dataValidation>
    <dataValidation type="decimal" errorStyle="information" allowBlank="1" showErrorMessage="1" errorTitle="Loan amount" error="Refer to MBL’s Lending Guidelines or contact your BDM" promptTitle="Max loan amount" prompt="$750,000 for securities in Metro locations_x000a_$500,000  for securities in Regional locations_x000a_$400,000  for securities in other acceptable locations" sqref="C10" xr:uid="{00000000-0002-0000-0500-000003000000}">
      <formula1>1</formula1>
      <formula2>2000000</formula2>
    </dataValidation>
    <dataValidation type="decimal" operator="greaterThan" allowBlank="1" showInputMessage="1" showErrorMessage="1" errorTitle="Purchase price" error="Please enter purchase price" sqref="G10:H10" xr:uid="{00000000-0002-0000-0500-000004000000}">
      <formula1>0</formula1>
    </dataValidation>
    <dataValidation type="decimal" operator="greaterThan" allowBlank="1" showInputMessage="1" showErrorMessage="1" errorTitle="Valuation amount" error="Please enter valuation amount" sqref="K10" xr:uid="{00000000-0002-0000-0500-000005000000}">
      <formula1>0</formula1>
    </dataValidation>
    <dataValidation type="decimal" operator="greaterThanOrEqual" allowBlank="1" showInputMessage="1" showErrorMessage="1" errorTitle="Refinance loan amount" error="Please either enter refinance loan amount, leave blank or zero." sqref="C18" xr:uid="{00000000-0002-0000-0500-000006000000}">
      <formula1>0</formula1>
    </dataValidation>
    <dataValidation type="decimal" operator="greaterThan" allowBlank="1" showInputMessage="1" showErrorMessage="1" errorTitle="Guarantor security value" error="Please enter the estimated security value and  update where valuation amount differs." prompt="Enter estimated value and update with actual valuation amount." sqref="K18" xr:uid="{00000000-0002-0000-0500-000007000000}">
      <formula1>0</formula1>
    </dataValidation>
  </dataValidations>
  <pageMargins left="0.46" right="0.33" top="0.53" bottom="1" header="0.5" footer="0.5"/>
  <pageSetup paperSize="9" scale="90"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4339" r:id="rId4" name="PledgeResetButton">
              <controlPr defaultSize="0" print="0" autoFill="0" autoPict="0" macro="[0]!PledgeResetButton_Click">
                <anchor moveWithCells="1" sizeWithCells="1">
                  <from>
                    <xdr:col>10</xdr:col>
                    <xdr:colOff>28575</xdr:colOff>
                    <xdr:row>4</xdr:row>
                    <xdr:rowOff>38100</xdr:rowOff>
                  </from>
                  <to>
                    <xdr:col>10</xdr:col>
                    <xdr:colOff>866775</xdr:colOff>
                    <xdr:row>4</xdr:row>
                    <xdr:rowOff>257175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B1:AR3093"/>
  <sheetViews>
    <sheetView showGridLines="0" topLeftCell="S1" zoomScale="90" workbookViewId="0">
      <selection activeCell="C22" sqref="C22"/>
    </sheetView>
  </sheetViews>
  <sheetFormatPr defaultRowHeight="12.75" x14ac:dyDescent="0.35"/>
  <cols>
    <col min="1" max="1" width="3.265625" customWidth="1"/>
    <col min="2" max="2" width="35.3984375" bestFit="1" customWidth="1"/>
    <col min="3" max="3" width="18.59765625" customWidth="1"/>
    <col min="4" max="4" width="17.59765625" customWidth="1"/>
    <col min="5" max="5" width="5.73046875" customWidth="1"/>
    <col min="6" max="10" width="15.3984375" customWidth="1"/>
    <col min="11" max="11" width="10" customWidth="1"/>
    <col min="12" max="22" width="5.265625" customWidth="1"/>
    <col min="23" max="25" width="6" customWidth="1"/>
    <col min="26" max="26" width="12.3984375" customWidth="1"/>
    <col min="27" max="27" width="10.73046875" customWidth="1"/>
    <col min="28" max="28" width="13.73046875" customWidth="1"/>
    <col min="29" max="29" width="18.265625" customWidth="1"/>
    <col min="30" max="30" width="14.73046875" customWidth="1"/>
    <col min="31" max="31" width="16.265625" customWidth="1"/>
    <col min="32" max="33" width="10.265625" customWidth="1"/>
    <col min="34" max="34" width="5" customWidth="1"/>
    <col min="35" max="35" width="19.265625" style="374" customWidth="1"/>
    <col min="36" max="36" width="11" customWidth="1"/>
  </cols>
  <sheetData>
    <row r="1" spans="2:44" ht="30.75" customHeight="1" x14ac:dyDescent="0.5">
      <c r="B1" s="741" t="s">
        <v>445</v>
      </c>
      <c r="Z1" s="369" t="s">
        <v>446</v>
      </c>
      <c r="AA1" s="369" t="s">
        <v>447</v>
      </c>
      <c r="AB1" s="369" t="s">
        <v>448</v>
      </c>
      <c r="AC1" s="370" t="s">
        <v>449</v>
      </c>
      <c r="AD1" s="370" t="s">
        <v>450</v>
      </c>
      <c r="AE1" s="369" t="s">
        <v>451</v>
      </c>
      <c r="AF1" s="369" t="s">
        <v>452</v>
      </c>
      <c r="AG1" s="369" t="s">
        <v>87</v>
      </c>
      <c r="AI1" s="1443" t="s">
        <v>453</v>
      </c>
      <c r="AJ1" s="1443"/>
    </row>
    <row r="2" spans="2:44" ht="14.25" customHeight="1" x14ac:dyDescent="0.4">
      <c r="F2" s="314" t="s">
        <v>454</v>
      </c>
      <c r="H2" s="740" t="s">
        <v>455</v>
      </c>
      <c r="Z2" s="344">
        <v>800</v>
      </c>
      <c r="AA2" s="344" t="s">
        <v>456</v>
      </c>
      <c r="AB2" s="344">
        <v>1</v>
      </c>
      <c r="AC2" s="379" t="s">
        <v>457</v>
      </c>
      <c r="AD2" s="1058" t="s">
        <v>458</v>
      </c>
      <c r="AE2" s="1059">
        <v>610839</v>
      </c>
      <c r="AF2" s="889" t="s">
        <v>459</v>
      </c>
      <c r="AG2" s="889" t="s">
        <v>460</v>
      </c>
      <c r="AI2" s="375">
        <v>0</v>
      </c>
      <c r="AJ2" s="376" t="e">
        <v>#N/A</v>
      </c>
    </row>
    <row r="3" spans="2:44" ht="13.15" x14ac:dyDescent="0.4">
      <c r="F3" s="313" t="s">
        <v>461</v>
      </c>
      <c r="K3" s="41" t="s">
        <v>462</v>
      </c>
      <c r="Z3" s="344">
        <v>801</v>
      </c>
      <c r="AA3" s="344" t="s">
        <v>456</v>
      </c>
      <c r="AB3" s="344">
        <v>4</v>
      </c>
      <c r="AC3" s="344" t="e">
        <v>#N/A</v>
      </c>
      <c r="AD3" s="1058" t="s">
        <v>463</v>
      </c>
      <c r="AE3" s="1059" t="e">
        <v>#N/A</v>
      </c>
      <c r="AF3" s="889" t="s">
        <v>459</v>
      </c>
      <c r="AG3" s="889" t="s">
        <v>459</v>
      </c>
      <c r="AI3" s="375">
        <v>0.01</v>
      </c>
      <c r="AJ3" s="376" t="s">
        <v>464</v>
      </c>
    </row>
    <row r="4" spans="2:44" ht="13.15" x14ac:dyDescent="0.4">
      <c r="B4" s="57" t="s">
        <v>465</v>
      </c>
      <c r="F4" s="313" t="s">
        <v>212</v>
      </c>
      <c r="H4" s="880" t="s">
        <v>466</v>
      </c>
      <c r="I4" s="1195">
        <v>2</v>
      </c>
      <c r="K4" s="74"/>
      <c r="L4" s="74"/>
      <c r="M4" s="83"/>
      <c r="N4" s="83"/>
      <c r="O4" s="84" t="s">
        <v>467</v>
      </c>
      <c r="P4" s="84"/>
      <c r="Q4" s="84"/>
      <c r="R4" s="84" t="s">
        <v>468</v>
      </c>
      <c r="S4" s="84"/>
      <c r="T4" s="84"/>
      <c r="U4" s="84" t="s">
        <v>469</v>
      </c>
      <c r="V4" s="84"/>
      <c r="W4" s="84"/>
      <c r="X4" s="84" t="s">
        <v>470</v>
      </c>
      <c r="Z4" s="344">
        <v>804</v>
      </c>
      <c r="AA4" s="344" t="s">
        <v>456</v>
      </c>
      <c r="AB4" s="344">
        <v>1</v>
      </c>
      <c r="AC4" s="344" t="e">
        <v>#N/A</v>
      </c>
      <c r="AD4" s="1058" t="s">
        <v>458</v>
      </c>
      <c r="AE4" s="1059" t="e">
        <v>#N/A</v>
      </c>
      <c r="AF4" s="889" t="s">
        <v>459</v>
      </c>
      <c r="AG4" s="889" t="s">
        <v>459</v>
      </c>
      <c r="AI4" s="375">
        <v>300000.01</v>
      </c>
      <c r="AJ4" s="376" t="s">
        <v>471</v>
      </c>
    </row>
    <row r="5" spans="2:44" ht="13.15" x14ac:dyDescent="0.4">
      <c r="B5" s="1444" t="s">
        <v>472</v>
      </c>
      <c r="C5" s="1445"/>
      <c r="D5" s="1446"/>
      <c r="F5" s="313" t="s">
        <v>213</v>
      </c>
      <c r="H5" s="880" t="s">
        <v>473</v>
      </c>
      <c r="I5" s="1196" t="s">
        <v>474</v>
      </c>
      <c r="K5" s="74" t="s">
        <v>475</v>
      </c>
      <c r="L5" s="74">
        <v>1</v>
      </c>
      <c r="M5" s="85"/>
      <c r="N5" s="85"/>
      <c r="O5" s="86" t="s">
        <v>476</v>
      </c>
      <c r="P5" s="83">
        <f>'Serviceability Worksheet'!C13</f>
        <v>2</v>
      </c>
      <c r="Q5" s="87">
        <f>IF('Serviceability Worksheet'!$E11&lt;&gt;"Couple","",IF(OR(P7=2,P8=2,'Serviceability Worksheet'!$C13=$L7,'Serviceability Worksheet'!$C13=$L8,ISERROR(MATCH($L5,P$5:P$8,0))=FALSE),"",$L5))</f>
        <v>1</v>
      </c>
      <c r="R5" s="86" t="s">
        <v>476</v>
      </c>
      <c r="S5" s="83">
        <f>'Serviceability Worksheet'!C13</f>
        <v>2</v>
      </c>
      <c r="T5" s="87" t="str">
        <f>IF('Serviceability Worksheet'!$G11&lt;&gt;"Couple","",IF(OR(S6=3,S8=3,'Serviceability Worksheet'!$C13=$L6,'Serviceability Worksheet'!$C13=$L8,ISERROR(MATCH($L5,S$5:S$8,0))=FALSE),"",$L5))</f>
        <v/>
      </c>
      <c r="U5" s="86" t="s">
        <v>476</v>
      </c>
      <c r="V5" s="83">
        <f>'Serviceability Worksheet'!C13</f>
        <v>2</v>
      </c>
      <c r="W5" s="87" t="str">
        <f>IF('Serviceability Worksheet'!$I11&lt;&gt;"Couple","",IF(OR(V6=4,V7=4,'Serviceability Worksheet'!$C13=$L7,'Serviceability Worksheet'!$C13=$L6,ISERROR(MATCH($L5,V$5:V$8,0))=FALSE),"",$L5))</f>
        <v/>
      </c>
      <c r="X5" s="86" t="s">
        <v>476</v>
      </c>
      <c r="Z5" s="344">
        <v>810</v>
      </c>
      <c r="AA5" s="344" t="s">
        <v>456</v>
      </c>
      <c r="AB5" s="344">
        <v>1</v>
      </c>
      <c r="AC5" s="344" t="s">
        <v>457</v>
      </c>
      <c r="AD5" s="1058" t="s">
        <v>458</v>
      </c>
      <c r="AE5" s="1059">
        <v>689341</v>
      </c>
      <c r="AF5" s="889" t="s">
        <v>459</v>
      </c>
      <c r="AG5" s="889" t="s">
        <v>460</v>
      </c>
      <c r="AI5" s="377">
        <v>450000.01</v>
      </c>
      <c r="AJ5" s="376" t="s">
        <v>457</v>
      </c>
    </row>
    <row r="6" spans="2:44" ht="12.75" customHeight="1" x14ac:dyDescent="0.4">
      <c r="B6" s="1447" t="s">
        <v>477</v>
      </c>
      <c r="C6" s="1448"/>
      <c r="D6" s="1449"/>
      <c r="F6" s="313" t="s">
        <v>214</v>
      </c>
      <c r="H6" s="880"/>
      <c r="I6" s="1196" t="s">
        <v>478</v>
      </c>
      <c r="K6" s="74" t="s">
        <v>475</v>
      </c>
      <c r="L6" s="74">
        <v>2</v>
      </c>
      <c r="M6" s="83">
        <f>'Serviceability Worksheet'!E13</f>
        <v>1</v>
      </c>
      <c r="N6" s="87">
        <f>IF('Serviceability Worksheet'!$C11&lt;&gt;"Couple","",IF(OR(M7=1,M8=1,'Serviceability Worksheet'!$E13=$L8,'Serviceability Worksheet'!$E13=$L7,ISERROR(MATCH($L6,M$5:M$8,0))=FALSE),"",$L6))</f>
        <v>2</v>
      </c>
      <c r="O6" s="86">
        <f>IF(ISERROR(SMALL(N5:N8,1)),"",SMALL(N5:N8,1))</f>
        <v>2</v>
      </c>
      <c r="P6" s="85"/>
      <c r="Q6" s="85"/>
      <c r="R6" s="86">
        <f>IF(ISERROR(SMALL(Q5:Q8,1)),"",SMALL(Q5:Q8,1))</f>
        <v>1</v>
      </c>
      <c r="S6" s="83">
        <f>'Serviceability Worksheet'!E13</f>
        <v>1</v>
      </c>
      <c r="T6" s="87" t="str">
        <f>IF('Serviceability Worksheet'!$G11&lt;&gt;"Couple","",IF(OR(S5=3,S8=3,'Serviceability Worksheet'!$E13=$L8,'Serviceability Worksheet'!$E13=$L5,ISERROR(MATCH($L6,S$5:S$8,0))=FALSE),"",$L6))</f>
        <v/>
      </c>
      <c r="U6" s="86" t="str">
        <f>IF(ISERROR(SMALL(T5:T8,1)),"",SMALL(T5:T8,1))</f>
        <v/>
      </c>
      <c r="V6" s="83">
        <f>'Serviceability Worksheet'!E13</f>
        <v>1</v>
      </c>
      <c r="W6" s="87" t="str">
        <f>IF('Serviceability Worksheet'!$I11&lt;&gt;"Couple","",IF(OR(V5=4,V7=4,'Serviceability Worksheet'!$E13=$L5,'Serviceability Worksheet'!$E13=$L7,ISERROR(MATCH($L6,V$5:V$8,0))=FALSE),"",$L6))</f>
        <v/>
      </c>
      <c r="X6" s="86" t="str">
        <f>IF(ISERROR(SMALL(W5:W8,1)),"",SMALL(W5:W8,1))</f>
        <v/>
      </c>
      <c r="Z6" s="344">
        <v>811</v>
      </c>
      <c r="AA6" s="344" t="s">
        <v>456</v>
      </c>
      <c r="AB6" s="344">
        <v>1</v>
      </c>
      <c r="AC6" s="344" t="e">
        <v>#N/A</v>
      </c>
      <c r="AD6" s="1058" t="s">
        <v>458</v>
      </c>
      <c r="AE6" s="1059" t="e">
        <v>#N/A</v>
      </c>
      <c r="AF6" s="889" t="s">
        <v>459</v>
      </c>
      <c r="AG6" s="889" t="s">
        <v>459</v>
      </c>
      <c r="AI6" s="377">
        <v>750000.01</v>
      </c>
      <c r="AJ6" s="378" t="s">
        <v>479</v>
      </c>
    </row>
    <row r="7" spans="2:44" ht="12.75" customHeight="1" x14ac:dyDescent="0.4">
      <c r="B7" s="1451" t="s">
        <v>480</v>
      </c>
      <c r="C7" s="1452"/>
      <c r="D7" s="1453"/>
      <c r="F7" s="313" t="s">
        <v>481</v>
      </c>
      <c r="K7" s="74" t="s">
        <v>475</v>
      </c>
      <c r="L7" s="74">
        <v>3</v>
      </c>
      <c r="M7" s="83">
        <f>'Serviceability Worksheet'!G13</f>
        <v>0</v>
      </c>
      <c r="N7" s="87" t="str">
        <f>IF('Serviceability Worksheet'!$C11&lt;&gt;"Couple","",IF(OR(M6=1,M8=1,'Serviceability Worksheet'!$G13=$L6,'Serviceability Worksheet'!$G13=$L8,ISERROR(MATCH($L7,M$5:M$8,0))=FALSE),"",$L7))</f>
        <v/>
      </c>
      <c r="O7" s="86" t="str">
        <f>IF(ISERROR(SMALL(N5:N8,2)),"",SMALL(N5:N8,2))</f>
        <v/>
      </c>
      <c r="P7" s="83">
        <f>'Serviceability Worksheet'!G13</f>
        <v>0</v>
      </c>
      <c r="Q7" s="87" t="str">
        <f>IF('Serviceability Worksheet'!$E11&lt;&gt;"Couple","",IF(OR(P5=2,P8=2,'Serviceability Worksheet'!$G13=$L5,'Serviceability Worksheet'!$G13=$L8,ISERROR(MATCH($L7,P$5:P$8,0))=FALSE),"",$L7))</f>
        <v/>
      </c>
      <c r="R7" s="86" t="str">
        <f>IF(ISERROR(SMALL(Q5:Q8,2)),"",SMALL(Q5:Q8,2))</f>
        <v/>
      </c>
      <c r="S7" s="85"/>
      <c r="T7" s="85"/>
      <c r="U7" s="86" t="str">
        <f>IF(ISERROR(SMALL(T5:T8,2)),"",SMALL(T5:T8,2))</f>
        <v/>
      </c>
      <c r="V7" s="83">
        <f>'Serviceability Worksheet'!G13</f>
        <v>0</v>
      </c>
      <c r="W7" s="87" t="str">
        <f>IF('Serviceability Worksheet'!$I11&lt;&gt;"Couple","",IF(OR(V5=4,V6=4,'Serviceability Worksheet'!$G13=$L5,'Serviceability Worksheet'!$G13=$L6,ISERROR(MATCH($L7,V$5:V$8,0))=FALSE),"",$L7))</f>
        <v/>
      </c>
      <c r="X7" s="86" t="str">
        <f>IF(ISERROR(SMALL(W5:W8,2)),"",SMALL(W5:W8,2))</f>
        <v/>
      </c>
      <c r="Z7" s="344">
        <v>812</v>
      </c>
      <c r="AA7" s="344" t="s">
        <v>456</v>
      </c>
      <c r="AB7" s="344">
        <v>1</v>
      </c>
      <c r="AC7" s="344" t="s">
        <v>457</v>
      </c>
      <c r="AD7" s="1058" t="s">
        <v>458</v>
      </c>
      <c r="AE7" s="1059">
        <v>617590</v>
      </c>
      <c r="AF7" s="889" t="s">
        <v>459</v>
      </c>
      <c r="AG7" s="889" t="s">
        <v>459</v>
      </c>
      <c r="AI7" s="377">
        <v>900000.01</v>
      </c>
      <c r="AJ7" s="378" t="s">
        <v>482</v>
      </c>
    </row>
    <row r="8" spans="2:44" ht="13.15" x14ac:dyDescent="0.4">
      <c r="B8" s="1454" t="s">
        <v>483</v>
      </c>
      <c r="C8" s="1455"/>
      <c r="D8" s="1456"/>
      <c r="K8" s="74" t="s">
        <v>475</v>
      </c>
      <c r="L8" s="74">
        <v>4</v>
      </c>
      <c r="M8" s="83">
        <f>'Serviceability Worksheet'!I13</f>
        <v>0</v>
      </c>
      <c r="N8" s="87" t="str">
        <f>IF('Serviceability Worksheet'!$C11&lt;&gt;"Couple","",IF(OR(M6=1,M7=1,'Serviceability Worksheet'!$I13=$L7,'Serviceability Worksheet'!$I13=$L6,ISERROR(MATCH($L8,M$5:M$8,0))=FALSE),"",$L8))</f>
        <v/>
      </c>
      <c r="O8" s="86" t="str">
        <f>IF(ISERROR(SMALL(N5:N8,3)),"",SMALL(N5:N8,3))</f>
        <v/>
      </c>
      <c r="P8" s="83">
        <f>'Serviceability Worksheet'!I13</f>
        <v>0</v>
      </c>
      <c r="Q8" s="87" t="str">
        <f>IF('Serviceability Worksheet'!$E11&lt;&gt;"Couple","",IF(OR(P5=2,P7=2,'Serviceability Worksheet'!$I13=$L7,'Serviceability Worksheet'!$I13=$L5,ISERROR(MATCH($L8,P$5:P$8,0))=FALSE),"",$L8))</f>
        <v/>
      </c>
      <c r="R8" s="86" t="str">
        <f>IF(ISERROR(SMALL(Q5:Q8,3)),"",SMALL(Q5:Q8,3))</f>
        <v/>
      </c>
      <c r="S8" s="83">
        <f>'Serviceability Worksheet'!I13</f>
        <v>0</v>
      </c>
      <c r="T8" s="87" t="str">
        <f>IF('Serviceability Worksheet'!$G11&lt;&gt;"Couple","",IF(OR(S5=3,S6=3,'Serviceability Worksheet'!$I13=$L6,'Serviceability Worksheet'!$I13=$L5,ISERROR(MATCH($L8,S$5:S$8,0))=FALSE),"",$L8))</f>
        <v/>
      </c>
      <c r="U8" s="86" t="str">
        <f>IF(ISERROR(SMALL(T5:T8,3)),"",SMALL(T5:T8,3))</f>
        <v/>
      </c>
      <c r="V8" s="85"/>
      <c r="W8" s="85"/>
      <c r="X8" s="86" t="str">
        <f>IF(ISERROR(SMALL(W5:W8,3)),"",SMALL(W5:W8,3))</f>
        <v/>
      </c>
      <c r="Z8" s="344">
        <v>813</v>
      </c>
      <c r="AA8" s="344" t="s">
        <v>456</v>
      </c>
      <c r="AB8" s="344">
        <v>1</v>
      </c>
      <c r="AC8" s="344" t="e">
        <v>#N/A</v>
      </c>
      <c r="AD8" s="1058" t="s">
        <v>458</v>
      </c>
      <c r="AE8" s="1059" t="e">
        <v>#N/A</v>
      </c>
      <c r="AF8" s="889" t="s">
        <v>459</v>
      </c>
      <c r="AG8" s="889" t="s">
        <v>459</v>
      </c>
      <c r="AJ8" s="841"/>
    </row>
    <row r="9" spans="2:44" x14ac:dyDescent="0.35">
      <c r="F9" s="318" t="s">
        <v>484</v>
      </c>
      <c r="H9" s="319">
        <v>5.2999999999999999E-2</v>
      </c>
      <c r="I9" s="746"/>
      <c r="Z9" s="344">
        <v>814</v>
      </c>
      <c r="AA9" s="344" t="s">
        <v>456</v>
      </c>
      <c r="AB9" s="344">
        <v>1</v>
      </c>
      <c r="AC9" s="344" t="e">
        <v>#N/A</v>
      </c>
      <c r="AD9" s="1058" t="s">
        <v>458</v>
      </c>
      <c r="AE9" s="1059" t="e">
        <v>#N/A</v>
      </c>
      <c r="AF9" s="889" t="s">
        <v>459</v>
      </c>
      <c r="AG9" s="889" t="s">
        <v>459</v>
      </c>
      <c r="AI9"/>
    </row>
    <row r="10" spans="2:44" ht="13.15" x14ac:dyDescent="0.4">
      <c r="F10" s="318" t="s">
        <v>485</v>
      </c>
      <c r="H10" s="319">
        <v>0.03</v>
      </c>
      <c r="K10" s="41" t="s">
        <v>486</v>
      </c>
      <c r="Z10" s="344">
        <v>815</v>
      </c>
      <c r="AA10" s="344" t="s">
        <v>456</v>
      </c>
      <c r="AB10" s="344">
        <v>1</v>
      </c>
      <c r="AC10" s="344" t="e">
        <v>#N/A</v>
      </c>
      <c r="AD10" s="1058" t="s">
        <v>458</v>
      </c>
      <c r="AE10" s="1059" t="e">
        <v>#N/A</v>
      </c>
      <c r="AF10" s="889" t="s">
        <v>459</v>
      </c>
      <c r="AG10" s="889" t="s">
        <v>459</v>
      </c>
      <c r="AI10" s="382" t="s">
        <v>487</v>
      </c>
      <c r="AJ10" s="90"/>
      <c r="AK10" s="90"/>
      <c r="AL10" s="90"/>
      <c r="AM10" s="90"/>
      <c r="AN10" s="90"/>
      <c r="AO10" s="90"/>
      <c r="AP10" s="90"/>
      <c r="AQ10" s="90"/>
      <c r="AR10" s="90"/>
    </row>
    <row r="11" spans="2:44" ht="13.15" x14ac:dyDescent="0.4">
      <c r="F11" s="318" t="s">
        <v>488</v>
      </c>
      <c r="H11" s="319">
        <v>2.2499999999999999E-2</v>
      </c>
      <c r="K11" s="74"/>
      <c r="L11" s="74"/>
      <c r="M11" s="83"/>
      <c r="N11" s="83"/>
      <c r="O11" s="84" t="s">
        <v>467</v>
      </c>
      <c r="P11" s="84"/>
      <c r="Q11" s="84"/>
      <c r="R11" s="84" t="s">
        <v>468</v>
      </c>
      <c r="S11" s="84"/>
      <c r="T11" s="84"/>
      <c r="U11" s="84" t="s">
        <v>469</v>
      </c>
      <c r="V11" s="84"/>
      <c r="W11" s="84"/>
      <c r="X11" s="84" t="s">
        <v>470</v>
      </c>
      <c r="Z11" s="344">
        <v>816</v>
      </c>
      <c r="AA11" s="344" t="s">
        <v>456</v>
      </c>
      <c r="AB11" s="344">
        <v>1</v>
      </c>
      <c r="AC11" s="344" t="e">
        <v>#N/A</v>
      </c>
      <c r="AD11" s="1058" t="s">
        <v>458</v>
      </c>
      <c r="AE11" s="1059" t="e">
        <v>#N/A</v>
      </c>
      <c r="AF11" s="889" t="s">
        <v>459</v>
      </c>
      <c r="AG11" s="889" t="s">
        <v>459</v>
      </c>
      <c r="AI11" s="841" t="s">
        <v>489</v>
      </c>
    </row>
    <row r="12" spans="2:44" x14ac:dyDescent="0.35">
      <c r="K12" s="74" t="s">
        <v>475</v>
      </c>
      <c r="L12" s="74">
        <v>1</v>
      </c>
      <c r="M12" s="85"/>
      <c r="N12" s="85"/>
      <c r="O12" s="86" t="s">
        <v>476</v>
      </c>
      <c r="P12" s="83">
        <f>'Guarantor Serviceability'!C12</f>
        <v>0</v>
      </c>
      <c r="Q12" s="87" t="str">
        <f>IF('Guarantor Serviceability'!$E11&lt;&gt;"Couple","",IF(OR(P14=2,P15=2,'Guarantor Serviceability'!$C12=$L14,'Guarantor Serviceability'!$C12=$L15,ISERROR(MATCH($L12,P$12:P$15,0))=FALSE),"",$L12))</f>
        <v/>
      </c>
      <c r="R12" s="86" t="s">
        <v>476</v>
      </c>
      <c r="S12" s="83">
        <f>'Guarantor Serviceability'!C12</f>
        <v>0</v>
      </c>
      <c r="T12" s="87" t="str">
        <f>IF('Guarantor Serviceability'!$G11&lt;&gt;"Couple","",IF(OR(S13=3,S15=3,'Guarantor Serviceability'!$C12=$L13,'Guarantor Serviceability'!$C12=$L15,ISERROR(MATCH($L12,S$12:S$15,0))=FALSE),"",$L12))</f>
        <v/>
      </c>
      <c r="U12" s="86" t="s">
        <v>476</v>
      </c>
      <c r="V12" s="83">
        <f>'Guarantor Serviceability'!C12</f>
        <v>0</v>
      </c>
      <c r="W12" s="87" t="str">
        <f>IF('Guarantor Serviceability'!$I11&lt;&gt;"Couple","",IF(OR(V13=4,V14=4,'Guarantor Serviceability'!$C12=$L14,'Guarantor Serviceability'!$C12=$L13,ISERROR(MATCH($L12,V$12:V$15,0))=FALSE),"",$L12))</f>
        <v/>
      </c>
      <c r="X12" s="86" t="s">
        <v>476</v>
      </c>
      <c r="Z12" s="344">
        <v>817</v>
      </c>
      <c r="AA12" s="344" t="s">
        <v>456</v>
      </c>
      <c r="AB12" s="344">
        <v>1</v>
      </c>
      <c r="AC12" s="344" t="e">
        <v>#N/A</v>
      </c>
      <c r="AD12" s="1058" t="s">
        <v>458</v>
      </c>
      <c r="AE12" s="1059" t="e">
        <v>#N/A</v>
      </c>
      <c r="AF12" s="889" t="s">
        <v>459</v>
      </c>
      <c r="AG12" s="889" t="s">
        <v>459</v>
      </c>
    </row>
    <row r="13" spans="2:44" ht="13.15" x14ac:dyDescent="0.4">
      <c r="B13" s="1457" t="s">
        <v>490</v>
      </c>
      <c r="C13" s="1457"/>
      <c r="D13" s="1457"/>
      <c r="F13" s="1457" t="s">
        <v>491</v>
      </c>
      <c r="G13" s="1457"/>
      <c r="H13" s="1457"/>
      <c r="I13" s="1457"/>
      <c r="K13" s="74" t="s">
        <v>475</v>
      </c>
      <c r="L13" s="74">
        <v>2</v>
      </c>
      <c r="M13" s="83">
        <f>'Guarantor Serviceability'!E12</f>
        <v>0</v>
      </c>
      <c r="N13" s="87" t="str">
        <f>IF('Guarantor Serviceability'!$C11&lt;&gt;"Couple","",IF(OR(M14=1,M15=1,'Guarantor Serviceability'!$E12=$L15,'Guarantor Serviceability'!$E12=$L14,ISERROR(MATCH($L13,M$12:M$15,0))=FALSE),"",$L13))</f>
        <v/>
      </c>
      <c r="O13" s="86" t="str">
        <f>IF(ISERROR(SMALL(N12:N15,1)),"",SMALL(N12:N15,1))</f>
        <v/>
      </c>
      <c r="P13" s="85"/>
      <c r="Q13" s="85"/>
      <c r="R13" s="86" t="str">
        <f>IF(ISERROR(SMALL(Q12:Q15,1)),"",SMALL(Q12:Q15,1))</f>
        <v/>
      </c>
      <c r="S13" s="83">
        <f>'Guarantor Serviceability'!E12</f>
        <v>0</v>
      </c>
      <c r="T13" s="87" t="str">
        <f>IF('Guarantor Serviceability'!$G11&lt;&gt;"Couple","",IF(OR(S12=3,S15=3,'Guarantor Serviceability'!$E12=$L15,'Guarantor Serviceability'!$E12=$L12,ISERROR(MATCH($L13,S$12:S$15,0))=FALSE),"",$L13))</f>
        <v/>
      </c>
      <c r="U13" s="86" t="str">
        <f>IF(ISERROR(SMALL(T12:T15,1)),"",SMALL(T12:T15,1))</f>
        <v/>
      </c>
      <c r="V13" s="83">
        <f>'Guarantor Serviceability'!E12</f>
        <v>0</v>
      </c>
      <c r="W13" s="87" t="str">
        <f>IF('Guarantor Serviceability'!$I11&lt;&gt;"Couple","",IF(OR(V12=4,V14=4,'Guarantor Serviceability'!$E12=$L12,'Guarantor Serviceability'!$E12=$L14,ISERROR(MATCH($L13,V$12:V$15,0))=FALSE),"",$L13))</f>
        <v/>
      </c>
      <c r="X13" s="86" t="str">
        <f>IF(ISERROR(SMALL(W12:W15,1)),"",SMALL(W12:W15,1))</f>
        <v/>
      </c>
      <c r="Z13" s="344">
        <v>818</v>
      </c>
      <c r="AA13" s="344" t="s">
        <v>456</v>
      </c>
      <c r="AB13" s="344">
        <v>1</v>
      </c>
      <c r="AC13" s="344" t="e">
        <v>#N/A</v>
      </c>
      <c r="AD13" s="1058" t="s">
        <v>458</v>
      </c>
      <c r="AE13" s="1059" t="e">
        <v>#N/A</v>
      </c>
      <c r="AF13" s="889" t="s">
        <v>459</v>
      </c>
      <c r="AG13" s="889" t="s">
        <v>459</v>
      </c>
      <c r="AI13" s="381" t="s">
        <v>492</v>
      </c>
    </row>
    <row r="14" spans="2:44" x14ac:dyDescent="0.35">
      <c r="B14" s="1197" t="s">
        <v>493</v>
      </c>
      <c r="C14" s="1198" t="s">
        <v>494</v>
      </c>
      <c r="D14" s="742" t="s">
        <v>495</v>
      </c>
      <c r="F14" s="1199" t="s">
        <v>496</v>
      </c>
      <c r="G14" s="742" t="s">
        <v>497</v>
      </c>
      <c r="H14" s="1199" t="s">
        <v>498</v>
      </c>
      <c r="I14" s="742" t="s">
        <v>499</v>
      </c>
      <c r="K14" s="74" t="s">
        <v>475</v>
      </c>
      <c r="L14" s="74">
        <v>3</v>
      </c>
      <c r="M14" s="83">
        <f>'Guarantor Serviceability'!G12</f>
        <v>0</v>
      </c>
      <c r="N14" s="87" t="str">
        <f>IF('Guarantor Serviceability'!$C11&lt;&gt;"Couple","",IF(OR(M13=1,M15=1,'Guarantor Serviceability'!$G12=$L13,'Guarantor Serviceability'!$G12=$L15,ISERROR(MATCH($L14,M$12:M$15,0))=FALSE),"",$L14))</f>
        <v/>
      </c>
      <c r="O14" s="86" t="str">
        <f>IF(ISERROR(SMALL(N12:N15,2)),"",SMALL(N12:N15,2))</f>
        <v/>
      </c>
      <c r="P14" s="83">
        <f>'Guarantor Serviceability'!G12</f>
        <v>0</v>
      </c>
      <c r="Q14" s="87" t="str">
        <f>IF('Guarantor Serviceability'!$E11&lt;&gt;"Couple","",IF(OR(P12=2,P15=2,'Guarantor Serviceability'!$G12=$L12,'Guarantor Serviceability'!$G12=$L15,ISERROR(MATCH($L14,P$12:P$15,0))=FALSE),"",$L14))</f>
        <v/>
      </c>
      <c r="R14" s="86" t="str">
        <f>IF(ISERROR(SMALL(Q12:Q15,2)),"",SMALL(Q12:Q15,2))</f>
        <v/>
      </c>
      <c r="S14" s="85"/>
      <c r="T14" s="85"/>
      <c r="U14" s="86" t="str">
        <f>IF(ISERROR(SMALL(T12:T15,2)),"",SMALL(T12:T15,2))</f>
        <v/>
      </c>
      <c r="V14" s="83">
        <f>'Guarantor Serviceability'!G12</f>
        <v>0</v>
      </c>
      <c r="W14" s="87" t="str">
        <f>IF('Guarantor Serviceability'!$I11&lt;&gt;"Couple","",IF(OR(V12=4,V13=4,'Guarantor Serviceability'!$G12=$L12,'Guarantor Serviceability'!$G12=$L13,ISERROR(MATCH($L14,V$12:V$15,0))=FALSE),"",$L14))</f>
        <v/>
      </c>
      <c r="X14" s="86" t="str">
        <f>IF(ISERROR(SMALL(W12:W15,2)),"",SMALL(W12:W15,2))</f>
        <v/>
      </c>
      <c r="Z14" s="344">
        <v>819</v>
      </c>
      <c r="AA14" s="344" t="s">
        <v>456</v>
      </c>
      <c r="AB14" s="344">
        <v>1</v>
      </c>
      <c r="AC14" s="344" t="e">
        <v>#N/A</v>
      </c>
      <c r="AD14" s="1058" t="s">
        <v>458</v>
      </c>
      <c r="AE14" s="1059" t="e">
        <v>#N/A</v>
      </c>
      <c r="AF14" s="889" t="s">
        <v>459</v>
      </c>
      <c r="AG14" s="889" t="s">
        <v>459</v>
      </c>
      <c r="AI14" s="380" t="s">
        <v>500</v>
      </c>
      <c r="AJ14" s="83">
        <v>1</v>
      </c>
    </row>
    <row r="15" spans="2:44" x14ac:dyDescent="0.35">
      <c r="B15" s="1200">
        <v>0</v>
      </c>
      <c r="C15" s="1201">
        <v>18200</v>
      </c>
      <c r="D15" s="1202">
        <v>0</v>
      </c>
      <c r="F15" s="1203">
        <f>MIN('Serviceability Worksheet'!$C$247,C15)*D15</f>
        <v>0</v>
      </c>
      <c r="G15" s="1203">
        <f>MIN('Serviceability Worksheet'!$E$247,C15)*D15</f>
        <v>0</v>
      </c>
      <c r="H15" s="1203">
        <f>MIN('Serviceability Worksheet'!$G$247,C15)*D15</f>
        <v>0</v>
      </c>
      <c r="I15" s="1203">
        <f>MIN('Serviceability Worksheet'!$I$247,C15)*D15</f>
        <v>0</v>
      </c>
      <c r="K15" s="74" t="s">
        <v>475</v>
      </c>
      <c r="L15" s="74">
        <v>4</v>
      </c>
      <c r="M15" s="83">
        <f>'Guarantor Serviceability'!I12</f>
        <v>0</v>
      </c>
      <c r="N15" s="87" t="str">
        <f>IF('Guarantor Serviceability'!$C11&lt;&gt;"Couple","",IF(OR(M13=1,M14=1,'Guarantor Serviceability'!$I12=$L14,'Guarantor Serviceability'!$I12=$L13,ISERROR(MATCH($L15,M$12:M$15,0))=FALSE),"",$L15))</f>
        <v/>
      </c>
      <c r="O15" s="86" t="str">
        <f>IF(ISERROR(SMALL(N12:N15,3)),"",SMALL(N12:N15,3))</f>
        <v/>
      </c>
      <c r="P15" s="83">
        <f>'Guarantor Serviceability'!I12</f>
        <v>0</v>
      </c>
      <c r="Q15" s="87" t="str">
        <f>IF('Guarantor Serviceability'!$E11&lt;&gt;"Couple","",IF(OR(P12=2,P14=2,'Guarantor Serviceability'!$I12=$L14,'Guarantor Serviceability'!$I12=$L12,ISERROR(MATCH($L15,P$12:P$15,0))=FALSE),"",$L15))</f>
        <v/>
      </c>
      <c r="R15" s="86" t="str">
        <f>IF(ISERROR(SMALL(Q12:Q15,3)),"",SMALL(Q12:Q15,3))</f>
        <v/>
      </c>
      <c r="S15" s="83">
        <f>'Guarantor Serviceability'!I12</f>
        <v>0</v>
      </c>
      <c r="T15" s="87" t="str">
        <f>IF('Guarantor Serviceability'!$G11&lt;&gt;"Couple","",IF(OR(S12=3,S13=3,'Guarantor Serviceability'!$I12=$L13,'Guarantor Serviceability'!$I12=$L12,ISERROR(MATCH($L15,S$12:S$15,0))=FALSE),"",$L15))</f>
        <v/>
      </c>
      <c r="U15" s="86" t="str">
        <f>IF(ISERROR(SMALL(T12:T15,3)),"",SMALL(T12:T15,3))</f>
        <v/>
      </c>
      <c r="V15" s="85"/>
      <c r="W15" s="85"/>
      <c r="X15" s="86" t="str">
        <f>IF(ISERROR(SMALL(W12:W15,3)),"",SMALL(W12:W15,3))</f>
        <v/>
      </c>
      <c r="Z15" s="344">
        <v>820</v>
      </c>
      <c r="AA15" s="344" t="s">
        <v>456</v>
      </c>
      <c r="AB15" s="344">
        <v>1</v>
      </c>
      <c r="AC15" s="344" t="s">
        <v>479</v>
      </c>
      <c r="AD15" s="1058" t="s">
        <v>458</v>
      </c>
      <c r="AE15" s="1059">
        <v>872790</v>
      </c>
      <c r="AF15" s="889" t="s">
        <v>460</v>
      </c>
      <c r="AG15" s="889" t="s">
        <v>460</v>
      </c>
      <c r="AI15" s="380" t="s">
        <v>501</v>
      </c>
      <c r="AJ15" s="83">
        <v>2</v>
      </c>
    </row>
    <row r="16" spans="2:44" x14ac:dyDescent="0.35">
      <c r="B16" s="1200">
        <v>18201</v>
      </c>
      <c r="C16" s="1201">
        <v>45000</v>
      </c>
      <c r="D16" s="1202">
        <v>0.16</v>
      </c>
      <c r="F16" s="1203">
        <f>MAX(MIN('Serviceability Worksheet'!$C$247-C15,C16-C15),0)*D16</f>
        <v>4288</v>
      </c>
      <c r="G16" s="1203">
        <f>MAX(MIN('Serviceability Worksheet'!$E$247-C15,C16-C15),0)*D16</f>
        <v>4288</v>
      </c>
      <c r="H16" s="1203">
        <f>MAX(MIN('Serviceability Worksheet'!$G$247-C15,C16-C15),0)*D16</f>
        <v>0</v>
      </c>
      <c r="I16" s="1203">
        <f>MAX(MIN('Serviceability Worksheet'!$I$247-C15,C16-C15),0)*D16</f>
        <v>0</v>
      </c>
      <c r="Z16" s="344">
        <v>821</v>
      </c>
      <c r="AA16" s="344" t="s">
        <v>456</v>
      </c>
      <c r="AB16" s="344">
        <v>4</v>
      </c>
      <c r="AC16" s="344" t="e">
        <v>#N/A</v>
      </c>
      <c r="AD16" s="1058" t="s">
        <v>463</v>
      </c>
      <c r="AE16" s="1059" t="e">
        <v>#N/A</v>
      </c>
      <c r="AF16" s="889" t="s">
        <v>459</v>
      </c>
      <c r="AG16" s="889" t="s">
        <v>459</v>
      </c>
      <c r="AI16" s="380" t="s">
        <v>502</v>
      </c>
      <c r="AJ16" s="83">
        <v>3</v>
      </c>
    </row>
    <row r="17" spans="2:40" x14ac:dyDescent="0.35">
      <c r="B17" s="1200">
        <v>45001</v>
      </c>
      <c r="C17" s="1201">
        <v>135000</v>
      </c>
      <c r="D17" s="1204">
        <v>0.3</v>
      </c>
      <c r="F17" s="1203">
        <f>MAX(MIN('Serviceability Worksheet'!$C$247-C16,C17-C16),0)*D17</f>
        <v>27000</v>
      </c>
      <c r="G17" s="1203">
        <f>MAX(MIN('Serviceability Worksheet'!$E$247-C16,C17-C16),0)*D17</f>
        <v>27000</v>
      </c>
      <c r="H17" s="1203">
        <f>MAX(MIN('Serviceability Worksheet'!$G$247-C16,C17-C16),0)*D17</f>
        <v>0</v>
      </c>
      <c r="I17" s="1203">
        <f>MAX(MIN('Serviceability Worksheet'!$I$247-C16,C17-C16),0)*D17</f>
        <v>0</v>
      </c>
      <c r="Z17" s="344">
        <v>822</v>
      </c>
      <c r="AA17" s="344" t="s">
        <v>456</v>
      </c>
      <c r="AB17" s="344">
        <v>3</v>
      </c>
      <c r="AC17" s="344" t="s">
        <v>457</v>
      </c>
      <c r="AD17" s="1058" t="s">
        <v>503</v>
      </c>
      <c r="AE17" s="1059">
        <v>596908</v>
      </c>
      <c r="AF17" s="889" t="s">
        <v>459</v>
      </c>
      <c r="AG17" s="889" t="s">
        <v>459</v>
      </c>
      <c r="AI17" s="380" t="s">
        <v>504</v>
      </c>
      <c r="AJ17" s="83">
        <v>4</v>
      </c>
    </row>
    <row r="18" spans="2:40" x14ac:dyDescent="0.35">
      <c r="B18" s="1200">
        <v>135001</v>
      </c>
      <c r="C18" s="1201">
        <v>190000</v>
      </c>
      <c r="D18" s="1202">
        <v>0.37</v>
      </c>
      <c r="F18" s="1203">
        <f>MAX(MIN('Serviceability Worksheet'!$C$247-C17,C18-C17),0)*D18</f>
        <v>20350</v>
      </c>
      <c r="G18" s="1203">
        <f>MAX(MIN('Serviceability Worksheet'!$E$247-C17,C18-C17),0)*D18</f>
        <v>20350</v>
      </c>
      <c r="H18" s="1203">
        <f>MAX(MIN('Serviceability Worksheet'!$G$247-C17,C18-C17),0)*D18</f>
        <v>0</v>
      </c>
      <c r="I18" s="1203">
        <f>MAX(MIN('Serviceability Worksheet'!$I$247-C17,C18-C17),0)*D18</f>
        <v>0</v>
      </c>
      <c r="Z18" s="344">
        <v>828</v>
      </c>
      <c r="AA18" s="344" t="s">
        <v>456</v>
      </c>
      <c r="AB18" s="344">
        <v>1</v>
      </c>
      <c r="AC18" s="344" t="s">
        <v>482</v>
      </c>
      <c r="AD18" s="1058" t="s">
        <v>458</v>
      </c>
      <c r="AE18" s="1059">
        <v>1952158</v>
      </c>
      <c r="AF18" s="889" t="s">
        <v>460</v>
      </c>
      <c r="AG18" s="889" t="s">
        <v>459</v>
      </c>
      <c r="AI18" s="374" t="s">
        <v>505</v>
      </c>
    </row>
    <row r="19" spans="2:40" x14ac:dyDescent="0.35">
      <c r="B19" s="1200">
        <v>190001</v>
      </c>
      <c r="C19" s="1205"/>
      <c r="D19" s="1202">
        <v>0.45</v>
      </c>
      <c r="F19" s="1203">
        <f>MAX('Serviceability Worksheet'!$C$247-C18,0)*D19</f>
        <v>610279.20000000007</v>
      </c>
      <c r="G19" s="1203">
        <f>MAX('Serviceability Worksheet'!$E$247-C18,0)*D19</f>
        <v>41797.98000000001</v>
      </c>
      <c r="H19" s="1203">
        <f>MAX('Serviceability Worksheet'!$G$247-C18,0)*D19</f>
        <v>0</v>
      </c>
      <c r="I19" s="1203">
        <f>MAX('Serviceability Worksheet'!$I$247-C18,0)*D19</f>
        <v>0</v>
      </c>
      <c r="Z19" s="344">
        <v>829</v>
      </c>
      <c r="AA19" s="344" t="s">
        <v>456</v>
      </c>
      <c r="AB19" s="344">
        <v>1</v>
      </c>
      <c r="AC19" s="344" t="e">
        <v>#N/A</v>
      </c>
      <c r="AD19" s="1058" t="s">
        <v>458</v>
      </c>
      <c r="AE19" s="1059" t="e">
        <v>#N/A</v>
      </c>
      <c r="AF19" s="889" t="s">
        <v>459</v>
      </c>
      <c r="AG19" s="889" t="s">
        <v>459</v>
      </c>
    </row>
    <row r="20" spans="2:40" ht="13.5" x14ac:dyDescent="0.35">
      <c r="B20" s="7"/>
      <c r="D20" s="56"/>
      <c r="E20" s="58" t="s">
        <v>83</v>
      </c>
      <c r="F20" s="59">
        <f>SUM(F15:F19)</f>
        <v>661917.20000000007</v>
      </c>
      <c r="G20" s="59">
        <f>SUM(G15:G19)</f>
        <v>93435.98000000001</v>
      </c>
      <c r="H20" s="59">
        <f>SUM(H15:H19)</f>
        <v>0</v>
      </c>
      <c r="I20" s="59">
        <f>SUM(I15:I19)</f>
        <v>0</v>
      </c>
      <c r="Z20" s="344">
        <v>830</v>
      </c>
      <c r="AA20" s="344" t="s">
        <v>456</v>
      </c>
      <c r="AB20" s="344">
        <v>1</v>
      </c>
      <c r="AC20" s="344" t="s">
        <v>457</v>
      </c>
      <c r="AD20" s="1058" t="s">
        <v>458</v>
      </c>
      <c r="AE20" s="1059">
        <v>578267</v>
      </c>
      <c r="AF20" s="889" t="s">
        <v>460</v>
      </c>
      <c r="AG20" s="889" t="s">
        <v>459</v>
      </c>
      <c r="AI20" s="842" t="s">
        <v>506</v>
      </c>
      <c r="AJ20" s="843"/>
      <c r="AK20" s="843"/>
      <c r="AL20" s="843"/>
      <c r="AM20" s="843"/>
      <c r="AN20" s="843"/>
    </row>
    <row r="21" spans="2:40" ht="13.5" x14ac:dyDescent="0.35">
      <c r="B21" s="7"/>
      <c r="K21" t="s">
        <v>507</v>
      </c>
      <c r="Z21" s="344">
        <v>831</v>
      </c>
      <c r="AA21" s="344" t="s">
        <v>456</v>
      </c>
      <c r="AB21" s="344">
        <v>1</v>
      </c>
      <c r="AC21" s="344" t="e">
        <v>#N/A</v>
      </c>
      <c r="AD21" s="1058" t="s">
        <v>458</v>
      </c>
      <c r="AE21" s="1059" t="e">
        <v>#N/A</v>
      </c>
      <c r="AF21" s="889" t="s">
        <v>459</v>
      </c>
      <c r="AG21" s="889" t="s">
        <v>459</v>
      </c>
    </row>
    <row r="22" spans="2:40" x14ac:dyDescent="0.35">
      <c r="B22" s="817" t="s">
        <v>264</v>
      </c>
      <c r="C22" s="818">
        <v>0.02</v>
      </c>
      <c r="F22" s="1457" t="s">
        <v>508</v>
      </c>
      <c r="G22" s="1457"/>
      <c r="H22" s="1457"/>
      <c r="I22" s="1457"/>
      <c r="K22" s="74" t="s">
        <v>509</v>
      </c>
      <c r="Z22" s="344">
        <v>832</v>
      </c>
      <c r="AA22" s="344" t="s">
        <v>456</v>
      </c>
      <c r="AB22" s="344">
        <v>1</v>
      </c>
      <c r="AC22" s="344" t="s">
        <v>457</v>
      </c>
      <c r="AD22" s="1058" t="s">
        <v>458</v>
      </c>
      <c r="AE22" s="1059">
        <v>620433</v>
      </c>
      <c r="AF22" s="889" t="s">
        <v>460</v>
      </c>
      <c r="AG22" s="889"/>
    </row>
    <row r="23" spans="2:40" ht="13.5" x14ac:dyDescent="0.35">
      <c r="B23" s="7"/>
      <c r="F23" s="1199" t="s">
        <v>496</v>
      </c>
      <c r="G23" s="742" t="s">
        <v>497</v>
      </c>
      <c r="H23" s="1199" t="s">
        <v>498</v>
      </c>
      <c r="I23" s="742" t="s">
        <v>499</v>
      </c>
      <c r="K23" s="74">
        <v>1</v>
      </c>
      <c r="Z23" s="344">
        <v>835</v>
      </c>
      <c r="AA23" s="344" t="s">
        <v>456</v>
      </c>
      <c r="AB23" s="344">
        <v>2</v>
      </c>
      <c r="AC23" s="344" t="s">
        <v>479</v>
      </c>
      <c r="AD23" s="1058" t="s">
        <v>510</v>
      </c>
      <c r="AE23" s="1059">
        <v>814228</v>
      </c>
      <c r="AF23" s="889" t="s">
        <v>460</v>
      </c>
      <c r="AG23" s="889" t="s">
        <v>459</v>
      </c>
    </row>
    <row r="24" spans="2:40" ht="13.5" x14ac:dyDescent="0.35">
      <c r="B24" s="7" t="s">
        <v>511</v>
      </c>
      <c r="C24" s="950">
        <v>294</v>
      </c>
      <c r="F24" s="1203">
        <f>MIN('Guarantor Serviceability'!$C$183,C15)*D15</f>
        <v>0</v>
      </c>
      <c r="G24" s="1203">
        <f>MIN('Guarantor Serviceability'!$E$183,C15)*D15</f>
        <v>0</v>
      </c>
      <c r="H24" s="1203">
        <f>MIN('Guarantor Serviceability'!$G$183,C15)*D15</f>
        <v>0</v>
      </c>
      <c r="I24" s="1203">
        <f>MIN('Guarantor Serviceability'!$I$183,C15)*D15</f>
        <v>0</v>
      </c>
      <c r="K24" s="74">
        <v>2</v>
      </c>
      <c r="Z24" s="344">
        <v>836</v>
      </c>
      <c r="AA24" s="344" t="s">
        <v>456</v>
      </c>
      <c r="AB24" s="344">
        <v>2</v>
      </c>
      <c r="AC24" s="344" t="s">
        <v>479</v>
      </c>
      <c r="AD24" s="1058" t="s">
        <v>510</v>
      </c>
      <c r="AE24" s="1059">
        <v>761553</v>
      </c>
      <c r="AF24" s="889" t="s">
        <v>459</v>
      </c>
      <c r="AG24" s="889" t="s">
        <v>459</v>
      </c>
    </row>
    <row r="25" spans="2:40" ht="13.5" x14ac:dyDescent="0.35">
      <c r="B25" s="7"/>
      <c r="F25" s="1203">
        <f>MAX(MIN('Guarantor Serviceability'!$C$183-C15,C16-C15),0)*D16</f>
        <v>0</v>
      </c>
      <c r="G25" s="1203">
        <f>MAX(MIN('Guarantor Serviceability'!$E$183-C15,C16-C15),0)*D16</f>
        <v>0</v>
      </c>
      <c r="H25" s="1203">
        <f>MAX(MIN('Guarantor Serviceability'!$G$183-C15,C16-C15),0)*D16</f>
        <v>0</v>
      </c>
      <c r="I25" s="1203">
        <f>MAX(MIN('Guarantor Serviceability'!$I$183-C15,C16-C15),0)*D16</f>
        <v>0</v>
      </c>
      <c r="K25" s="74">
        <v>3</v>
      </c>
      <c r="Z25" s="344">
        <v>837</v>
      </c>
      <c r="AA25" s="344" t="s">
        <v>456</v>
      </c>
      <c r="AB25" s="344">
        <v>4</v>
      </c>
      <c r="AC25" s="344" t="s">
        <v>479</v>
      </c>
      <c r="AD25" s="1058" t="s">
        <v>463</v>
      </c>
      <c r="AE25" s="1059">
        <v>872766</v>
      </c>
      <c r="AF25" s="889" t="s">
        <v>459</v>
      </c>
      <c r="AG25" s="889" t="s">
        <v>459</v>
      </c>
    </row>
    <row r="26" spans="2:40" ht="13.5" x14ac:dyDescent="0.35">
      <c r="B26" s="7"/>
      <c r="F26" s="1203">
        <f>MAX(MIN('Guarantor Serviceability'!$C$183-C16,C17-C16),0)*D17</f>
        <v>0</v>
      </c>
      <c r="G26" s="1203">
        <f>MAX(MIN('Guarantor Serviceability'!$E$183-C16,C17-C16),0)*D17</f>
        <v>0</v>
      </c>
      <c r="H26" s="1203">
        <f>MAX(MIN('Guarantor Serviceability'!$G$183-C16,C17-C16),0)*D17</f>
        <v>0</v>
      </c>
      <c r="I26" s="1203">
        <f>MAX(MIN('Guarantor Serviceability'!$I$183-C16,C17-C16),0)*D17</f>
        <v>0</v>
      </c>
      <c r="K26" s="74">
        <v>4</v>
      </c>
      <c r="Z26" s="344">
        <v>838</v>
      </c>
      <c r="AA26" s="344" t="s">
        <v>456</v>
      </c>
      <c r="AB26" s="344">
        <v>4</v>
      </c>
      <c r="AC26" s="344" t="s">
        <v>457</v>
      </c>
      <c r="AD26" s="1058" t="s">
        <v>463</v>
      </c>
      <c r="AE26" s="1059">
        <v>675643</v>
      </c>
      <c r="AF26" s="889" t="s">
        <v>459</v>
      </c>
      <c r="AG26" s="889" t="s">
        <v>459</v>
      </c>
    </row>
    <row r="27" spans="2:40" ht="13.5" x14ac:dyDescent="0.35">
      <c r="B27" s="7"/>
      <c r="F27" s="1203">
        <f>MAX(MIN('Guarantor Serviceability'!$C$183-C17,C18-C17),0)*D18</f>
        <v>0</v>
      </c>
      <c r="G27" s="1203">
        <f>MAX(MIN('Guarantor Serviceability'!$E$183-C17,C18-C17),0)*D18</f>
        <v>0</v>
      </c>
      <c r="H27" s="1203">
        <f>MAX(MIN('Guarantor Serviceability'!$G$183-C17,C18-C17),0)*D18</f>
        <v>0</v>
      </c>
      <c r="I27" s="1203">
        <f>MAX(MIN('Guarantor Serviceability'!$I$183-C17,C18-C17),0)*D18</f>
        <v>0</v>
      </c>
      <c r="K27" s="74">
        <v>5</v>
      </c>
      <c r="Z27" s="344">
        <v>840</v>
      </c>
      <c r="AA27" s="344" t="s">
        <v>456</v>
      </c>
      <c r="AB27" s="344">
        <v>4</v>
      </c>
      <c r="AC27" s="344" t="s">
        <v>471</v>
      </c>
      <c r="AD27" s="1058" t="s">
        <v>463</v>
      </c>
      <c r="AE27" s="1059">
        <v>398486</v>
      </c>
      <c r="AF27" s="889" t="s">
        <v>459</v>
      </c>
      <c r="AG27" s="889" t="s">
        <v>459</v>
      </c>
    </row>
    <row r="28" spans="2:40" ht="13.5" x14ac:dyDescent="0.35">
      <c r="B28" s="7"/>
      <c r="F28" s="1203">
        <f>MAX('Guarantor Serviceability'!$C$183-C18,0)*D19</f>
        <v>0</v>
      </c>
      <c r="G28" s="1203">
        <f>MAX('Guarantor Serviceability'!$E$183-C18,0)*D19</f>
        <v>0</v>
      </c>
      <c r="H28" s="1203">
        <f>MAX('Guarantor Serviceability'!$G$183-C18,0)*D19</f>
        <v>0</v>
      </c>
      <c r="I28" s="1203">
        <f>MAX('Guarantor Serviceability'!$I$183-C18,0)*D19</f>
        <v>0</v>
      </c>
      <c r="K28" s="74">
        <v>6</v>
      </c>
      <c r="Z28" s="344">
        <v>841</v>
      </c>
      <c r="AA28" s="344" t="s">
        <v>456</v>
      </c>
      <c r="AB28" s="344">
        <v>4</v>
      </c>
      <c r="AC28" s="344" t="s">
        <v>457</v>
      </c>
      <c r="AD28" s="1058" t="s">
        <v>463</v>
      </c>
      <c r="AE28" s="1059">
        <v>551591</v>
      </c>
      <c r="AF28" s="889" t="s">
        <v>459</v>
      </c>
      <c r="AG28" s="889" t="s">
        <v>459</v>
      </c>
    </row>
    <row r="29" spans="2:40" ht="13.5" x14ac:dyDescent="0.35">
      <c r="B29" s="7"/>
      <c r="E29" s="58" t="s">
        <v>83</v>
      </c>
      <c r="F29" s="59">
        <f>SUM(F24:F28)</f>
        <v>0</v>
      </c>
      <c r="G29" s="59">
        <f>SUM(G24:G28)</f>
        <v>0</v>
      </c>
      <c r="H29" s="59">
        <f>SUM(H24:H28)</f>
        <v>0</v>
      </c>
      <c r="I29" s="59">
        <f>SUM(I24:I28)</f>
        <v>0</v>
      </c>
      <c r="Z29" s="344">
        <v>845</v>
      </c>
      <c r="AA29" s="344" t="s">
        <v>456</v>
      </c>
      <c r="AB29" s="344">
        <v>4</v>
      </c>
      <c r="AC29" s="344" t="s">
        <v>471</v>
      </c>
      <c r="AD29" s="1058" t="s">
        <v>463</v>
      </c>
      <c r="AE29" s="1059">
        <v>324510</v>
      </c>
      <c r="AF29" s="889" t="s">
        <v>459</v>
      </c>
      <c r="AG29" s="889" t="s">
        <v>459</v>
      </c>
    </row>
    <row r="30" spans="2:40" ht="13.15" x14ac:dyDescent="0.4">
      <c r="B30" s="739" t="s">
        <v>512</v>
      </c>
      <c r="C30" s="740"/>
      <c r="D30" s="740"/>
      <c r="Z30" s="344">
        <v>846</v>
      </c>
      <c r="AA30" s="344" t="s">
        <v>456</v>
      </c>
      <c r="AB30" s="344">
        <v>4</v>
      </c>
      <c r="AC30" s="344" t="s">
        <v>471</v>
      </c>
      <c r="AD30" s="1058" t="s">
        <v>463</v>
      </c>
      <c r="AE30" s="1059">
        <v>329779</v>
      </c>
      <c r="AF30" s="889" t="s">
        <v>459</v>
      </c>
      <c r="AG30" s="889" t="s">
        <v>459</v>
      </c>
    </row>
    <row r="31" spans="2:40" ht="20.25" customHeight="1" x14ac:dyDescent="0.4">
      <c r="B31" s="41" t="s">
        <v>513</v>
      </c>
      <c r="F31" s="1450" t="s">
        <v>514</v>
      </c>
      <c r="G31" s="1450"/>
      <c r="H31" s="1450"/>
      <c r="I31" s="746" t="s">
        <v>515</v>
      </c>
      <c r="Z31" s="344">
        <v>847</v>
      </c>
      <c r="AA31" s="344" t="s">
        <v>456</v>
      </c>
      <c r="AB31" s="344">
        <v>4</v>
      </c>
      <c r="AC31" s="344" t="e">
        <v>#N/A</v>
      </c>
      <c r="AD31" s="1058" t="s">
        <v>463</v>
      </c>
      <c r="AE31" s="1059" t="e">
        <v>#N/A</v>
      </c>
      <c r="AF31" s="889" t="s">
        <v>459</v>
      </c>
      <c r="AG31" s="889" t="s">
        <v>459</v>
      </c>
    </row>
    <row r="32" spans="2:40" ht="13.15" x14ac:dyDescent="0.4">
      <c r="B32" s="1450" t="s">
        <v>516</v>
      </c>
      <c r="C32" s="1450"/>
      <c r="F32" s="82" t="s">
        <v>69</v>
      </c>
      <c r="G32" s="82" t="s">
        <v>517</v>
      </c>
      <c r="H32" s="82" t="s">
        <v>518</v>
      </c>
      <c r="Z32" s="344">
        <v>850</v>
      </c>
      <c r="AA32" s="344" t="s">
        <v>456</v>
      </c>
      <c r="AB32" s="344">
        <v>3</v>
      </c>
      <c r="AC32" s="344" t="s">
        <v>471</v>
      </c>
      <c r="AD32" s="1058" t="s">
        <v>503</v>
      </c>
      <c r="AE32" s="1059">
        <v>421310</v>
      </c>
      <c r="AF32" s="889" t="s">
        <v>459</v>
      </c>
      <c r="AG32" s="889" t="s">
        <v>459</v>
      </c>
    </row>
    <row r="33" spans="2:33" ht="13.5" x14ac:dyDescent="0.35">
      <c r="B33" s="73" t="s">
        <v>8</v>
      </c>
      <c r="C33" s="88">
        <v>475.91574140796598</v>
      </c>
      <c r="D33" s="343">
        <f>C33*52</f>
        <v>24747.61855321423</v>
      </c>
      <c r="F33" s="71" t="s">
        <v>519</v>
      </c>
      <c r="G33" s="70">
        <f>C33</f>
        <v>475.91574140796598</v>
      </c>
      <c r="H33" s="873">
        <f t="shared" ref="H33:H74" si="0">G33*52</f>
        <v>24747.61855321423</v>
      </c>
      <c r="J33" s="746" t="s">
        <v>520</v>
      </c>
      <c r="Z33" s="344">
        <v>851</v>
      </c>
      <c r="AA33" s="344" t="s">
        <v>456</v>
      </c>
      <c r="AB33" s="344">
        <v>4</v>
      </c>
      <c r="AC33" s="344" t="e">
        <v>#N/A</v>
      </c>
      <c r="AD33" s="1058" t="s">
        <v>463</v>
      </c>
      <c r="AE33" s="1059" t="e">
        <v>#N/A</v>
      </c>
      <c r="AF33" s="889" t="s">
        <v>459</v>
      </c>
      <c r="AG33" s="889" t="s">
        <v>459</v>
      </c>
    </row>
    <row r="34" spans="2:33" ht="13.5" x14ac:dyDescent="0.35">
      <c r="B34" s="73" t="s">
        <v>521</v>
      </c>
      <c r="C34" s="88">
        <v>84.005002256963195</v>
      </c>
      <c r="D34" s="343">
        <f>C34*52</f>
        <v>4368.260117362086</v>
      </c>
      <c r="F34" s="71" t="s">
        <v>522</v>
      </c>
      <c r="G34" s="70">
        <f>G33+$C$34</f>
        <v>559.9207436649292</v>
      </c>
      <c r="H34" s="873">
        <f t="shared" si="0"/>
        <v>29115.87867057632</v>
      </c>
      <c r="J34" s="74">
        <v>0</v>
      </c>
      <c r="Z34" s="344">
        <v>852</v>
      </c>
      <c r="AA34" s="344" t="s">
        <v>456</v>
      </c>
      <c r="AB34" s="344">
        <v>4</v>
      </c>
      <c r="AC34" s="344" t="e">
        <v>#N/A</v>
      </c>
      <c r="AD34" s="1058" t="s">
        <v>463</v>
      </c>
      <c r="AE34" s="1059" t="e">
        <v>#N/A</v>
      </c>
      <c r="AF34" s="889" t="s">
        <v>459</v>
      </c>
      <c r="AG34" s="889" t="s">
        <v>459</v>
      </c>
    </row>
    <row r="35" spans="2:33" ht="13.5" x14ac:dyDescent="0.35">
      <c r="B35" s="69"/>
      <c r="C35" s="80"/>
      <c r="F35" s="71" t="s">
        <v>523</v>
      </c>
      <c r="G35" s="70">
        <f>G34+$C$34</f>
        <v>643.92574592189237</v>
      </c>
      <c r="H35" s="873">
        <f t="shared" si="0"/>
        <v>33484.138787938406</v>
      </c>
      <c r="J35" s="74">
        <v>1</v>
      </c>
      <c r="Z35" s="344">
        <v>853</v>
      </c>
      <c r="AA35" s="344" t="s">
        <v>456</v>
      </c>
      <c r="AB35" s="344">
        <v>4</v>
      </c>
      <c r="AC35" s="344" t="e">
        <v>#N/A</v>
      </c>
      <c r="AD35" s="1058" t="s">
        <v>463</v>
      </c>
      <c r="AE35" s="1059" t="e">
        <v>#N/A</v>
      </c>
      <c r="AF35" s="889" t="s">
        <v>459</v>
      </c>
      <c r="AG35" s="889" t="s">
        <v>459</v>
      </c>
    </row>
    <row r="36" spans="2:33" ht="13.5" x14ac:dyDescent="0.35">
      <c r="B36" s="73" t="s">
        <v>524</v>
      </c>
      <c r="C36" s="88">
        <v>268.15523788903198</v>
      </c>
      <c r="D36" s="343">
        <f>C36*52</f>
        <v>13944.072370229664</v>
      </c>
      <c r="F36" s="71" t="s">
        <v>525</v>
      </c>
      <c r="G36" s="70">
        <f>G35+$C$34</f>
        <v>727.93074817885554</v>
      </c>
      <c r="H36" s="873">
        <f t="shared" si="0"/>
        <v>37852.398905300492</v>
      </c>
      <c r="J36" s="74">
        <v>2</v>
      </c>
      <c r="Z36" s="344">
        <v>854</v>
      </c>
      <c r="AA36" s="344" t="s">
        <v>456</v>
      </c>
      <c r="AB36" s="344">
        <v>4</v>
      </c>
      <c r="AC36" s="344" t="e">
        <v>#N/A</v>
      </c>
      <c r="AD36" s="1058" t="s">
        <v>463</v>
      </c>
      <c r="AE36" s="1059" t="e">
        <v>#N/A</v>
      </c>
      <c r="AF36" s="889" t="s">
        <v>459</v>
      </c>
      <c r="AG36" s="889" t="s">
        <v>459</v>
      </c>
    </row>
    <row r="37" spans="2:33" ht="13.5" x14ac:dyDescent="0.35">
      <c r="B37" s="73" t="s">
        <v>521</v>
      </c>
      <c r="C37" s="88">
        <v>35.403440000000003</v>
      </c>
      <c r="D37" s="343">
        <f>C37*52</f>
        <v>1840.9788800000001</v>
      </c>
      <c r="F37" s="71" t="s">
        <v>526</v>
      </c>
      <c r="G37" s="70">
        <f t="shared" ref="G37:G53" si="1">G36+$C$34</f>
        <v>811.9357504358187</v>
      </c>
      <c r="H37" s="873">
        <f t="shared" si="0"/>
        <v>42220.65902266257</v>
      </c>
      <c r="J37" s="74">
        <v>3</v>
      </c>
      <c r="Z37" s="344">
        <v>860</v>
      </c>
      <c r="AA37" s="344" t="s">
        <v>456</v>
      </c>
      <c r="AB37" s="344">
        <v>4</v>
      </c>
      <c r="AC37" s="344" t="s">
        <v>464</v>
      </c>
      <c r="AD37" s="1058" t="s">
        <v>463</v>
      </c>
      <c r="AE37" s="1059">
        <v>285451</v>
      </c>
      <c r="AF37" s="889" t="s">
        <v>459</v>
      </c>
      <c r="AG37" s="889" t="s">
        <v>459</v>
      </c>
    </row>
    <row r="38" spans="2:33" ht="13.15" thickBot="1" x14ac:dyDescent="0.4">
      <c r="F38" s="71" t="s">
        <v>527</v>
      </c>
      <c r="G38" s="70">
        <f t="shared" si="1"/>
        <v>895.94075269278187</v>
      </c>
      <c r="H38" s="873">
        <f t="shared" si="0"/>
        <v>46588.919140024656</v>
      </c>
      <c r="J38" s="74">
        <v>4</v>
      </c>
      <c r="Z38" s="344">
        <v>861</v>
      </c>
      <c r="AA38" s="344" t="s">
        <v>456</v>
      </c>
      <c r="AB38" s="344">
        <v>4</v>
      </c>
      <c r="AC38" s="344" t="e">
        <v>#N/A</v>
      </c>
      <c r="AD38" s="1058" t="s">
        <v>463</v>
      </c>
      <c r="AE38" s="1059" t="e">
        <v>#N/A</v>
      </c>
      <c r="AF38" s="889" t="s">
        <v>459</v>
      </c>
      <c r="AG38" s="889" t="s">
        <v>459</v>
      </c>
    </row>
    <row r="39" spans="2:33" ht="13.5" thickBot="1" x14ac:dyDescent="0.45">
      <c r="B39" s="41" t="s">
        <v>528</v>
      </c>
      <c r="C39" s="324" t="s">
        <v>200</v>
      </c>
      <c r="D39" s="41" t="str">
        <f>IF(Inc_Tier="N","Dormant","active")</f>
        <v>active</v>
      </c>
      <c r="F39" s="71" t="s">
        <v>529</v>
      </c>
      <c r="G39" s="70">
        <f t="shared" si="1"/>
        <v>979.94575494974504</v>
      </c>
      <c r="H39" s="873">
        <f t="shared" si="0"/>
        <v>50957.179257386742</v>
      </c>
      <c r="J39" s="74">
        <v>5</v>
      </c>
      <c r="Z39" s="344">
        <v>862</v>
      </c>
      <c r="AA39" s="344" t="s">
        <v>456</v>
      </c>
      <c r="AB39" s="344">
        <v>4</v>
      </c>
      <c r="AC39" s="344" t="e">
        <v>#N/A</v>
      </c>
      <c r="AD39" s="1058" t="s">
        <v>463</v>
      </c>
      <c r="AE39" s="1059" t="e">
        <v>#N/A</v>
      </c>
      <c r="AF39" s="889" t="s">
        <v>459</v>
      </c>
      <c r="AG39" s="889" t="s">
        <v>459</v>
      </c>
    </row>
    <row r="40" spans="2:33" ht="12.75" customHeight="1" x14ac:dyDescent="0.35">
      <c r="B40" s="1458" t="s">
        <v>530</v>
      </c>
      <c r="C40" s="1458"/>
      <c r="D40" s="1458"/>
      <c r="E40" s="1459"/>
      <c r="F40" s="71" t="s">
        <v>531</v>
      </c>
      <c r="G40" s="70">
        <f t="shared" si="1"/>
        <v>1063.9507572067082</v>
      </c>
      <c r="H40" s="873">
        <f t="shared" si="0"/>
        <v>55325.439374748828</v>
      </c>
      <c r="Z40" s="344">
        <v>870</v>
      </c>
      <c r="AA40" s="344" t="s">
        <v>456</v>
      </c>
      <c r="AB40" s="344">
        <v>2</v>
      </c>
      <c r="AC40" s="344" t="s">
        <v>457</v>
      </c>
      <c r="AD40" s="1058" t="s">
        <v>510</v>
      </c>
      <c r="AE40" s="1059">
        <v>555172</v>
      </c>
      <c r="AF40" s="889" t="s">
        <v>459</v>
      </c>
      <c r="AG40" s="889" t="s">
        <v>459</v>
      </c>
    </row>
    <row r="41" spans="2:33" x14ac:dyDescent="0.35">
      <c r="B41" s="1458"/>
      <c r="C41" s="1458"/>
      <c r="D41" s="1458"/>
      <c r="E41" s="1459"/>
      <c r="F41" s="71" t="s">
        <v>532</v>
      </c>
      <c r="G41" s="70">
        <f t="shared" si="1"/>
        <v>1147.9557594636715</v>
      </c>
      <c r="H41" s="873">
        <f t="shared" si="0"/>
        <v>59693.699492110914</v>
      </c>
      <c r="Z41" s="344">
        <v>871</v>
      </c>
      <c r="AA41" s="344" t="s">
        <v>456</v>
      </c>
      <c r="AB41" s="344">
        <v>4</v>
      </c>
      <c r="AC41" s="344" t="e">
        <v>#N/A</v>
      </c>
      <c r="AD41" s="1058" t="s">
        <v>463</v>
      </c>
      <c r="AE41" s="1059" t="e">
        <v>#N/A</v>
      </c>
      <c r="AF41" s="889" t="s">
        <v>459</v>
      </c>
      <c r="AG41" s="889" t="s">
        <v>459</v>
      </c>
    </row>
    <row r="42" spans="2:33" ht="14.25" customHeight="1" x14ac:dyDescent="0.35">
      <c r="B42" s="861" t="s">
        <v>533</v>
      </c>
      <c r="C42" s="861" t="s">
        <v>524</v>
      </c>
      <c r="D42" s="861" t="s">
        <v>8</v>
      </c>
      <c r="F42" s="71" t="s">
        <v>534</v>
      </c>
      <c r="G42" s="70">
        <f t="shared" si="1"/>
        <v>1231.9607617206348</v>
      </c>
      <c r="H42" s="873">
        <f t="shared" si="0"/>
        <v>64061.959609473008</v>
      </c>
      <c r="Z42" s="344">
        <v>872</v>
      </c>
      <c r="AA42" s="344" t="s">
        <v>456</v>
      </c>
      <c r="AB42" s="344">
        <v>4</v>
      </c>
      <c r="AC42" s="344" t="e">
        <v>#N/A</v>
      </c>
      <c r="AD42" s="1058" t="s">
        <v>463</v>
      </c>
      <c r="AE42" s="1059" t="e">
        <v>#N/A</v>
      </c>
      <c r="AF42" s="889" t="s">
        <v>459</v>
      </c>
      <c r="AG42" s="889" t="s">
        <v>459</v>
      </c>
    </row>
    <row r="43" spans="2:33" x14ac:dyDescent="0.35">
      <c r="B43" s="75">
        <v>0</v>
      </c>
      <c r="C43" s="67">
        <v>1</v>
      </c>
      <c r="D43" s="866">
        <v>1</v>
      </c>
      <c r="F43" s="71" t="s">
        <v>535</v>
      </c>
      <c r="G43" s="70">
        <f t="shared" si="1"/>
        <v>1315.965763977598</v>
      </c>
      <c r="H43" s="873">
        <f t="shared" si="0"/>
        <v>68430.219726835101</v>
      </c>
      <c r="Z43" s="344">
        <v>880</v>
      </c>
      <c r="AA43" s="344" t="s">
        <v>456</v>
      </c>
      <c r="AB43" s="344">
        <v>4</v>
      </c>
      <c r="AC43" s="344" t="e">
        <v>#N/A</v>
      </c>
      <c r="AD43" s="1058" t="s">
        <v>463</v>
      </c>
      <c r="AE43" s="1059" t="e">
        <v>#N/A</v>
      </c>
      <c r="AF43" s="889" t="s">
        <v>459</v>
      </c>
      <c r="AG43" s="889" t="s">
        <v>459</v>
      </c>
    </row>
    <row r="44" spans="2:33" ht="13.15" x14ac:dyDescent="0.4">
      <c r="B44" s="75">
        <v>30000</v>
      </c>
      <c r="C44" s="67">
        <v>1</v>
      </c>
      <c r="D44" s="866">
        <v>1</v>
      </c>
      <c r="E44" s="41"/>
      <c r="F44" s="71" t="s">
        <v>536</v>
      </c>
      <c r="G44" s="70">
        <f t="shared" si="1"/>
        <v>1399.9707662345613</v>
      </c>
      <c r="H44" s="873">
        <f t="shared" si="0"/>
        <v>72798.479844197194</v>
      </c>
      <c r="Z44" s="344">
        <v>881</v>
      </c>
      <c r="AA44" s="344" t="s">
        <v>456</v>
      </c>
      <c r="AB44" s="344">
        <v>4</v>
      </c>
      <c r="AC44" s="344" t="e">
        <v>#N/A</v>
      </c>
      <c r="AD44" s="1058" t="s">
        <v>463</v>
      </c>
      <c r="AE44" s="1059" t="e">
        <v>#N/A</v>
      </c>
      <c r="AF44" s="889" t="s">
        <v>459</v>
      </c>
      <c r="AG44" s="889" t="s">
        <v>459</v>
      </c>
    </row>
    <row r="45" spans="2:33" x14ac:dyDescent="0.35">
      <c r="B45" s="75">
        <v>35000</v>
      </c>
      <c r="C45" s="67">
        <v>1.08</v>
      </c>
      <c r="D45" s="866">
        <v>1</v>
      </c>
      <c r="F45" s="71" t="s">
        <v>537</v>
      </c>
      <c r="G45" s="70">
        <f t="shared" si="1"/>
        <v>1483.9757684915246</v>
      </c>
      <c r="H45" s="873">
        <f t="shared" si="0"/>
        <v>77166.739961559273</v>
      </c>
      <c r="Z45" s="344">
        <v>886</v>
      </c>
      <c r="AA45" s="344" t="s">
        <v>456</v>
      </c>
      <c r="AB45" s="344">
        <v>4</v>
      </c>
      <c r="AC45" s="344" t="e">
        <v>#N/A</v>
      </c>
      <c r="AD45" s="1058" t="s">
        <v>463</v>
      </c>
      <c r="AE45" s="1059" t="e">
        <v>#N/A</v>
      </c>
      <c r="AF45" s="889" t="s">
        <v>459</v>
      </c>
      <c r="AG45" s="889" t="s">
        <v>459</v>
      </c>
    </row>
    <row r="46" spans="2:33" x14ac:dyDescent="0.35">
      <c r="B46" s="75">
        <v>40000</v>
      </c>
      <c r="C46" s="67">
        <v>1.1399999999999999</v>
      </c>
      <c r="D46" s="866">
        <v>1.04</v>
      </c>
      <c r="F46" s="71" t="s">
        <v>538</v>
      </c>
      <c r="G46" s="70">
        <f>G45+$C$34</f>
        <v>1567.9807707484879</v>
      </c>
      <c r="H46" s="873">
        <f t="shared" si="0"/>
        <v>81535.000078921366</v>
      </c>
      <c r="Z46" s="344">
        <v>2000</v>
      </c>
      <c r="AA46" s="344" t="s">
        <v>539</v>
      </c>
      <c r="AB46" s="344">
        <v>1</v>
      </c>
      <c r="AC46" s="344" t="s">
        <v>482</v>
      </c>
      <c r="AD46" s="1058" t="s">
        <v>540</v>
      </c>
      <c r="AE46" s="1059">
        <v>1335050</v>
      </c>
      <c r="AF46" s="889" t="s">
        <v>459</v>
      </c>
      <c r="AG46" s="889" t="s">
        <v>460</v>
      </c>
    </row>
    <row r="47" spans="2:33" x14ac:dyDescent="0.35">
      <c r="B47" s="75">
        <v>45000</v>
      </c>
      <c r="C47" s="67">
        <v>1.22</v>
      </c>
      <c r="D47" s="866">
        <v>1.08</v>
      </c>
      <c r="F47" s="71" t="s">
        <v>541</v>
      </c>
      <c r="G47" s="70">
        <f t="shared" si="1"/>
        <v>1651.9857730054512</v>
      </c>
      <c r="H47" s="873">
        <f t="shared" si="0"/>
        <v>85903.26019628346</v>
      </c>
      <c r="Z47" s="344">
        <v>2001</v>
      </c>
      <c r="AA47" s="344" t="s">
        <v>539</v>
      </c>
      <c r="AB47" s="344">
        <v>1</v>
      </c>
      <c r="AC47" s="344" t="e">
        <v>#N/A</v>
      </c>
      <c r="AD47" s="1058" t="s">
        <v>540</v>
      </c>
      <c r="AE47" s="1059" t="e">
        <v>#N/A</v>
      </c>
      <c r="AF47" s="889" t="s">
        <v>459</v>
      </c>
      <c r="AG47" s="889" t="s">
        <v>459</v>
      </c>
    </row>
    <row r="48" spans="2:33" x14ac:dyDescent="0.35">
      <c r="B48" s="75">
        <v>50000</v>
      </c>
      <c r="C48" s="67">
        <v>1.24</v>
      </c>
      <c r="D48" s="866">
        <v>1.0900000000000001</v>
      </c>
      <c r="F48" s="71" t="s">
        <v>542</v>
      </c>
      <c r="G48" s="70">
        <f t="shared" si="1"/>
        <v>1735.9907752624144</v>
      </c>
      <c r="H48" s="873">
        <f t="shared" si="0"/>
        <v>90271.520313645553</v>
      </c>
      <c r="Z48" s="344">
        <v>2002</v>
      </c>
      <c r="AA48" s="344" t="s">
        <v>539</v>
      </c>
      <c r="AB48" s="344">
        <v>1</v>
      </c>
      <c r="AC48" s="344" t="e">
        <v>#N/A</v>
      </c>
      <c r="AD48" s="1058" t="s">
        <v>540</v>
      </c>
      <c r="AE48" s="1059" t="e">
        <v>#N/A</v>
      </c>
      <c r="AF48" s="889" t="s">
        <v>459</v>
      </c>
      <c r="AG48" s="889" t="s">
        <v>459</v>
      </c>
    </row>
    <row r="49" spans="2:33" x14ac:dyDescent="0.35">
      <c r="B49" s="75">
        <v>55000</v>
      </c>
      <c r="C49" s="67">
        <v>1.24</v>
      </c>
      <c r="D49" s="866">
        <v>1.0900000000000001</v>
      </c>
      <c r="F49" s="71" t="s">
        <v>543</v>
      </c>
      <c r="G49" s="70">
        <f t="shared" si="1"/>
        <v>1819.9957775193777</v>
      </c>
      <c r="H49" s="873">
        <f t="shared" si="0"/>
        <v>94639.780431007646</v>
      </c>
      <c r="Z49" s="344">
        <v>2003</v>
      </c>
      <c r="AA49" s="344" t="s">
        <v>539</v>
      </c>
      <c r="AB49" s="344">
        <v>1</v>
      </c>
      <c r="AC49" s="344" t="e">
        <v>#N/A</v>
      </c>
      <c r="AD49" s="1058" t="s">
        <v>540</v>
      </c>
      <c r="AE49" s="1059" t="e">
        <v>#N/A</v>
      </c>
      <c r="AF49" s="889" t="s">
        <v>459</v>
      </c>
      <c r="AG49" s="889" t="s">
        <v>459</v>
      </c>
    </row>
    <row r="50" spans="2:33" x14ac:dyDescent="0.35">
      <c r="B50" s="75">
        <v>60000</v>
      </c>
      <c r="C50" s="67">
        <v>1.38</v>
      </c>
      <c r="D50" s="866">
        <v>1.17</v>
      </c>
      <c r="F50" s="71" t="s">
        <v>544</v>
      </c>
      <c r="G50" s="70">
        <f t="shared" si="1"/>
        <v>1904.000779776341</v>
      </c>
      <c r="H50" s="873">
        <f t="shared" si="0"/>
        <v>99008.040548369725</v>
      </c>
      <c r="Z50" s="344">
        <v>2004</v>
      </c>
      <c r="AA50" s="344" t="s">
        <v>539</v>
      </c>
      <c r="AB50" s="344">
        <v>1</v>
      </c>
      <c r="AC50" s="344" t="e">
        <v>#N/A</v>
      </c>
      <c r="AD50" s="1058" t="s">
        <v>540</v>
      </c>
      <c r="AE50" s="1059" t="e">
        <v>#N/A</v>
      </c>
      <c r="AF50" s="889" t="s">
        <v>459</v>
      </c>
      <c r="AG50" s="889" t="s">
        <v>459</v>
      </c>
    </row>
    <row r="51" spans="2:33" x14ac:dyDescent="0.35">
      <c r="B51" s="75">
        <v>65000</v>
      </c>
      <c r="C51" s="67">
        <v>1.38</v>
      </c>
      <c r="D51" s="866">
        <v>1.17</v>
      </c>
      <c r="F51" s="71" t="s">
        <v>545</v>
      </c>
      <c r="G51" s="70">
        <f t="shared" si="1"/>
        <v>1988.0057820333043</v>
      </c>
      <c r="H51" s="873">
        <f t="shared" si="0"/>
        <v>103376.30066573182</v>
      </c>
      <c r="Z51" s="344">
        <v>2005</v>
      </c>
      <c r="AA51" s="344" t="s">
        <v>539</v>
      </c>
      <c r="AB51" s="344">
        <v>1</v>
      </c>
      <c r="AC51" s="344" t="e">
        <v>#N/A</v>
      </c>
      <c r="AD51" s="1058" t="s">
        <v>540</v>
      </c>
      <c r="AE51" s="1059" t="e">
        <v>#N/A</v>
      </c>
      <c r="AF51" s="889" t="s">
        <v>459</v>
      </c>
      <c r="AG51" s="889" t="s">
        <v>459</v>
      </c>
    </row>
    <row r="52" spans="2:33" x14ac:dyDescent="0.35">
      <c r="B52" s="75">
        <v>70000</v>
      </c>
      <c r="C52" s="67">
        <v>1.5</v>
      </c>
      <c r="D52" s="866">
        <v>1.24</v>
      </c>
      <c r="F52" s="71" t="s">
        <v>546</v>
      </c>
      <c r="G52" s="70">
        <f t="shared" si="1"/>
        <v>2072.0107842902676</v>
      </c>
      <c r="H52" s="873">
        <f t="shared" si="0"/>
        <v>107744.56078309391</v>
      </c>
      <c r="Z52" s="344">
        <v>2006</v>
      </c>
      <c r="AA52" s="344" t="s">
        <v>539</v>
      </c>
      <c r="AB52" s="344">
        <v>1</v>
      </c>
      <c r="AC52" s="344" t="e">
        <v>#N/A</v>
      </c>
      <c r="AD52" s="1058" t="s">
        <v>540</v>
      </c>
      <c r="AE52" s="1059" t="e">
        <v>#N/A</v>
      </c>
      <c r="AF52" s="889" t="s">
        <v>459</v>
      </c>
      <c r="AG52" s="889" t="s">
        <v>459</v>
      </c>
    </row>
    <row r="53" spans="2:33" x14ac:dyDescent="0.35">
      <c r="B53" s="75">
        <v>75000</v>
      </c>
      <c r="C53" s="67">
        <v>1.5</v>
      </c>
      <c r="D53" s="866">
        <v>1.24</v>
      </c>
      <c r="F53" s="71" t="s">
        <v>547</v>
      </c>
      <c r="G53" s="70">
        <f t="shared" si="1"/>
        <v>2156.0157865472306</v>
      </c>
      <c r="H53" s="873">
        <f t="shared" si="0"/>
        <v>112112.82090045599</v>
      </c>
      <c r="Z53" s="344">
        <v>2007</v>
      </c>
      <c r="AA53" s="344" t="s">
        <v>539</v>
      </c>
      <c r="AB53" s="344">
        <v>1</v>
      </c>
      <c r="AC53" s="344" t="s">
        <v>479</v>
      </c>
      <c r="AD53" s="1058" t="s">
        <v>540</v>
      </c>
      <c r="AE53" s="1059">
        <v>857608</v>
      </c>
      <c r="AF53" s="889" t="s">
        <v>459</v>
      </c>
      <c r="AG53" s="889" t="s">
        <v>460</v>
      </c>
    </row>
    <row r="54" spans="2:33" x14ac:dyDescent="0.35">
      <c r="B54" s="75">
        <v>80000</v>
      </c>
      <c r="C54" s="67">
        <v>1.57</v>
      </c>
      <c r="D54" s="866">
        <v>1.28</v>
      </c>
      <c r="F54" s="72" t="s">
        <v>548</v>
      </c>
      <c r="G54" s="70">
        <f>C36</f>
        <v>268.15523788903198</v>
      </c>
      <c r="H54" s="873">
        <f t="shared" si="0"/>
        <v>13944.072370229664</v>
      </c>
      <c r="Z54" s="344">
        <v>2008</v>
      </c>
      <c r="AA54" s="344" t="s">
        <v>539</v>
      </c>
      <c r="AB54" s="344">
        <v>1</v>
      </c>
      <c r="AC54" s="344" t="s">
        <v>482</v>
      </c>
      <c r="AD54" s="1058" t="s">
        <v>540</v>
      </c>
      <c r="AE54" s="1059">
        <v>1022394</v>
      </c>
      <c r="AF54" s="889" t="s">
        <v>459</v>
      </c>
      <c r="AG54" s="889" t="s">
        <v>460</v>
      </c>
    </row>
    <row r="55" spans="2:33" x14ac:dyDescent="0.35">
      <c r="B55" s="75">
        <v>85000</v>
      </c>
      <c r="C55" s="67">
        <v>1.57</v>
      </c>
      <c r="D55" s="866">
        <v>1.28</v>
      </c>
      <c r="F55" s="72" t="s">
        <v>549</v>
      </c>
      <c r="G55" s="70">
        <f t="shared" ref="G55:G74" si="2">G54+$C$37</f>
        <v>303.55867788903197</v>
      </c>
      <c r="H55" s="873">
        <f t="shared" si="0"/>
        <v>15785.051250229662</v>
      </c>
      <c r="Z55" s="344">
        <v>2009</v>
      </c>
      <c r="AA55" s="344" t="s">
        <v>539</v>
      </c>
      <c r="AB55" s="344">
        <v>1</v>
      </c>
      <c r="AC55" s="344" t="s">
        <v>479</v>
      </c>
      <c r="AD55" s="1058" t="s">
        <v>540</v>
      </c>
      <c r="AE55" s="1059">
        <v>896024</v>
      </c>
      <c r="AF55" s="889" t="s">
        <v>459</v>
      </c>
      <c r="AG55" s="889" t="s">
        <v>459</v>
      </c>
    </row>
    <row r="56" spans="2:33" x14ac:dyDescent="0.35">
      <c r="B56" s="75">
        <v>90000</v>
      </c>
      <c r="C56" s="67">
        <v>1.59</v>
      </c>
      <c r="D56" s="866">
        <v>1.28</v>
      </c>
      <c r="F56" s="72" t="s">
        <v>550</v>
      </c>
      <c r="G56" s="70">
        <f t="shared" si="2"/>
        <v>338.96211788903196</v>
      </c>
      <c r="H56" s="873">
        <f t="shared" si="0"/>
        <v>17626.030130229661</v>
      </c>
      <c r="Z56" s="344">
        <v>2010</v>
      </c>
      <c r="AA56" s="344" t="s">
        <v>539</v>
      </c>
      <c r="AB56" s="344">
        <v>1</v>
      </c>
      <c r="AC56" s="344" t="s">
        <v>482</v>
      </c>
      <c r="AD56" s="1058" t="s">
        <v>540</v>
      </c>
      <c r="AE56" s="1059">
        <v>1313090</v>
      </c>
      <c r="AF56" s="889" t="s">
        <v>459</v>
      </c>
      <c r="AG56" s="889" t="s">
        <v>459</v>
      </c>
    </row>
    <row r="57" spans="2:33" x14ac:dyDescent="0.35">
      <c r="B57" s="75">
        <v>95000</v>
      </c>
      <c r="C57" s="67">
        <v>1.59</v>
      </c>
      <c r="D57" s="866">
        <v>1.28</v>
      </c>
      <c r="F57" s="72" t="s">
        <v>551</v>
      </c>
      <c r="G57" s="70">
        <f t="shared" si="2"/>
        <v>374.36555788903195</v>
      </c>
      <c r="H57" s="873">
        <f t="shared" si="0"/>
        <v>19467.00901022966</v>
      </c>
      <c r="Z57" s="344">
        <v>2011</v>
      </c>
      <c r="AA57" s="344" t="s">
        <v>539</v>
      </c>
      <c r="AB57" s="344">
        <v>1</v>
      </c>
      <c r="AC57" s="344" t="s">
        <v>457</v>
      </c>
      <c r="AD57" s="1058" t="s">
        <v>540</v>
      </c>
      <c r="AE57" s="1059">
        <v>704413</v>
      </c>
      <c r="AF57" s="889" t="s">
        <v>459</v>
      </c>
      <c r="AG57" s="889" t="s">
        <v>459</v>
      </c>
    </row>
    <row r="58" spans="2:33" x14ac:dyDescent="0.35">
      <c r="B58" s="75">
        <v>100000</v>
      </c>
      <c r="C58" s="67">
        <v>1.62</v>
      </c>
      <c r="D58" s="866">
        <v>1.3</v>
      </c>
      <c r="F58" s="72" t="s">
        <v>552</v>
      </c>
      <c r="G58" s="70">
        <f t="shared" si="2"/>
        <v>409.76899788903194</v>
      </c>
      <c r="H58" s="873">
        <f t="shared" si="0"/>
        <v>21307.987890229662</v>
      </c>
      <c r="Z58" s="344">
        <v>2015</v>
      </c>
      <c r="AA58" s="344" t="s">
        <v>539</v>
      </c>
      <c r="AB58" s="344">
        <v>1</v>
      </c>
      <c r="AC58" s="344" t="s">
        <v>482</v>
      </c>
      <c r="AD58" s="1058" t="s">
        <v>540</v>
      </c>
      <c r="AE58" s="1059">
        <v>976176</v>
      </c>
      <c r="AF58" s="889" t="s">
        <v>459</v>
      </c>
      <c r="AG58" s="889" t="s">
        <v>269</v>
      </c>
    </row>
    <row r="59" spans="2:33" x14ac:dyDescent="0.35">
      <c r="B59" s="75">
        <v>105000</v>
      </c>
      <c r="C59" s="67">
        <v>1.62</v>
      </c>
      <c r="D59" s="866">
        <v>1.3</v>
      </c>
      <c r="F59" s="72" t="s">
        <v>553</v>
      </c>
      <c r="G59" s="70">
        <f t="shared" si="2"/>
        <v>445.17243788903193</v>
      </c>
      <c r="H59" s="873">
        <f t="shared" si="0"/>
        <v>23148.966770229661</v>
      </c>
      <c r="Z59" s="344">
        <v>2016</v>
      </c>
      <c r="AA59" s="344" t="s">
        <v>539</v>
      </c>
      <c r="AB59" s="344">
        <v>1</v>
      </c>
      <c r="AC59" s="344" t="s">
        <v>482</v>
      </c>
      <c r="AD59" s="1058" t="s">
        <v>540</v>
      </c>
      <c r="AE59" s="1059">
        <v>1113945</v>
      </c>
      <c r="AF59" s="889" t="s">
        <v>459</v>
      </c>
      <c r="AG59" s="889" t="s">
        <v>459</v>
      </c>
    </row>
    <row r="60" spans="2:33" x14ac:dyDescent="0.35">
      <c r="B60" s="75">
        <v>110000</v>
      </c>
      <c r="C60" s="67">
        <v>1.65</v>
      </c>
      <c r="D60" s="866">
        <v>1.32</v>
      </c>
      <c r="F60" s="72" t="s">
        <v>554</v>
      </c>
      <c r="G60" s="70">
        <f t="shared" si="2"/>
        <v>480.57587788903191</v>
      </c>
      <c r="H60" s="873">
        <f t="shared" si="0"/>
        <v>24989.94565022966</v>
      </c>
      <c r="Z60" s="344">
        <v>2017</v>
      </c>
      <c r="AA60" s="344" t="s">
        <v>539</v>
      </c>
      <c r="AB60" s="344">
        <v>1</v>
      </c>
      <c r="AC60" s="344" t="s">
        <v>482</v>
      </c>
      <c r="AD60" s="1058" t="s">
        <v>540</v>
      </c>
      <c r="AE60" s="1059">
        <v>941188</v>
      </c>
      <c r="AF60" s="889" t="s">
        <v>459</v>
      </c>
      <c r="AG60" s="889" t="s">
        <v>460</v>
      </c>
    </row>
    <row r="61" spans="2:33" x14ac:dyDescent="0.35">
      <c r="B61" s="75">
        <v>115000</v>
      </c>
      <c r="C61" s="67">
        <v>1.65</v>
      </c>
      <c r="D61" s="866">
        <v>1.32</v>
      </c>
      <c r="F61" s="72" t="s">
        <v>555</v>
      </c>
      <c r="G61" s="70">
        <f t="shared" si="2"/>
        <v>515.9793178890319</v>
      </c>
      <c r="H61" s="873">
        <f t="shared" si="0"/>
        <v>26830.924530229659</v>
      </c>
      <c r="Z61" s="344">
        <v>2018</v>
      </c>
      <c r="AA61" s="344" t="s">
        <v>539</v>
      </c>
      <c r="AB61" s="344">
        <v>1</v>
      </c>
      <c r="AC61" s="344" t="s">
        <v>482</v>
      </c>
      <c r="AD61" s="1058" t="s">
        <v>540</v>
      </c>
      <c r="AE61" s="1059">
        <v>1082801</v>
      </c>
      <c r="AF61" s="889" t="s">
        <v>459</v>
      </c>
      <c r="AG61" s="889" t="s">
        <v>460</v>
      </c>
    </row>
    <row r="62" spans="2:33" x14ac:dyDescent="0.35">
      <c r="B62" s="75">
        <v>120000</v>
      </c>
      <c r="C62" s="67">
        <v>1.68</v>
      </c>
      <c r="D62" s="866">
        <v>1.34</v>
      </c>
      <c r="F62" s="72" t="s">
        <v>556</v>
      </c>
      <c r="G62" s="70">
        <f t="shared" si="2"/>
        <v>551.38275788903195</v>
      </c>
      <c r="H62" s="873">
        <f t="shared" si="0"/>
        <v>28671.903410229661</v>
      </c>
      <c r="Z62" s="344">
        <v>2019</v>
      </c>
      <c r="AA62" s="344" t="s">
        <v>539</v>
      </c>
      <c r="AB62" s="344">
        <v>1</v>
      </c>
      <c r="AC62" s="344" t="s">
        <v>482</v>
      </c>
      <c r="AD62" s="1058" t="s">
        <v>540</v>
      </c>
      <c r="AE62" s="1059">
        <v>987351</v>
      </c>
      <c r="AF62" s="889" t="s">
        <v>459</v>
      </c>
      <c r="AG62" s="889" t="s">
        <v>460</v>
      </c>
    </row>
    <row r="63" spans="2:33" x14ac:dyDescent="0.35">
      <c r="B63" s="75">
        <v>125000</v>
      </c>
      <c r="C63" s="67">
        <v>1.68</v>
      </c>
      <c r="D63" s="866">
        <v>1.34</v>
      </c>
      <c r="F63" s="72" t="s">
        <v>557</v>
      </c>
      <c r="G63" s="70">
        <f t="shared" si="2"/>
        <v>586.786197889032</v>
      </c>
      <c r="H63" s="873">
        <f t="shared" si="0"/>
        <v>30512.882290229663</v>
      </c>
      <c r="Z63" s="344">
        <v>2020</v>
      </c>
      <c r="AA63" s="344" t="s">
        <v>539</v>
      </c>
      <c r="AB63" s="344">
        <v>1</v>
      </c>
      <c r="AC63" s="344" t="s">
        <v>482</v>
      </c>
      <c r="AD63" s="1058" t="s">
        <v>540</v>
      </c>
      <c r="AE63" s="1059">
        <v>960124</v>
      </c>
      <c r="AF63" s="889" t="s">
        <v>459</v>
      </c>
      <c r="AG63" s="889" t="s">
        <v>460</v>
      </c>
    </row>
    <row r="64" spans="2:33" x14ac:dyDescent="0.35">
      <c r="B64" s="75">
        <v>130000</v>
      </c>
      <c r="C64" s="67">
        <v>1.71</v>
      </c>
      <c r="D64" s="866">
        <v>1.35</v>
      </c>
      <c r="F64" s="72" t="s">
        <v>558</v>
      </c>
      <c r="G64" s="70">
        <f t="shared" si="2"/>
        <v>622.18963788903204</v>
      </c>
      <c r="H64" s="873">
        <f t="shared" si="0"/>
        <v>32353.861170229666</v>
      </c>
      <c r="Z64" s="344">
        <v>2021</v>
      </c>
      <c r="AA64" s="344" t="s">
        <v>539</v>
      </c>
      <c r="AB64" s="344">
        <v>1</v>
      </c>
      <c r="AC64" s="344" t="s">
        <v>482</v>
      </c>
      <c r="AD64" s="1058" t="s">
        <v>540</v>
      </c>
      <c r="AE64" s="1059">
        <v>3261225</v>
      </c>
      <c r="AF64" s="889" t="s">
        <v>459</v>
      </c>
      <c r="AG64" s="889" t="s">
        <v>459</v>
      </c>
    </row>
    <row r="65" spans="2:33" x14ac:dyDescent="0.35">
      <c r="B65" s="75">
        <v>135000</v>
      </c>
      <c r="C65" s="67">
        <v>1.71</v>
      </c>
      <c r="D65" s="866">
        <v>1.35</v>
      </c>
      <c r="F65" s="72" t="s">
        <v>559</v>
      </c>
      <c r="G65" s="70">
        <f t="shared" si="2"/>
        <v>657.59307788903209</v>
      </c>
      <c r="H65" s="873">
        <f t="shared" si="0"/>
        <v>34194.840050229672</v>
      </c>
      <c r="Z65" s="344">
        <v>2022</v>
      </c>
      <c r="AA65" s="344" t="s">
        <v>539</v>
      </c>
      <c r="AB65" s="344">
        <v>1</v>
      </c>
      <c r="AC65" s="344" t="s">
        <v>482</v>
      </c>
      <c r="AD65" s="1058" t="s">
        <v>540</v>
      </c>
      <c r="AE65" s="1059">
        <v>1726870</v>
      </c>
      <c r="AF65" s="889" t="s">
        <v>459</v>
      </c>
      <c r="AG65" s="889" t="s">
        <v>460</v>
      </c>
    </row>
    <row r="66" spans="2:33" x14ac:dyDescent="0.35">
      <c r="B66" s="75">
        <v>140000</v>
      </c>
      <c r="C66" s="67">
        <v>1.74</v>
      </c>
      <c r="D66" s="866">
        <v>1.37</v>
      </c>
      <c r="F66" s="72" t="s">
        <v>560</v>
      </c>
      <c r="G66" s="70">
        <f t="shared" si="2"/>
        <v>692.99651788903213</v>
      </c>
      <c r="H66" s="873">
        <f t="shared" si="0"/>
        <v>36035.818930229674</v>
      </c>
      <c r="Z66" s="344">
        <v>2023</v>
      </c>
      <c r="AA66" s="344" t="s">
        <v>539</v>
      </c>
      <c r="AB66" s="344">
        <v>1</v>
      </c>
      <c r="AC66" s="344" t="s">
        <v>482</v>
      </c>
      <c r="AD66" s="1058" t="s">
        <v>540</v>
      </c>
      <c r="AE66" s="1059">
        <v>3747610</v>
      </c>
      <c r="AF66" s="889" t="s">
        <v>459</v>
      </c>
      <c r="AG66" s="889" t="s">
        <v>459</v>
      </c>
    </row>
    <row r="67" spans="2:33" x14ac:dyDescent="0.35">
      <c r="B67" s="75">
        <v>145000</v>
      </c>
      <c r="C67" s="67">
        <v>1.74</v>
      </c>
      <c r="D67" s="866">
        <v>1.37</v>
      </c>
      <c r="F67" s="72" t="s">
        <v>561</v>
      </c>
      <c r="G67" s="70">
        <f t="shared" si="2"/>
        <v>728.39995788903218</v>
      </c>
      <c r="H67" s="873">
        <f t="shared" si="0"/>
        <v>37876.797810229677</v>
      </c>
      <c r="Z67" s="344">
        <v>2024</v>
      </c>
      <c r="AA67" s="344" t="s">
        <v>539</v>
      </c>
      <c r="AB67" s="344">
        <v>1</v>
      </c>
      <c r="AC67" s="344" t="s">
        <v>482</v>
      </c>
      <c r="AD67" s="1058" t="s">
        <v>540</v>
      </c>
      <c r="AE67" s="1059">
        <v>2127551</v>
      </c>
      <c r="AF67" s="889" t="s">
        <v>459</v>
      </c>
      <c r="AG67" s="889" t="s">
        <v>459</v>
      </c>
    </row>
    <row r="68" spans="2:33" x14ac:dyDescent="0.35">
      <c r="B68" s="75">
        <v>150000</v>
      </c>
      <c r="C68" s="67">
        <v>1.77</v>
      </c>
      <c r="D68" s="866">
        <v>1.39</v>
      </c>
      <c r="F68" s="72" t="s">
        <v>562</v>
      </c>
      <c r="G68" s="70">
        <f t="shared" si="2"/>
        <v>763.80339788903223</v>
      </c>
      <c r="H68" s="873">
        <f t="shared" si="0"/>
        <v>39717.776690229679</v>
      </c>
      <c r="Z68" s="344">
        <v>2025</v>
      </c>
      <c r="AA68" s="344" t="s">
        <v>539</v>
      </c>
      <c r="AB68" s="344">
        <v>1</v>
      </c>
      <c r="AC68" s="344" t="s">
        <v>482</v>
      </c>
      <c r="AD68" s="1058" t="s">
        <v>540</v>
      </c>
      <c r="AE68" s="1059">
        <v>2155722</v>
      </c>
      <c r="AF68" s="889" t="s">
        <v>459</v>
      </c>
      <c r="AG68" s="889" t="s">
        <v>459</v>
      </c>
    </row>
    <row r="69" spans="2:33" x14ac:dyDescent="0.35">
      <c r="B69" s="75">
        <v>155000</v>
      </c>
      <c r="C69" s="67">
        <v>1.77</v>
      </c>
      <c r="D69" s="866">
        <v>1.39</v>
      </c>
      <c r="F69" s="72" t="s">
        <v>563</v>
      </c>
      <c r="G69" s="70">
        <f t="shared" si="2"/>
        <v>799.20683788903227</v>
      </c>
      <c r="H69" s="873">
        <f t="shared" si="0"/>
        <v>41558.755570229681</v>
      </c>
      <c r="Z69" s="344">
        <v>2026</v>
      </c>
      <c r="AA69" s="344" t="s">
        <v>539</v>
      </c>
      <c r="AB69" s="344">
        <v>1</v>
      </c>
      <c r="AC69" s="344" t="s">
        <v>482</v>
      </c>
      <c r="AD69" s="1058" t="s">
        <v>540</v>
      </c>
      <c r="AE69" s="1059">
        <v>2157599</v>
      </c>
      <c r="AF69" s="889" t="s">
        <v>459</v>
      </c>
      <c r="AG69" s="889" t="s">
        <v>459</v>
      </c>
    </row>
    <row r="70" spans="2:33" x14ac:dyDescent="0.35">
      <c r="B70" s="75">
        <v>160000</v>
      </c>
      <c r="C70" s="67">
        <v>1.8</v>
      </c>
      <c r="D70" s="866">
        <v>1.41</v>
      </c>
      <c r="F70" s="72" t="s">
        <v>564</v>
      </c>
      <c r="G70" s="70">
        <f t="shared" si="2"/>
        <v>834.61027788903232</v>
      </c>
      <c r="H70" s="873">
        <f t="shared" si="0"/>
        <v>43399.734450229684</v>
      </c>
      <c r="Z70" s="344">
        <v>2027</v>
      </c>
      <c r="AA70" s="344" t="s">
        <v>539</v>
      </c>
      <c r="AB70" s="344">
        <v>1</v>
      </c>
      <c r="AC70" s="344" t="s">
        <v>482</v>
      </c>
      <c r="AD70" s="1058" t="s">
        <v>540</v>
      </c>
      <c r="AE70" s="1059">
        <v>3964812</v>
      </c>
      <c r="AF70" s="889" t="s">
        <v>459</v>
      </c>
      <c r="AG70" s="889" t="s">
        <v>459</v>
      </c>
    </row>
    <row r="71" spans="2:33" x14ac:dyDescent="0.35">
      <c r="B71" s="75">
        <v>165000</v>
      </c>
      <c r="C71" s="67">
        <v>1.8</v>
      </c>
      <c r="D71" s="866">
        <v>1.41</v>
      </c>
      <c r="F71" s="72" t="s">
        <v>565</v>
      </c>
      <c r="G71" s="70">
        <f t="shared" si="2"/>
        <v>870.01371788903236</v>
      </c>
      <c r="H71" s="873">
        <f t="shared" si="0"/>
        <v>45240.713330229686</v>
      </c>
      <c r="Z71" s="344">
        <v>2028</v>
      </c>
      <c r="AA71" s="344" t="s">
        <v>539</v>
      </c>
      <c r="AB71" s="344">
        <v>1</v>
      </c>
      <c r="AC71" s="344" t="s">
        <v>482</v>
      </c>
      <c r="AD71" s="1058" t="s">
        <v>540</v>
      </c>
      <c r="AE71" s="1059">
        <v>2900511</v>
      </c>
      <c r="AF71" s="889" t="s">
        <v>459</v>
      </c>
      <c r="AG71" s="889" t="s">
        <v>459</v>
      </c>
    </row>
    <row r="72" spans="2:33" x14ac:dyDescent="0.35">
      <c r="B72" s="75">
        <v>170000</v>
      </c>
      <c r="C72" s="67">
        <v>1.83</v>
      </c>
      <c r="D72" s="866">
        <v>1.42</v>
      </c>
      <c r="F72" s="72" t="s">
        <v>566</v>
      </c>
      <c r="G72" s="70">
        <f t="shared" si="2"/>
        <v>905.41715788903241</v>
      </c>
      <c r="H72" s="873">
        <f t="shared" si="0"/>
        <v>47081.692210229688</v>
      </c>
      <c r="Z72" s="344">
        <v>2029</v>
      </c>
      <c r="AA72" s="344" t="s">
        <v>539</v>
      </c>
      <c r="AB72" s="344">
        <v>1</v>
      </c>
      <c r="AC72" s="344" t="s">
        <v>482</v>
      </c>
      <c r="AD72" s="1058" t="s">
        <v>540</v>
      </c>
      <c r="AE72" s="1059">
        <v>2517028</v>
      </c>
      <c r="AF72" s="889" t="s">
        <v>459</v>
      </c>
      <c r="AG72" s="889" t="s">
        <v>459</v>
      </c>
    </row>
    <row r="73" spans="2:33" x14ac:dyDescent="0.35">
      <c r="B73" s="75">
        <v>175000</v>
      </c>
      <c r="C73" s="67">
        <v>1.83</v>
      </c>
      <c r="D73" s="866">
        <v>1.42</v>
      </c>
      <c r="F73" s="72" t="s">
        <v>567</v>
      </c>
      <c r="G73" s="70">
        <f t="shared" si="2"/>
        <v>940.82059788903246</v>
      </c>
      <c r="H73" s="873">
        <f t="shared" si="0"/>
        <v>48922.671090229691</v>
      </c>
      <c r="Z73" s="344">
        <v>2030</v>
      </c>
      <c r="AA73" s="344" t="s">
        <v>539</v>
      </c>
      <c r="AB73" s="344">
        <v>1</v>
      </c>
      <c r="AC73" s="344" t="s">
        <v>482</v>
      </c>
      <c r="AD73" s="1058" t="s">
        <v>540</v>
      </c>
      <c r="AE73" s="1059">
        <v>3242108</v>
      </c>
      <c r="AF73" s="889" t="s">
        <v>459</v>
      </c>
      <c r="AG73" s="889" t="s">
        <v>459</v>
      </c>
    </row>
    <row r="74" spans="2:33" x14ac:dyDescent="0.35">
      <c r="B74" s="75">
        <v>180000</v>
      </c>
      <c r="C74" s="67">
        <v>1.87</v>
      </c>
      <c r="D74" s="866">
        <v>1.44</v>
      </c>
      <c r="F74" s="72" t="s">
        <v>568</v>
      </c>
      <c r="G74" s="70">
        <f t="shared" si="2"/>
        <v>976.2240378890325</v>
      </c>
      <c r="H74" s="873">
        <f t="shared" si="0"/>
        <v>50763.649970229693</v>
      </c>
      <c r="Z74" s="344">
        <v>2031</v>
      </c>
      <c r="AA74" s="344" t="s">
        <v>539</v>
      </c>
      <c r="AB74" s="344">
        <v>1</v>
      </c>
      <c r="AC74" s="344" t="s">
        <v>482</v>
      </c>
      <c r="AD74" s="1058" t="s">
        <v>540</v>
      </c>
      <c r="AE74" s="1059">
        <v>1759083</v>
      </c>
      <c r="AF74" s="889" t="s">
        <v>459</v>
      </c>
      <c r="AG74" s="889" t="s">
        <v>459</v>
      </c>
    </row>
    <row r="75" spans="2:33" x14ac:dyDescent="0.35">
      <c r="B75" s="75">
        <v>185000</v>
      </c>
      <c r="C75" s="68">
        <v>1.87</v>
      </c>
      <c r="D75" s="68">
        <v>1.44</v>
      </c>
      <c r="Z75" s="344">
        <v>2032</v>
      </c>
      <c r="AA75" s="344" t="s">
        <v>539</v>
      </c>
      <c r="AB75" s="344">
        <v>1</v>
      </c>
      <c r="AC75" s="344" t="s">
        <v>482</v>
      </c>
      <c r="AD75" s="1058" t="s">
        <v>540</v>
      </c>
      <c r="AE75" s="1059">
        <v>1230899</v>
      </c>
      <c r="AF75" s="889" t="s">
        <v>459</v>
      </c>
      <c r="AG75" s="889" t="s">
        <v>459</v>
      </c>
    </row>
    <row r="76" spans="2:33" x14ac:dyDescent="0.35">
      <c r="B76" s="75">
        <v>190000</v>
      </c>
      <c r="C76" s="68">
        <v>1.87</v>
      </c>
      <c r="D76" s="68">
        <v>1.44</v>
      </c>
      <c r="Z76" s="344">
        <v>2033</v>
      </c>
      <c r="AA76" s="344" t="s">
        <v>539</v>
      </c>
      <c r="AB76" s="344">
        <v>1</v>
      </c>
      <c r="AC76" s="344" t="s">
        <v>482</v>
      </c>
      <c r="AD76" s="1058" t="s">
        <v>540</v>
      </c>
      <c r="AE76" s="1059">
        <v>1766292</v>
      </c>
      <c r="AF76" s="889" t="s">
        <v>459</v>
      </c>
      <c r="AG76" s="889" t="s">
        <v>459</v>
      </c>
    </row>
    <row r="77" spans="2:33" x14ac:dyDescent="0.35">
      <c r="B77" s="75">
        <v>195000</v>
      </c>
      <c r="C77" s="68">
        <v>1.87</v>
      </c>
      <c r="D77" s="68">
        <v>1.44</v>
      </c>
      <c r="Z77" s="344">
        <v>2034</v>
      </c>
      <c r="AA77" s="344" t="s">
        <v>539</v>
      </c>
      <c r="AB77" s="344">
        <v>1</v>
      </c>
      <c r="AC77" s="344" t="s">
        <v>482</v>
      </c>
      <c r="AD77" s="1058" t="s">
        <v>540</v>
      </c>
      <c r="AE77" s="1059">
        <v>1771335</v>
      </c>
      <c r="AF77" s="889" t="s">
        <v>459</v>
      </c>
      <c r="AG77" s="889" t="s">
        <v>459</v>
      </c>
    </row>
    <row r="78" spans="2:33" x14ac:dyDescent="0.35">
      <c r="B78" s="75">
        <v>200000</v>
      </c>
      <c r="C78" s="68">
        <v>1.87</v>
      </c>
      <c r="D78" s="68">
        <v>1.44</v>
      </c>
      <c r="Z78" s="344">
        <v>2035</v>
      </c>
      <c r="AA78" s="344" t="s">
        <v>539</v>
      </c>
      <c r="AB78" s="344">
        <v>1</v>
      </c>
      <c r="AC78" s="344" t="s">
        <v>482</v>
      </c>
      <c r="AD78" s="1058" t="s">
        <v>540</v>
      </c>
      <c r="AE78" s="1059">
        <v>1240217</v>
      </c>
      <c r="AF78" s="889" t="s">
        <v>459</v>
      </c>
      <c r="AG78" s="889" t="s">
        <v>459</v>
      </c>
    </row>
    <row r="79" spans="2:33" x14ac:dyDescent="0.35">
      <c r="B79" s="75">
        <v>205000</v>
      </c>
      <c r="C79" s="68">
        <v>1.87</v>
      </c>
      <c r="D79" s="68">
        <v>1.44</v>
      </c>
      <c r="Z79" s="344">
        <v>2036</v>
      </c>
      <c r="AA79" s="344" t="s">
        <v>539</v>
      </c>
      <c r="AB79" s="344">
        <v>1</v>
      </c>
      <c r="AC79" s="344" t="s">
        <v>482</v>
      </c>
      <c r="AD79" s="1058" t="s">
        <v>540</v>
      </c>
      <c r="AE79" s="1059">
        <v>1237994</v>
      </c>
      <c r="AF79" s="889" t="s">
        <v>459</v>
      </c>
      <c r="AG79" s="889" t="s">
        <v>459</v>
      </c>
    </row>
    <row r="80" spans="2:33" x14ac:dyDescent="0.35">
      <c r="B80" s="75">
        <v>210000</v>
      </c>
      <c r="C80" s="68">
        <v>1.87</v>
      </c>
      <c r="D80" s="68">
        <v>1.44</v>
      </c>
      <c r="Z80" s="344">
        <v>2037</v>
      </c>
      <c r="AA80" s="344" t="s">
        <v>539</v>
      </c>
      <c r="AB80" s="344">
        <v>1</v>
      </c>
      <c r="AC80" s="344" t="s">
        <v>482</v>
      </c>
      <c r="AD80" s="1058" t="s">
        <v>540</v>
      </c>
      <c r="AE80" s="1059">
        <v>1155697</v>
      </c>
      <c r="AF80" s="889" t="s">
        <v>459</v>
      </c>
      <c r="AG80" s="889" t="s">
        <v>460</v>
      </c>
    </row>
    <row r="81" spans="2:33" x14ac:dyDescent="0.35">
      <c r="B81" s="75">
        <v>215000</v>
      </c>
      <c r="C81" s="68">
        <v>1.87</v>
      </c>
      <c r="D81" s="68">
        <v>1.44</v>
      </c>
      <c r="Z81" s="344">
        <v>2038</v>
      </c>
      <c r="AA81" s="344" t="s">
        <v>539</v>
      </c>
      <c r="AB81" s="344">
        <v>1</v>
      </c>
      <c r="AC81" s="344" t="s">
        <v>482</v>
      </c>
      <c r="AD81" s="1058" t="s">
        <v>540</v>
      </c>
      <c r="AE81" s="1059">
        <v>1138931</v>
      </c>
      <c r="AF81" s="889" t="s">
        <v>459</v>
      </c>
      <c r="AG81" s="889" t="s">
        <v>459</v>
      </c>
    </row>
    <row r="82" spans="2:33" x14ac:dyDescent="0.35">
      <c r="B82" s="75">
        <v>220000</v>
      </c>
      <c r="C82" s="68">
        <v>1.87</v>
      </c>
      <c r="D82" s="68">
        <v>1.44</v>
      </c>
      <c r="Z82" s="344">
        <v>2039</v>
      </c>
      <c r="AA82" s="344" t="s">
        <v>539</v>
      </c>
      <c r="AB82" s="344">
        <v>1</v>
      </c>
      <c r="AC82" s="344" t="s">
        <v>482</v>
      </c>
      <c r="AD82" s="1058" t="s">
        <v>540</v>
      </c>
      <c r="AE82" s="1059">
        <v>1176041</v>
      </c>
      <c r="AF82" s="889" t="s">
        <v>459</v>
      </c>
      <c r="AG82" s="889" t="s">
        <v>459</v>
      </c>
    </row>
    <row r="83" spans="2:33" x14ac:dyDescent="0.35">
      <c r="B83" s="75">
        <v>225000</v>
      </c>
      <c r="C83" s="68">
        <v>1.87</v>
      </c>
      <c r="D83" s="68">
        <v>1.44</v>
      </c>
      <c r="Z83" s="344">
        <v>2040</v>
      </c>
      <c r="AA83" s="344" t="s">
        <v>539</v>
      </c>
      <c r="AB83" s="344">
        <v>1</v>
      </c>
      <c r="AC83" s="344" t="s">
        <v>482</v>
      </c>
      <c r="AD83" s="1058" t="s">
        <v>540</v>
      </c>
      <c r="AE83" s="1059">
        <v>1135419</v>
      </c>
      <c r="AF83" s="889" t="s">
        <v>459</v>
      </c>
      <c r="AG83" s="889" t="s">
        <v>459</v>
      </c>
    </row>
    <row r="84" spans="2:33" x14ac:dyDescent="0.35">
      <c r="B84" s="75">
        <v>230000</v>
      </c>
      <c r="C84" s="68">
        <v>1.87</v>
      </c>
      <c r="D84" s="68">
        <v>1.44</v>
      </c>
      <c r="Z84" s="344">
        <v>2041</v>
      </c>
      <c r="AA84" s="344" t="s">
        <v>539</v>
      </c>
      <c r="AB84" s="344">
        <v>1</v>
      </c>
      <c r="AC84" s="344" t="s">
        <v>482</v>
      </c>
      <c r="AD84" s="1058" t="s">
        <v>540</v>
      </c>
      <c r="AE84" s="1059">
        <v>1778409</v>
      </c>
      <c r="AF84" s="889" t="s">
        <v>459</v>
      </c>
      <c r="AG84" s="889" t="s">
        <v>459</v>
      </c>
    </row>
    <row r="85" spans="2:33" x14ac:dyDescent="0.35">
      <c r="B85" s="75">
        <v>235000</v>
      </c>
      <c r="C85" s="68">
        <v>1.87</v>
      </c>
      <c r="D85" s="68">
        <v>1.44</v>
      </c>
      <c r="Z85" s="344">
        <v>2042</v>
      </c>
      <c r="AA85" s="344" t="s">
        <v>539</v>
      </c>
      <c r="AB85" s="344">
        <v>1</v>
      </c>
      <c r="AC85" s="344" t="s">
        <v>482</v>
      </c>
      <c r="AD85" s="1058" t="s">
        <v>540</v>
      </c>
      <c r="AE85" s="1059">
        <v>1023598</v>
      </c>
      <c r="AF85" s="889" t="s">
        <v>459</v>
      </c>
      <c r="AG85" s="889" t="s">
        <v>459</v>
      </c>
    </row>
    <row r="86" spans="2:33" x14ac:dyDescent="0.35">
      <c r="B86" s="75">
        <v>240000</v>
      </c>
      <c r="C86" s="68">
        <v>1.87</v>
      </c>
      <c r="D86" s="68">
        <v>1.44</v>
      </c>
      <c r="Z86" s="344">
        <v>2043</v>
      </c>
      <c r="AA86" s="344" t="s">
        <v>539</v>
      </c>
      <c r="AB86" s="344">
        <v>1</v>
      </c>
      <c r="AC86" s="344" t="s">
        <v>482</v>
      </c>
      <c r="AD86" s="1058" t="s">
        <v>540</v>
      </c>
      <c r="AE86" s="1059">
        <v>986211</v>
      </c>
      <c r="AF86" s="889" t="s">
        <v>459</v>
      </c>
      <c r="AG86" s="889" t="s">
        <v>459</v>
      </c>
    </row>
    <row r="87" spans="2:33" x14ac:dyDescent="0.35">
      <c r="B87" s="75">
        <v>245000</v>
      </c>
      <c r="C87" s="68">
        <v>1.87</v>
      </c>
      <c r="D87" s="68">
        <v>1.44</v>
      </c>
      <c r="Z87" s="344">
        <v>2044</v>
      </c>
      <c r="AA87" s="344" t="s">
        <v>539</v>
      </c>
      <c r="AB87" s="344">
        <v>1</v>
      </c>
      <c r="AC87" s="344" t="s">
        <v>479</v>
      </c>
      <c r="AD87" s="1058" t="s">
        <v>540</v>
      </c>
      <c r="AE87" s="1059">
        <v>864882</v>
      </c>
      <c r="AF87" s="889" t="s">
        <v>459</v>
      </c>
      <c r="AG87" s="889" t="s">
        <v>459</v>
      </c>
    </row>
    <row r="88" spans="2:33" x14ac:dyDescent="0.35">
      <c r="B88" s="75">
        <v>250000</v>
      </c>
      <c r="C88" s="68">
        <v>1.87</v>
      </c>
      <c r="D88" s="68">
        <v>1.44</v>
      </c>
      <c r="Z88" s="344">
        <v>2045</v>
      </c>
      <c r="AA88" s="344" t="s">
        <v>539</v>
      </c>
      <c r="AB88" s="344">
        <v>1</v>
      </c>
      <c r="AC88" s="344" t="s">
        <v>482</v>
      </c>
      <c r="AD88" s="1058" t="s">
        <v>540</v>
      </c>
      <c r="AE88" s="1059">
        <v>1622279</v>
      </c>
      <c r="AF88" s="889" t="s">
        <v>459</v>
      </c>
      <c r="AG88" s="889" t="s">
        <v>459</v>
      </c>
    </row>
    <row r="89" spans="2:33" x14ac:dyDescent="0.35">
      <c r="B89" s="75">
        <v>255000</v>
      </c>
      <c r="C89" s="68">
        <v>1.87</v>
      </c>
      <c r="D89" s="68">
        <v>1.44</v>
      </c>
      <c r="Z89" s="344">
        <v>2046</v>
      </c>
      <c r="AA89" s="344" t="s">
        <v>539</v>
      </c>
      <c r="AB89" s="344">
        <v>1</v>
      </c>
      <c r="AC89" s="344" t="s">
        <v>482</v>
      </c>
      <c r="AD89" s="1058" t="s">
        <v>540</v>
      </c>
      <c r="AE89" s="1059">
        <v>1496700</v>
      </c>
      <c r="AF89" s="889" t="s">
        <v>459</v>
      </c>
      <c r="AG89" s="889" t="s">
        <v>459</v>
      </c>
    </row>
    <row r="90" spans="2:33" x14ac:dyDescent="0.35">
      <c r="B90" s="75">
        <v>260000</v>
      </c>
      <c r="C90" s="68">
        <v>1.87</v>
      </c>
      <c r="D90" s="68">
        <v>1.44</v>
      </c>
      <c r="Z90" s="344">
        <v>2047</v>
      </c>
      <c r="AA90" s="344" t="s">
        <v>539</v>
      </c>
      <c r="AB90" s="344">
        <v>1</v>
      </c>
      <c r="AC90" s="344" t="s">
        <v>482</v>
      </c>
      <c r="AD90" s="1058" t="s">
        <v>540</v>
      </c>
      <c r="AE90" s="1059">
        <v>1453178</v>
      </c>
      <c r="AF90" s="889" t="s">
        <v>459</v>
      </c>
      <c r="AG90" s="889" t="s">
        <v>459</v>
      </c>
    </row>
    <row r="91" spans="2:33" x14ac:dyDescent="0.35">
      <c r="B91" s="75">
        <v>265000</v>
      </c>
      <c r="C91" s="68">
        <v>1.87</v>
      </c>
      <c r="D91" s="68">
        <v>1.44</v>
      </c>
      <c r="Z91" s="344">
        <v>2048</v>
      </c>
      <c r="AA91" s="344" t="s">
        <v>539</v>
      </c>
      <c r="AB91" s="344">
        <v>1</v>
      </c>
      <c r="AC91" s="344" t="s">
        <v>482</v>
      </c>
      <c r="AD91" s="1058" t="s">
        <v>540</v>
      </c>
      <c r="AE91" s="1059">
        <v>1104556</v>
      </c>
      <c r="AF91" s="889" t="s">
        <v>459</v>
      </c>
      <c r="AG91" s="889" t="s">
        <v>459</v>
      </c>
    </row>
    <row r="92" spans="2:33" x14ac:dyDescent="0.35">
      <c r="B92" s="75">
        <v>270000</v>
      </c>
      <c r="C92" s="68">
        <v>1.87</v>
      </c>
      <c r="D92" s="68">
        <v>1.44</v>
      </c>
      <c r="Z92" s="344">
        <v>2049</v>
      </c>
      <c r="AA92" s="344" t="s">
        <v>539</v>
      </c>
      <c r="AB92" s="344">
        <v>1</v>
      </c>
      <c r="AC92" s="344" t="s">
        <v>482</v>
      </c>
      <c r="AD92" s="1058" t="s">
        <v>540</v>
      </c>
      <c r="AE92" s="1059">
        <v>1081360</v>
      </c>
      <c r="AF92" s="889" t="s">
        <v>459</v>
      </c>
      <c r="AG92" s="889" t="s">
        <v>459</v>
      </c>
    </row>
    <row r="93" spans="2:33" x14ac:dyDescent="0.35">
      <c r="B93" s="75">
        <v>275000</v>
      </c>
      <c r="C93" s="68">
        <v>1.87</v>
      </c>
      <c r="D93" s="68">
        <v>1.44</v>
      </c>
      <c r="Z93" s="344">
        <v>2050</v>
      </c>
      <c r="AA93" s="344" t="s">
        <v>539</v>
      </c>
      <c r="AB93" s="344">
        <v>1</v>
      </c>
      <c r="AC93" s="344" t="s">
        <v>482</v>
      </c>
      <c r="AD93" s="1058" t="s">
        <v>540</v>
      </c>
      <c r="AE93" s="1059">
        <v>1031947</v>
      </c>
      <c r="AF93" s="889" t="s">
        <v>459</v>
      </c>
      <c r="AG93" s="889" t="s">
        <v>459</v>
      </c>
    </row>
    <row r="94" spans="2:33" x14ac:dyDescent="0.35">
      <c r="B94" s="75">
        <v>280000</v>
      </c>
      <c r="C94" s="68">
        <v>1.87</v>
      </c>
      <c r="D94" s="68">
        <v>1.44</v>
      </c>
      <c r="Z94" s="344">
        <v>2051</v>
      </c>
      <c r="AA94" s="344" t="s">
        <v>539</v>
      </c>
      <c r="AB94" s="344">
        <v>1</v>
      </c>
      <c r="AC94" s="344" t="e">
        <v>#N/A</v>
      </c>
      <c r="AD94" s="1058" t="s">
        <v>540</v>
      </c>
      <c r="AE94" s="1059" t="e">
        <v>#N/A</v>
      </c>
      <c r="AF94" s="889" t="s">
        <v>459</v>
      </c>
      <c r="AG94" s="889" t="s">
        <v>459</v>
      </c>
    </row>
    <row r="95" spans="2:33" x14ac:dyDescent="0.35">
      <c r="B95" s="75">
        <v>285000</v>
      </c>
      <c r="C95" s="68">
        <v>1.87</v>
      </c>
      <c r="D95" s="68">
        <v>1.44</v>
      </c>
      <c r="Z95" s="344">
        <v>2052</v>
      </c>
      <c r="AA95" s="344" t="s">
        <v>539</v>
      </c>
      <c r="AB95" s="344">
        <v>1</v>
      </c>
      <c r="AC95" s="344" t="e">
        <v>#N/A</v>
      </c>
      <c r="AD95" s="1058" t="s">
        <v>540</v>
      </c>
      <c r="AE95" s="1059" t="e">
        <v>#N/A</v>
      </c>
      <c r="AF95" s="889" t="s">
        <v>459</v>
      </c>
      <c r="AG95" s="889" t="s">
        <v>459</v>
      </c>
    </row>
    <row r="96" spans="2:33" x14ac:dyDescent="0.35">
      <c r="B96" s="75">
        <v>290000</v>
      </c>
      <c r="C96" s="68">
        <v>1.87</v>
      </c>
      <c r="D96" s="68">
        <v>1.44</v>
      </c>
      <c r="Z96" s="344">
        <v>2053</v>
      </c>
      <c r="AA96" s="344" t="s">
        <v>539</v>
      </c>
      <c r="AB96" s="344">
        <v>1</v>
      </c>
      <c r="AC96" s="344" t="e">
        <v>#N/A</v>
      </c>
      <c r="AD96" s="1058" t="s">
        <v>540</v>
      </c>
      <c r="AE96" s="1059" t="e">
        <v>#N/A</v>
      </c>
      <c r="AF96" s="889" t="s">
        <v>459</v>
      </c>
      <c r="AG96" s="889" t="s">
        <v>459</v>
      </c>
    </row>
    <row r="97" spans="2:33" x14ac:dyDescent="0.35">
      <c r="B97" s="75">
        <v>295000</v>
      </c>
      <c r="C97" s="68">
        <v>1.87</v>
      </c>
      <c r="D97" s="68">
        <v>1.44</v>
      </c>
      <c r="Z97" s="344">
        <v>2054</v>
      </c>
      <c r="AA97" s="344" t="s">
        <v>539</v>
      </c>
      <c r="AB97" s="344">
        <v>1</v>
      </c>
      <c r="AC97" s="344" t="e">
        <v>#N/A</v>
      </c>
      <c r="AD97" s="1058" t="s">
        <v>540</v>
      </c>
      <c r="AE97" s="1059" t="e">
        <v>#N/A</v>
      </c>
      <c r="AF97" s="889" t="s">
        <v>459</v>
      </c>
      <c r="AG97" s="889" t="s">
        <v>459</v>
      </c>
    </row>
    <row r="98" spans="2:33" x14ac:dyDescent="0.35">
      <c r="B98" s="75">
        <v>300000</v>
      </c>
      <c r="C98" s="68">
        <v>1.87</v>
      </c>
      <c r="D98" s="68">
        <v>1.44</v>
      </c>
      <c r="Z98" s="344">
        <v>2055</v>
      </c>
      <c r="AA98" s="344" t="s">
        <v>539</v>
      </c>
      <c r="AB98" s="344">
        <v>1</v>
      </c>
      <c r="AC98" s="344" t="e">
        <v>#N/A</v>
      </c>
      <c r="AD98" s="1058" t="s">
        <v>540</v>
      </c>
      <c r="AE98" s="1059" t="e">
        <v>#N/A</v>
      </c>
      <c r="AF98" s="889" t="s">
        <v>459</v>
      </c>
      <c r="AG98" s="889" t="s">
        <v>459</v>
      </c>
    </row>
    <row r="99" spans="2:33" x14ac:dyDescent="0.35">
      <c r="B99" s="75">
        <v>305000</v>
      </c>
      <c r="C99" s="68">
        <v>1.87</v>
      </c>
      <c r="D99" s="68">
        <v>1.44</v>
      </c>
      <c r="Z99" s="344">
        <v>2056</v>
      </c>
      <c r="AA99" s="344" t="s">
        <v>539</v>
      </c>
      <c r="AB99" s="344">
        <v>1</v>
      </c>
      <c r="AC99" s="344" t="e">
        <v>#N/A</v>
      </c>
      <c r="AD99" s="1058" t="s">
        <v>540</v>
      </c>
      <c r="AE99" s="1059" t="e">
        <v>#N/A</v>
      </c>
      <c r="AF99" s="889" t="s">
        <v>459</v>
      </c>
      <c r="AG99" s="889" t="s">
        <v>459</v>
      </c>
    </row>
    <row r="100" spans="2:33" x14ac:dyDescent="0.35">
      <c r="B100" s="75">
        <v>310000</v>
      </c>
      <c r="C100" s="68">
        <v>1.87</v>
      </c>
      <c r="D100" s="68">
        <v>1.44</v>
      </c>
      <c r="Z100" s="344">
        <v>2057</v>
      </c>
      <c r="AA100" s="344" t="s">
        <v>539</v>
      </c>
      <c r="AB100" s="344">
        <v>1</v>
      </c>
      <c r="AC100" s="344" t="e">
        <v>#N/A</v>
      </c>
      <c r="AD100" s="1058" t="s">
        <v>540</v>
      </c>
      <c r="AE100" s="1059" t="e">
        <v>#N/A</v>
      </c>
      <c r="AF100" s="889" t="s">
        <v>459</v>
      </c>
      <c r="AG100" s="889" t="s">
        <v>459</v>
      </c>
    </row>
    <row r="101" spans="2:33" x14ac:dyDescent="0.35">
      <c r="B101" s="75">
        <v>315000</v>
      </c>
      <c r="C101" s="68">
        <v>1.87</v>
      </c>
      <c r="D101" s="68">
        <v>1.44</v>
      </c>
      <c r="Z101" s="344">
        <v>2058</v>
      </c>
      <c r="AA101" s="344" t="s">
        <v>539</v>
      </c>
      <c r="AB101" s="344">
        <v>1</v>
      </c>
      <c r="AC101" s="344" t="e">
        <v>#N/A</v>
      </c>
      <c r="AD101" s="1058" t="s">
        <v>540</v>
      </c>
      <c r="AE101" s="1059" t="e">
        <v>#N/A</v>
      </c>
      <c r="AF101" s="889" t="s">
        <v>459</v>
      </c>
      <c r="AG101" s="889" t="s">
        <v>459</v>
      </c>
    </row>
    <row r="102" spans="2:33" x14ac:dyDescent="0.35">
      <c r="B102" s="75">
        <v>320000</v>
      </c>
      <c r="C102" s="68">
        <v>1.87</v>
      </c>
      <c r="D102" s="68">
        <v>1.44</v>
      </c>
      <c r="Z102" s="344">
        <v>2059</v>
      </c>
      <c r="AA102" s="344" t="s">
        <v>539</v>
      </c>
      <c r="AB102" s="344">
        <v>1</v>
      </c>
      <c r="AC102" s="344" t="e">
        <v>#N/A</v>
      </c>
      <c r="AD102" s="1058" t="s">
        <v>540</v>
      </c>
      <c r="AE102" s="1059" t="e">
        <v>#N/A</v>
      </c>
      <c r="AF102" s="889" t="s">
        <v>459</v>
      </c>
      <c r="AG102" s="889" t="s">
        <v>459</v>
      </c>
    </row>
    <row r="103" spans="2:33" x14ac:dyDescent="0.35">
      <c r="B103" s="75">
        <v>325000</v>
      </c>
      <c r="C103" s="68">
        <v>1.87</v>
      </c>
      <c r="D103" s="68">
        <v>1.44</v>
      </c>
      <c r="Z103" s="344">
        <v>2060</v>
      </c>
      <c r="AA103" s="344" t="s">
        <v>539</v>
      </c>
      <c r="AB103" s="344">
        <v>1</v>
      </c>
      <c r="AC103" s="344" t="s">
        <v>482</v>
      </c>
      <c r="AD103" s="1058" t="s">
        <v>540</v>
      </c>
      <c r="AE103" s="1059">
        <v>2222881</v>
      </c>
      <c r="AF103" s="889" t="s">
        <v>459</v>
      </c>
      <c r="AG103" s="889" t="s">
        <v>459</v>
      </c>
    </row>
    <row r="104" spans="2:33" x14ac:dyDescent="0.35">
      <c r="B104" s="75">
        <v>330000</v>
      </c>
      <c r="C104" s="68">
        <v>1.87</v>
      </c>
      <c r="D104" s="68">
        <v>1.44</v>
      </c>
      <c r="Z104" s="344">
        <v>2061</v>
      </c>
      <c r="AA104" s="344" t="s">
        <v>539</v>
      </c>
      <c r="AB104" s="344">
        <v>1</v>
      </c>
      <c r="AC104" s="344" t="s">
        <v>482</v>
      </c>
      <c r="AD104" s="1058" t="s">
        <v>540</v>
      </c>
      <c r="AE104" s="1059">
        <v>1792624</v>
      </c>
      <c r="AF104" s="889" t="s">
        <v>459</v>
      </c>
      <c r="AG104" s="889" t="s">
        <v>459</v>
      </c>
    </row>
    <row r="105" spans="2:33" x14ac:dyDescent="0.35">
      <c r="B105" s="75">
        <v>335000</v>
      </c>
      <c r="C105" s="68">
        <v>1.87</v>
      </c>
      <c r="D105" s="68">
        <v>1.44</v>
      </c>
      <c r="Z105" s="344">
        <v>2062</v>
      </c>
      <c r="AA105" s="344" t="s">
        <v>539</v>
      </c>
      <c r="AB105" s="344">
        <v>1</v>
      </c>
      <c r="AC105" s="344" t="s">
        <v>482</v>
      </c>
      <c r="AD105" s="1058" t="s">
        <v>540</v>
      </c>
      <c r="AE105" s="1059">
        <v>1585319</v>
      </c>
      <c r="AF105" s="889" t="s">
        <v>459</v>
      </c>
      <c r="AG105" s="889" t="s">
        <v>459</v>
      </c>
    </row>
    <row r="106" spans="2:33" x14ac:dyDescent="0.35">
      <c r="B106" s="75">
        <v>340000</v>
      </c>
      <c r="C106" s="68">
        <v>1.87</v>
      </c>
      <c r="D106" s="68">
        <v>1.44</v>
      </c>
      <c r="Z106" s="344">
        <v>2063</v>
      </c>
      <c r="AA106" s="344" t="s">
        <v>539</v>
      </c>
      <c r="AB106" s="344">
        <v>1</v>
      </c>
      <c r="AC106" s="344" t="s">
        <v>482</v>
      </c>
      <c r="AD106" s="1058" t="s">
        <v>540</v>
      </c>
      <c r="AE106" s="1059">
        <v>2078832</v>
      </c>
      <c r="AF106" s="889" t="s">
        <v>459</v>
      </c>
      <c r="AG106" s="889" t="s">
        <v>459</v>
      </c>
    </row>
    <row r="107" spans="2:33" x14ac:dyDescent="0.35">
      <c r="B107" s="75">
        <v>345000</v>
      </c>
      <c r="C107" s="68">
        <v>1.87</v>
      </c>
      <c r="D107" s="68">
        <v>1.44</v>
      </c>
      <c r="Z107" s="344">
        <v>2064</v>
      </c>
      <c r="AA107" s="344" t="s">
        <v>539</v>
      </c>
      <c r="AB107" s="344">
        <v>1</v>
      </c>
      <c r="AC107" s="344" t="s">
        <v>482</v>
      </c>
      <c r="AD107" s="1058" t="s">
        <v>540</v>
      </c>
      <c r="AE107" s="1059">
        <v>1790223</v>
      </c>
      <c r="AF107" s="889" t="s">
        <v>459</v>
      </c>
      <c r="AG107" s="889" t="s">
        <v>459</v>
      </c>
    </row>
    <row r="108" spans="2:33" x14ac:dyDescent="0.35">
      <c r="B108" s="75">
        <v>350000</v>
      </c>
      <c r="C108" s="68">
        <v>1.87</v>
      </c>
      <c r="D108" s="68">
        <v>1.44</v>
      </c>
      <c r="Z108" s="344">
        <v>2065</v>
      </c>
      <c r="AA108" s="344" t="s">
        <v>539</v>
      </c>
      <c r="AB108" s="344">
        <v>1</v>
      </c>
      <c r="AC108" s="344" t="s">
        <v>482</v>
      </c>
      <c r="AD108" s="1058" t="s">
        <v>540</v>
      </c>
      <c r="AE108" s="1059">
        <v>1639537</v>
      </c>
      <c r="AF108" s="889" t="s">
        <v>459</v>
      </c>
      <c r="AG108" s="889" t="s">
        <v>459</v>
      </c>
    </row>
    <row r="109" spans="2:33" x14ac:dyDescent="0.35">
      <c r="B109" s="75">
        <v>355000</v>
      </c>
      <c r="C109" s="68">
        <v>1.87</v>
      </c>
      <c r="D109" s="68">
        <v>1.44</v>
      </c>
      <c r="Z109" s="344">
        <v>2066</v>
      </c>
      <c r="AA109" s="344" t="s">
        <v>539</v>
      </c>
      <c r="AB109" s="344">
        <v>1</v>
      </c>
      <c r="AC109" s="344" t="s">
        <v>482</v>
      </c>
      <c r="AD109" s="1058" t="s">
        <v>540</v>
      </c>
      <c r="AE109" s="1059">
        <v>1864950</v>
      </c>
      <c r="AF109" s="889" t="s">
        <v>459</v>
      </c>
      <c r="AG109" s="889" t="s">
        <v>269</v>
      </c>
    </row>
    <row r="110" spans="2:33" x14ac:dyDescent="0.35">
      <c r="B110" s="75">
        <v>360000</v>
      </c>
      <c r="C110" s="68">
        <v>1.87</v>
      </c>
      <c r="D110" s="68">
        <v>1.44</v>
      </c>
      <c r="Z110" s="344">
        <v>2067</v>
      </c>
      <c r="AA110" s="344" t="s">
        <v>539</v>
      </c>
      <c r="AB110" s="344">
        <v>1</v>
      </c>
      <c r="AC110" s="344" t="s">
        <v>482</v>
      </c>
      <c r="AD110" s="1058" t="s">
        <v>540</v>
      </c>
      <c r="AE110" s="1059">
        <v>1531795</v>
      </c>
      <c r="AF110" s="889" t="s">
        <v>459</v>
      </c>
      <c r="AG110" s="889" t="s">
        <v>460</v>
      </c>
    </row>
    <row r="111" spans="2:33" x14ac:dyDescent="0.35">
      <c r="B111" s="75">
        <v>365000</v>
      </c>
      <c r="C111" s="68">
        <v>1.87</v>
      </c>
      <c r="D111" s="68">
        <v>1.44</v>
      </c>
      <c r="Z111" s="344">
        <v>2068</v>
      </c>
      <c r="AA111" s="344" t="s">
        <v>539</v>
      </c>
      <c r="AB111" s="344">
        <v>1</v>
      </c>
      <c r="AC111" s="344" t="s">
        <v>482</v>
      </c>
      <c r="AD111" s="1058" t="s">
        <v>540</v>
      </c>
      <c r="AE111" s="1059">
        <v>1718031</v>
      </c>
      <c r="AF111" s="889" t="s">
        <v>459</v>
      </c>
      <c r="AG111" s="889" t="s">
        <v>459</v>
      </c>
    </row>
    <row r="112" spans="2:33" x14ac:dyDescent="0.35">
      <c r="B112" s="75">
        <v>370000</v>
      </c>
      <c r="C112" s="68">
        <v>1.87</v>
      </c>
      <c r="D112" s="68">
        <v>1.44</v>
      </c>
      <c r="Z112" s="344">
        <v>2069</v>
      </c>
      <c r="AA112" s="344" t="s">
        <v>539</v>
      </c>
      <c r="AB112" s="344">
        <v>1</v>
      </c>
      <c r="AC112" s="344" t="s">
        <v>482</v>
      </c>
      <c r="AD112" s="1058" t="s">
        <v>540</v>
      </c>
      <c r="AE112" s="1059">
        <v>1730591</v>
      </c>
      <c r="AF112" s="889" t="s">
        <v>459</v>
      </c>
      <c r="AG112" s="889" t="s">
        <v>459</v>
      </c>
    </row>
    <row r="113" spans="2:33" x14ac:dyDescent="0.35">
      <c r="B113" s="75">
        <v>375000</v>
      </c>
      <c r="C113" s="68">
        <v>1.87</v>
      </c>
      <c r="D113" s="68">
        <v>1.44</v>
      </c>
      <c r="Z113" s="344">
        <v>2070</v>
      </c>
      <c r="AA113" s="344" t="s">
        <v>539</v>
      </c>
      <c r="AB113" s="344">
        <v>1</v>
      </c>
      <c r="AC113" s="344" t="s">
        <v>482</v>
      </c>
      <c r="AD113" s="1058" t="s">
        <v>540</v>
      </c>
      <c r="AE113" s="1059">
        <v>1818053</v>
      </c>
      <c r="AF113" s="889" t="s">
        <v>459</v>
      </c>
      <c r="AG113" s="889" t="s">
        <v>459</v>
      </c>
    </row>
    <row r="114" spans="2:33" x14ac:dyDescent="0.35">
      <c r="B114" s="75">
        <v>380000</v>
      </c>
      <c r="C114" s="68">
        <v>1.87</v>
      </c>
      <c r="D114" s="68">
        <v>1.44</v>
      </c>
      <c r="Z114" s="344">
        <v>2071</v>
      </c>
      <c r="AA114" s="344" t="s">
        <v>539</v>
      </c>
      <c r="AB114" s="344">
        <v>1</v>
      </c>
      <c r="AC114" s="344" t="s">
        <v>482</v>
      </c>
      <c r="AD114" s="1058" t="s">
        <v>540</v>
      </c>
      <c r="AE114" s="1059">
        <v>1516999</v>
      </c>
      <c r="AF114" s="889" t="s">
        <v>459</v>
      </c>
      <c r="AG114" s="889" t="s">
        <v>459</v>
      </c>
    </row>
    <row r="115" spans="2:33" x14ac:dyDescent="0.35">
      <c r="B115" s="75">
        <v>385000</v>
      </c>
      <c r="C115" s="68">
        <v>1.87</v>
      </c>
      <c r="D115" s="68">
        <v>1.44</v>
      </c>
      <c r="Z115" s="344">
        <v>2072</v>
      </c>
      <c r="AA115" s="344" t="s">
        <v>539</v>
      </c>
      <c r="AB115" s="344">
        <v>1</v>
      </c>
      <c r="AC115" s="344" t="s">
        <v>482</v>
      </c>
      <c r="AD115" s="1058" t="s">
        <v>540</v>
      </c>
      <c r="AE115" s="1059">
        <v>1589339</v>
      </c>
      <c r="AF115" s="889" t="s">
        <v>459</v>
      </c>
      <c r="AG115" s="889" t="s">
        <v>459</v>
      </c>
    </row>
    <row r="116" spans="2:33" x14ac:dyDescent="0.35">
      <c r="B116" s="75">
        <v>390000</v>
      </c>
      <c r="C116" s="68">
        <v>1.87</v>
      </c>
      <c r="D116" s="68">
        <v>1.44</v>
      </c>
      <c r="Z116" s="344">
        <v>2073</v>
      </c>
      <c r="AA116" s="344" t="s">
        <v>539</v>
      </c>
      <c r="AB116" s="344">
        <v>1</v>
      </c>
      <c r="AC116" s="344" t="s">
        <v>482</v>
      </c>
      <c r="AD116" s="1058" t="s">
        <v>540</v>
      </c>
      <c r="AE116" s="1059">
        <v>1400982</v>
      </c>
      <c r="AF116" s="889" t="s">
        <v>459</v>
      </c>
      <c r="AG116" s="889" t="s">
        <v>459</v>
      </c>
    </row>
    <row r="117" spans="2:33" x14ac:dyDescent="0.35">
      <c r="B117" s="75">
        <v>395000</v>
      </c>
      <c r="C117" s="68">
        <v>1.87</v>
      </c>
      <c r="D117" s="68">
        <v>1.44</v>
      </c>
      <c r="Z117" s="344">
        <v>2074</v>
      </c>
      <c r="AA117" s="344" t="s">
        <v>539</v>
      </c>
      <c r="AB117" s="344">
        <v>1</v>
      </c>
      <c r="AC117" s="344" t="s">
        <v>482</v>
      </c>
      <c r="AD117" s="1058" t="s">
        <v>540</v>
      </c>
      <c r="AE117" s="1059">
        <v>1441883</v>
      </c>
      <c r="AF117" s="889" t="s">
        <v>459</v>
      </c>
      <c r="AG117" s="889" t="s">
        <v>459</v>
      </c>
    </row>
    <row r="118" spans="2:33" x14ac:dyDescent="0.35">
      <c r="B118" s="75">
        <v>400000</v>
      </c>
      <c r="C118" s="68">
        <v>1.87</v>
      </c>
      <c r="D118" s="68">
        <v>1.44</v>
      </c>
      <c r="Z118" s="344">
        <v>2075</v>
      </c>
      <c r="AA118" s="344" t="s">
        <v>539</v>
      </c>
      <c r="AB118" s="344">
        <v>1</v>
      </c>
      <c r="AC118" s="344" t="s">
        <v>482</v>
      </c>
      <c r="AD118" s="1058" t="s">
        <v>540</v>
      </c>
      <c r="AE118" s="1059">
        <v>1296831</v>
      </c>
      <c r="AF118" s="889" t="s">
        <v>459</v>
      </c>
      <c r="AG118" s="889" t="s">
        <v>459</v>
      </c>
    </row>
    <row r="119" spans="2:33" x14ac:dyDescent="0.35">
      <c r="B119" s="75">
        <v>405000</v>
      </c>
      <c r="C119" s="68">
        <v>1.87</v>
      </c>
      <c r="D119" s="68">
        <v>1.44</v>
      </c>
      <c r="Z119" s="344">
        <v>2076</v>
      </c>
      <c r="AA119" s="344" t="s">
        <v>539</v>
      </c>
      <c r="AB119" s="344">
        <v>1</v>
      </c>
      <c r="AC119" s="344" t="s">
        <v>482</v>
      </c>
      <c r="AD119" s="1058" t="s">
        <v>540</v>
      </c>
      <c r="AE119" s="1059">
        <v>1183043</v>
      </c>
      <c r="AF119" s="889" t="s">
        <v>459</v>
      </c>
      <c r="AG119" s="889" t="s">
        <v>459</v>
      </c>
    </row>
    <row r="120" spans="2:33" x14ac:dyDescent="0.35">
      <c r="B120" s="75">
        <v>410000</v>
      </c>
      <c r="C120" s="68">
        <v>1.87</v>
      </c>
      <c r="D120" s="68">
        <v>1.44</v>
      </c>
      <c r="Z120" s="344">
        <v>2077</v>
      </c>
      <c r="AA120" s="344" t="s">
        <v>539</v>
      </c>
      <c r="AB120" s="344">
        <v>1</v>
      </c>
      <c r="AC120" s="344" t="s">
        <v>482</v>
      </c>
      <c r="AD120" s="1058" t="s">
        <v>540</v>
      </c>
      <c r="AE120" s="1059">
        <v>933942</v>
      </c>
      <c r="AF120" s="889" t="s">
        <v>459</v>
      </c>
      <c r="AG120" s="889" t="s">
        <v>269</v>
      </c>
    </row>
    <row r="121" spans="2:33" x14ac:dyDescent="0.35">
      <c r="B121" s="75">
        <v>415000</v>
      </c>
      <c r="C121" s="68">
        <v>1.87</v>
      </c>
      <c r="D121" s="68">
        <v>1.44</v>
      </c>
      <c r="Z121" s="344">
        <v>2078</v>
      </c>
      <c r="AA121" s="344" t="s">
        <v>539</v>
      </c>
      <c r="AB121" s="344">
        <v>1</v>
      </c>
      <c r="AC121" s="344" t="e">
        <v>#N/A</v>
      </c>
      <c r="AD121" s="1058" t="s">
        <v>540</v>
      </c>
      <c r="AE121" s="1059" t="e">
        <v>#N/A</v>
      </c>
      <c r="AF121" s="889" t="s">
        <v>459</v>
      </c>
      <c r="AG121" s="889" t="s">
        <v>459</v>
      </c>
    </row>
    <row r="122" spans="2:33" x14ac:dyDescent="0.35">
      <c r="B122" s="75">
        <v>420000</v>
      </c>
      <c r="C122" s="68">
        <v>1.87</v>
      </c>
      <c r="D122" s="68">
        <v>1.44</v>
      </c>
      <c r="Z122" s="344">
        <v>2079</v>
      </c>
      <c r="AA122" s="344" t="s">
        <v>539</v>
      </c>
      <c r="AB122" s="344">
        <v>1</v>
      </c>
      <c r="AC122" s="344" t="s">
        <v>479</v>
      </c>
      <c r="AD122" s="1058" t="s">
        <v>540</v>
      </c>
      <c r="AE122" s="1059">
        <v>827137</v>
      </c>
      <c r="AF122" s="889" t="s">
        <v>459</v>
      </c>
      <c r="AG122" s="889" t="s">
        <v>459</v>
      </c>
    </row>
    <row r="123" spans="2:33" x14ac:dyDescent="0.35">
      <c r="B123" s="75">
        <v>425000</v>
      </c>
      <c r="C123" s="68">
        <v>1.87</v>
      </c>
      <c r="D123" s="68">
        <v>1.44</v>
      </c>
      <c r="Z123" s="344">
        <v>2080</v>
      </c>
      <c r="AA123" s="344" t="s">
        <v>539</v>
      </c>
      <c r="AB123" s="344">
        <v>1</v>
      </c>
      <c r="AC123" s="344" t="s">
        <v>479</v>
      </c>
      <c r="AD123" s="1058" t="s">
        <v>540</v>
      </c>
      <c r="AE123" s="1059">
        <v>787100</v>
      </c>
      <c r="AF123" s="889" t="s">
        <v>459</v>
      </c>
      <c r="AG123" s="889" t="s">
        <v>459</v>
      </c>
    </row>
    <row r="124" spans="2:33" x14ac:dyDescent="0.35">
      <c r="B124" s="75">
        <v>430000</v>
      </c>
      <c r="C124" s="68">
        <v>1.87</v>
      </c>
      <c r="D124" s="68">
        <v>1.44</v>
      </c>
      <c r="Z124" s="344">
        <v>2081</v>
      </c>
      <c r="AA124" s="344" t="s">
        <v>539</v>
      </c>
      <c r="AB124" s="344">
        <v>1</v>
      </c>
      <c r="AC124" s="344" t="s">
        <v>479</v>
      </c>
      <c r="AD124" s="1058" t="s">
        <v>540</v>
      </c>
      <c r="AE124" s="1059">
        <v>775784</v>
      </c>
      <c r="AF124" s="889" t="s">
        <v>459</v>
      </c>
      <c r="AG124" s="889" t="s">
        <v>459</v>
      </c>
    </row>
    <row r="125" spans="2:33" x14ac:dyDescent="0.35">
      <c r="B125" s="75">
        <v>435000</v>
      </c>
      <c r="C125" s="68">
        <v>1.87</v>
      </c>
      <c r="D125" s="68">
        <v>1.44</v>
      </c>
      <c r="Z125" s="344">
        <v>2082</v>
      </c>
      <c r="AA125" s="344" t="s">
        <v>539</v>
      </c>
      <c r="AB125" s="344">
        <v>1</v>
      </c>
      <c r="AC125" s="344" t="s">
        <v>457</v>
      </c>
      <c r="AD125" s="1058" t="s">
        <v>540</v>
      </c>
      <c r="AE125" s="1059">
        <v>738138</v>
      </c>
      <c r="AF125" s="889" t="s">
        <v>459</v>
      </c>
      <c r="AG125" s="889" t="s">
        <v>459</v>
      </c>
    </row>
    <row r="126" spans="2:33" x14ac:dyDescent="0.35">
      <c r="B126" s="75">
        <v>440000</v>
      </c>
      <c r="C126" s="68">
        <v>1.87</v>
      </c>
      <c r="D126" s="68">
        <v>1.44</v>
      </c>
      <c r="Z126" s="344">
        <v>2083</v>
      </c>
      <c r="AA126" s="344" t="s">
        <v>539</v>
      </c>
      <c r="AB126" s="344">
        <v>1</v>
      </c>
      <c r="AC126" s="344" t="s">
        <v>457</v>
      </c>
      <c r="AD126" s="1058" t="s">
        <v>540</v>
      </c>
      <c r="AE126" s="1059">
        <v>638716</v>
      </c>
      <c r="AF126" s="889" t="s">
        <v>459</v>
      </c>
      <c r="AG126" s="889" t="s">
        <v>459</v>
      </c>
    </row>
    <row r="127" spans="2:33" x14ac:dyDescent="0.35">
      <c r="B127" s="75">
        <v>445000</v>
      </c>
      <c r="C127" s="68">
        <v>1.87</v>
      </c>
      <c r="D127" s="68">
        <v>1.44</v>
      </c>
      <c r="Z127" s="344">
        <v>2084</v>
      </c>
      <c r="AA127" s="344" t="s">
        <v>539</v>
      </c>
      <c r="AB127" s="344">
        <v>1</v>
      </c>
      <c r="AC127" s="344" t="s">
        <v>482</v>
      </c>
      <c r="AD127" s="1058" t="s">
        <v>540</v>
      </c>
      <c r="AE127" s="1059">
        <v>2078046</v>
      </c>
      <c r="AF127" s="889" t="s">
        <v>459</v>
      </c>
      <c r="AG127" s="889" t="s">
        <v>459</v>
      </c>
    </row>
    <row r="128" spans="2:33" x14ac:dyDescent="0.35">
      <c r="B128" s="75">
        <v>450000</v>
      </c>
      <c r="C128" s="68">
        <v>1.87</v>
      </c>
      <c r="D128" s="68">
        <v>1.44</v>
      </c>
      <c r="Z128" s="344">
        <v>2085</v>
      </c>
      <c r="AA128" s="344" t="s">
        <v>539</v>
      </c>
      <c r="AB128" s="344">
        <v>1</v>
      </c>
      <c r="AC128" s="344" t="s">
        <v>482</v>
      </c>
      <c r="AD128" s="1058" t="s">
        <v>540</v>
      </c>
      <c r="AE128" s="1059">
        <v>1123306</v>
      </c>
      <c r="AF128" s="889" t="s">
        <v>459</v>
      </c>
      <c r="AG128" s="889" t="s">
        <v>459</v>
      </c>
    </row>
    <row r="129" spans="2:33" x14ac:dyDescent="0.35">
      <c r="B129" s="75">
        <v>455000</v>
      </c>
      <c r="C129" s="68">
        <v>1.87</v>
      </c>
      <c r="D129" s="68">
        <v>1.44</v>
      </c>
      <c r="Z129" s="344">
        <v>2086</v>
      </c>
      <c r="AA129" s="344" t="s">
        <v>539</v>
      </c>
      <c r="AB129" s="344">
        <v>1</v>
      </c>
      <c r="AC129" s="344" t="s">
        <v>482</v>
      </c>
      <c r="AD129" s="1058" t="s">
        <v>540</v>
      </c>
      <c r="AE129" s="1059">
        <v>1081591</v>
      </c>
      <c r="AF129" s="889" t="s">
        <v>459</v>
      </c>
      <c r="AG129" s="889" t="s">
        <v>459</v>
      </c>
    </row>
    <row r="130" spans="2:33" x14ac:dyDescent="0.35">
      <c r="B130" s="75">
        <v>460000</v>
      </c>
      <c r="C130" s="68">
        <v>1.87</v>
      </c>
      <c r="D130" s="68">
        <v>1.44</v>
      </c>
      <c r="Z130" s="344">
        <v>2087</v>
      </c>
      <c r="AA130" s="344" t="s">
        <v>539</v>
      </c>
      <c r="AB130" s="344">
        <v>1</v>
      </c>
      <c r="AC130" s="344" t="s">
        <v>482</v>
      </c>
      <c r="AD130" s="1058" t="s">
        <v>540</v>
      </c>
      <c r="AE130" s="1059">
        <v>1263291</v>
      </c>
      <c r="AF130" s="889" t="s">
        <v>459</v>
      </c>
      <c r="AG130" s="889" t="s">
        <v>459</v>
      </c>
    </row>
    <row r="131" spans="2:33" x14ac:dyDescent="0.35">
      <c r="B131" s="75">
        <v>465000</v>
      </c>
      <c r="C131" s="68">
        <v>1.87</v>
      </c>
      <c r="D131" s="68">
        <v>1.44</v>
      </c>
      <c r="Z131" s="344">
        <v>2088</v>
      </c>
      <c r="AA131" s="344" t="s">
        <v>539</v>
      </c>
      <c r="AB131" s="344">
        <v>1</v>
      </c>
      <c r="AC131" s="344" t="s">
        <v>482</v>
      </c>
      <c r="AD131" s="1058" t="s">
        <v>540</v>
      </c>
      <c r="AE131" s="1059">
        <v>2653946</v>
      </c>
      <c r="AF131" s="889" t="s">
        <v>459</v>
      </c>
      <c r="AG131" s="889" t="s">
        <v>459</v>
      </c>
    </row>
    <row r="132" spans="2:33" x14ac:dyDescent="0.35">
      <c r="B132" s="75">
        <v>470000</v>
      </c>
      <c r="C132" s="68">
        <v>1.87</v>
      </c>
      <c r="D132" s="68">
        <v>1.44</v>
      </c>
      <c r="Z132" s="344">
        <v>2089</v>
      </c>
      <c r="AA132" s="344" t="s">
        <v>539</v>
      </c>
      <c r="AB132" s="344">
        <v>1</v>
      </c>
      <c r="AC132" s="344" t="s">
        <v>482</v>
      </c>
      <c r="AD132" s="1058" t="s">
        <v>540</v>
      </c>
      <c r="AE132" s="1059">
        <v>1278751</v>
      </c>
      <c r="AF132" s="889" t="s">
        <v>459</v>
      </c>
      <c r="AG132" s="889" t="s">
        <v>459</v>
      </c>
    </row>
    <row r="133" spans="2:33" x14ac:dyDescent="0.35">
      <c r="B133" s="75">
        <v>475000</v>
      </c>
      <c r="C133" s="68">
        <v>1.87</v>
      </c>
      <c r="D133" s="68">
        <v>1.44</v>
      </c>
      <c r="Z133" s="344">
        <v>2090</v>
      </c>
      <c r="AA133" s="344" t="s">
        <v>539</v>
      </c>
      <c r="AB133" s="344">
        <v>1</v>
      </c>
      <c r="AC133" s="344" t="s">
        <v>482</v>
      </c>
      <c r="AD133" s="1058" t="s">
        <v>540</v>
      </c>
      <c r="AE133" s="1059">
        <v>2973146</v>
      </c>
      <c r="AF133" s="889" t="s">
        <v>459</v>
      </c>
      <c r="AG133" s="889" t="s">
        <v>459</v>
      </c>
    </row>
    <row r="134" spans="2:33" x14ac:dyDescent="0.35">
      <c r="B134" s="75">
        <v>480000</v>
      </c>
      <c r="C134" s="68">
        <v>1.87</v>
      </c>
      <c r="D134" s="68">
        <v>1.44</v>
      </c>
      <c r="Z134" s="344">
        <v>2091</v>
      </c>
      <c r="AA134" s="344" t="s">
        <v>539</v>
      </c>
      <c r="AB134" s="344">
        <v>1</v>
      </c>
      <c r="AC134" s="344" t="e">
        <v>#N/A</v>
      </c>
      <c r="AD134" s="1058" t="s">
        <v>540</v>
      </c>
      <c r="AE134" s="1059" t="e">
        <v>#N/A</v>
      </c>
      <c r="AF134" s="889" t="s">
        <v>459</v>
      </c>
      <c r="AG134" s="889" t="s">
        <v>459</v>
      </c>
    </row>
    <row r="135" spans="2:33" x14ac:dyDescent="0.35">
      <c r="B135" s="75">
        <v>485000</v>
      </c>
      <c r="C135" s="68">
        <v>1.87</v>
      </c>
      <c r="D135" s="68">
        <v>1.44</v>
      </c>
      <c r="Z135" s="344">
        <v>2092</v>
      </c>
      <c r="AA135" s="344" t="s">
        <v>539</v>
      </c>
      <c r="AB135" s="344">
        <v>1</v>
      </c>
      <c r="AC135" s="344" t="s">
        <v>482</v>
      </c>
      <c r="AD135" s="1058" t="s">
        <v>540</v>
      </c>
      <c r="AE135" s="1059">
        <v>1628884</v>
      </c>
      <c r="AF135" s="889" t="s">
        <v>459</v>
      </c>
      <c r="AG135" s="889" t="s">
        <v>459</v>
      </c>
    </row>
    <row r="136" spans="2:33" x14ac:dyDescent="0.35">
      <c r="B136" s="75">
        <v>490000</v>
      </c>
      <c r="C136" s="68">
        <v>1.87</v>
      </c>
      <c r="D136" s="68">
        <v>1.44</v>
      </c>
      <c r="Z136" s="344">
        <v>2093</v>
      </c>
      <c r="AA136" s="344" t="s">
        <v>539</v>
      </c>
      <c r="AB136" s="344">
        <v>1</v>
      </c>
      <c r="AC136" s="344" t="s">
        <v>482</v>
      </c>
      <c r="AD136" s="1058" t="s">
        <v>540</v>
      </c>
      <c r="AE136" s="1059">
        <v>1815403</v>
      </c>
      <c r="AF136" s="889" t="s">
        <v>459</v>
      </c>
      <c r="AG136" s="889" t="s">
        <v>459</v>
      </c>
    </row>
    <row r="137" spans="2:33" x14ac:dyDescent="0.35">
      <c r="B137" s="75">
        <v>495000</v>
      </c>
      <c r="C137" s="68">
        <v>1.87</v>
      </c>
      <c r="D137" s="68">
        <v>1.44</v>
      </c>
      <c r="Z137" s="344">
        <v>2094</v>
      </c>
      <c r="AA137" s="344" t="s">
        <v>539</v>
      </c>
      <c r="AB137" s="344">
        <v>1</v>
      </c>
      <c r="AC137" s="344" t="s">
        <v>482</v>
      </c>
      <c r="AD137" s="1058" t="s">
        <v>540</v>
      </c>
      <c r="AE137" s="1059">
        <v>1489580</v>
      </c>
      <c r="AF137" s="889" t="s">
        <v>459</v>
      </c>
      <c r="AG137" s="889" t="s">
        <v>459</v>
      </c>
    </row>
    <row r="138" spans="2:33" x14ac:dyDescent="0.35">
      <c r="B138" s="75">
        <v>500000</v>
      </c>
      <c r="C138" s="68">
        <v>1.87</v>
      </c>
      <c r="D138" s="68">
        <v>1.44</v>
      </c>
      <c r="Z138" s="344">
        <v>2095</v>
      </c>
      <c r="AA138" s="344" t="s">
        <v>539</v>
      </c>
      <c r="AB138" s="344">
        <v>1</v>
      </c>
      <c r="AC138" s="344" t="s">
        <v>482</v>
      </c>
      <c r="AD138" s="1058" t="s">
        <v>540</v>
      </c>
      <c r="AE138" s="1059">
        <v>1846930</v>
      </c>
      <c r="AF138" s="889" t="s">
        <v>459</v>
      </c>
      <c r="AG138" s="889" t="s">
        <v>459</v>
      </c>
    </row>
    <row r="139" spans="2:33" ht="13.15" x14ac:dyDescent="0.4">
      <c r="D139" s="41"/>
      <c r="Z139" s="344">
        <v>2096</v>
      </c>
      <c r="AA139" s="344" t="s">
        <v>539</v>
      </c>
      <c r="AB139" s="344">
        <v>1</v>
      </c>
      <c r="AC139" s="344" t="s">
        <v>482</v>
      </c>
      <c r="AD139" s="1058" t="s">
        <v>540</v>
      </c>
      <c r="AE139" s="1059">
        <v>1586700</v>
      </c>
      <c r="AF139" s="889" t="s">
        <v>459</v>
      </c>
      <c r="AG139" s="889" t="s">
        <v>459</v>
      </c>
    </row>
    <row r="140" spans="2:33" ht="13.15" x14ac:dyDescent="0.4">
      <c r="D140" s="41"/>
      <c r="Z140" s="344">
        <v>2097</v>
      </c>
      <c r="AA140" s="344" t="s">
        <v>539</v>
      </c>
      <c r="AB140" s="344">
        <v>1</v>
      </c>
      <c r="AC140" s="344" t="s">
        <v>482</v>
      </c>
      <c r="AD140" s="1058" t="s">
        <v>540</v>
      </c>
      <c r="AE140" s="1059">
        <v>1330524</v>
      </c>
      <c r="AF140" s="889" t="s">
        <v>459</v>
      </c>
      <c r="AG140" s="889" t="s">
        <v>459</v>
      </c>
    </row>
    <row r="141" spans="2:33" ht="13.15" x14ac:dyDescent="0.4">
      <c r="D141" s="41"/>
      <c r="Z141" s="344">
        <v>2098</v>
      </c>
      <c r="AA141" s="344" t="s">
        <v>539</v>
      </c>
      <c r="AB141" s="344">
        <v>1</v>
      </c>
      <c r="AC141" s="344" t="e">
        <v>#N/A</v>
      </c>
      <c r="AD141" s="1058" t="s">
        <v>540</v>
      </c>
      <c r="AE141" s="1059" t="e">
        <v>#N/A</v>
      </c>
      <c r="AF141" s="889" t="s">
        <v>459</v>
      </c>
      <c r="AG141" s="889" t="s">
        <v>459</v>
      </c>
    </row>
    <row r="142" spans="2:33" ht="13.15" x14ac:dyDescent="0.4">
      <c r="D142" s="41"/>
      <c r="Z142" s="344">
        <v>2099</v>
      </c>
      <c r="AA142" s="344" t="s">
        <v>539</v>
      </c>
      <c r="AB142" s="344">
        <v>1</v>
      </c>
      <c r="AC142" s="344" t="s">
        <v>482</v>
      </c>
      <c r="AD142" s="1058" t="s">
        <v>540</v>
      </c>
      <c r="AE142" s="1059">
        <v>1155122</v>
      </c>
      <c r="AF142" s="889" t="s">
        <v>459</v>
      </c>
      <c r="AG142" s="889" t="s">
        <v>459</v>
      </c>
    </row>
    <row r="143" spans="2:33" x14ac:dyDescent="0.35">
      <c r="Z143" s="344">
        <v>2100</v>
      </c>
      <c r="AA143" s="344" t="s">
        <v>539</v>
      </c>
      <c r="AB143" s="344">
        <v>1</v>
      </c>
      <c r="AC143" s="344" t="s">
        <v>482</v>
      </c>
      <c r="AD143" s="1058" t="s">
        <v>540</v>
      </c>
      <c r="AE143" s="1059">
        <v>1053381</v>
      </c>
      <c r="AF143" s="889" t="s">
        <v>459</v>
      </c>
      <c r="AG143" s="889" t="s">
        <v>459</v>
      </c>
    </row>
    <row r="144" spans="2:33" x14ac:dyDescent="0.35">
      <c r="Z144" s="344">
        <v>2101</v>
      </c>
      <c r="AA144" s="344" t="s">
        <v>539</v>
      </c>
      <c r="AB144" s="344">
        <v>1</v>
      </c>
      <c r="AC144" s="344" t="s">
        <v>482</v>
      </c>
      <c r="AD144" s="1058" t="s">
        <v>540</v>
      </c>
      <c r="AE144" s="1059">
        <v>1362378</v>
      </c>
      <c r="AF144" s="889" t="s">
        <v>459</v>
      </c>
      <c r="AG144" s="889" t="s">
        <v>459</v>
      </c>
    </row>
    <row r="145" spans="26:33" x14ac:dyDescent="0.35">
      <c r="Z145" s="344">
        <v>2102</v>
      </c>
      <c r="AA145" s="344" t="s">
        <v>539</v>
      </c>
      <c r="AB145" s="344">
        <v>1</v>
      </c>
      <c r="AC145" s="344" t="s">
        <v>482</v>
      </c>
      <c r="AD145" s="1058" t="s">
        <v>540</v>
      </c>
      <c r="AE145" s="1059">
        <v>1112849</v>
      </c>
      <c r="AF145" s="889" t="s">
        <v>459</v>
      </c>
      <c r="AG145" s="889" t="s">
        <v>459</v>
      </c>
    </row>
    <row r="146" spans="26:33" x14ac:dyDescent="0.35">
      <c r="Z146" s="344">
        <v>2103</v>
      </c>
      <c r="AA146" s="344" t="s">
        <v>539</v>
      </c>
      <c r="AB146" s="344">
        <v>1</v>
      </c>
      <c r="AC146" s="344" t="s">
        <v>482</v>
      </c>
      <c r="AD146" s="1058" t="s">
        <v>540</v>
      </c>
      <c r="AE146" s="1059">
        <v>1148502</v>
      </c>
      <c r="AF146" s="889" t="s">
        <v>459</v>
      </c>
      <c r="AG146" s="889" t="s">
        <v>459</v>
      </c>
    </row>
    <row r="147" spans="26:33" x14ac:dyDescent="0.35">
      <c r="Z147" s="344">
        <v>2104</v>
      </c>
      <c r="AA147" s="344" t="s">
        <v>539</v>
      </c>
      <c r="AB147" s="344">
        <v>1</v>
      </c>
      <c r="AC147" s="344" t="s">
        <v>482</v>
      </c>
      <c r="AD147" s="1058" t="s">
        <v>540</v>
      </c>
      <c r="AE147" s="1059">
        <v>1656867</v>
      </c>
      <c r="AF147" s="889" t="s">
        <v>459</v>
      </c>
      <c r="AG147" s="889" t="s">
        <v>459</v>
      </c>
    </row>
    <row r="148" spans="26:33" x14ac:dyDescent="0.35">
      <c r="Z148" s="344">
        <v>2105</v>
      </c>
      <c r="AA148" s="344" t="s">
        <v>539</v>
      </c>
      <c r="AB148" s="344">
        <v>1</v>
      </c>
      <c r="AC148" s="344" t="s">
        <v>482</v>
      </c>
      <c r="AD148" s="1058" t="s">
        <v>540</v>
      </c>
      <c r="AE148" s="1059">
        <v>1285508</v>
      </c>
      <c r="AF148" s="889" t="s">
        <v>459</v>
      </c>
      <c r="AG148" s="889" t="s">
        <v>459</v>
      </c>
    </row>
    <row r="149" spans="26:33" x14ac:dyDescent="0.35">
      <c r="Z149" s="344">
        <v>2106</v>
      </c>
      <c r="AA149" s="344" t="s">
        <v>539</v>
      </c>
      <c r="AB149" s="344">
        <v>1</v>
      </c>
      <c r="AC149" s="344" t="s">
        <v>482</v>
      </c>
      <c r="AD149" s="1058" t="s">
        <v>540</v>
      </c>
      <c r="AE149" s="1059">
        <v>1340418</v>
      </c>
      <c r="AF149" s="889" t="s">
        <v>459</v>
      </c>
      <c r="AG149" s="889" t="s">
        <v>459</v>
      </c>
    </row>
    <row r="150" spans="26:33" x14ac:dyDescent="0.35">
      <c r="Z150" s="344">
        <v>2107</v>
      </c>
      <c r="AA150" s="344" t="s">
        <v>539</v>
      </c>
      <c r="AB150" s="344">
        <v>1</v>
      </c>
      <c r="AC150" s="344" t="s">
        <v>482</v>
      </c>
      <c r="AD150" s="1058" t="s">
        <v>540</v>
      </c>
      <c r="AE150" s="1059">
        <v>1626257</v>
      </c>
      <c r="AF150" s="889" t="s">
        <v>459</v>
      </c>
      <c r="AG150" s="889" t="s">
        <v>459</v>
      </c>
    </row>
    <row r="151" spans="26:33" x14ac:dyDescent="0.35">
      <c r="Z151" s="344">
        <v>2108</v>
      </c>
      <c r="AA151" s="344" t="s">
        <v>539</v>
      </c>
      <c r="AB151" s="344">
        <v>1</v>
      </c>
      <c r="AC151" s="344" t="s">
        <v>482</v>
      </c>
      <c r="AD151" s="1058" t="s">
        <v>540</v>
      </c>
      <c r="AE151" s="1059">
        <v>1703135</v>
      </c>
      <c r="AF151" s="889" t="s">
        <v>459</v>
      </c>
      <c r="AG151" s="889" t="s">
        <v>459</v>
      </c>
    </row>
    <row r="152" spans="26:33" x14ac:dyDescent="0.35">
      <c r="Z152" s="344">
        <v>2109</v>
      </c>
      <c r="AA152" s="344" t="s">
        <v>539</v>
      </c>
      <c r="AB152" s="344">
        <v>1</v>
      </c>
      <c r="AC152" s="344" t="e">
        <v>#N/A</v>
      </c>
      <c r="AD152" s="1058" t="s">
        <v>540</v>
      </c>
      <c r="AE152" s="1059" t="e">
        <v>#N/A</v>
      </c>
      <c r="AF152" s="889" t="s">
        <v>459</v>
      </c>
      <c r="AG152" s="889" t="s">
        <v>459</v>
      </c>
    </row>
    <row r="153" spans="26:33" x14ac:dyDescent="0.35">
      <c r="Z153" s="344">
        <v>2110</v>
      </c>
      <c r="AA153" s="344" t="s">
        <v>539</v>
      </c>
      <c r="AB153" s="344">
        <v>1</v>
      </c>
      <c r="AC153" s="344" t="s">
        <v>482</v>
      </c>
      <c r="AD153" s="1058" t="s">
        <v>540</v>
      </c>
      <c r="AE153" s="1059">
        <v>2478389</v>
      </c>
      <c r="AF153" s="889" t="s">
        <v>459</v>
      </c>
      <c r="AG153" s="889" t="s">
        <v>459</v>
      </c>
    </row>
    <row r="154" spans="26:33" x14ac:dyDescent="0.35">
      <c r="Z154" s="344">
        <v>2111</v>
      </c>
      <c r="AA154" s="344" t="s">
        <v>539</v>
      </c>
      <c r="AB154" s="344">
        <v>1</v>
      </c>
      <c r="AC154" s="344" t="s">
        <v>482</v>
      </c>
      <c r="AD154" s="1058" t="s">
        <v>540</v>
      </c>
      <c r="AE154" s="1059">
        <v>2048950</v>
      </c>
      <c r="AF154" s="889" t="s">
        <v>459</v>
      </c>
      <c r="AG154" s="889" t="s">
        <v>459</v>
      </c>
    </row>
    <row r="155" spans="26:33" x14ac:dyDescent="0.35">
      <c r="Z155" s="344">
        <v>2112</v>
      </c>
      <c r="AA155" s="344" t="s">
        <v>539</v>
      </c>
      <c r="AB155" s="344">
        <v>1</v>
      </c>
      <c r="AC155" s="344" t="s">
        <v>482</v>
      </c>
      <c r="AD155" s="1058" t="s">
        <v>540</v>
      </c>
      <c r="AE155" s="1059">
        <v>1297225</v>
      </c>
      <c r="AF155" s="889" t="s">
        <v>459</v>
      </c>
      <c r="AG155" s="889" t="s">
        <v>460</v>
      </c>
    </row>
    <row r="156" spans="26:33" x14ac:dyDescent="0.35">
      <c r="Z156" s="344">
        <v>2113</v>
      </c>
      <c r="AA156" s="344" t="s">
        <v>539</v>
      </c>
      <c r="AB156" s="344">
        <v>1</v>
      </c>
      <c r="AC156" s="344" t="s">
        <v>482</v>
      </c>
      <c r="AD156" s="1058" t="s">
        <v>540</v>
      </c>
      <c r="AE156" s="1059">
        <v>932050</v>
      </c>
      <c r="AF156" s="889" t="s">
        <v>459</v>
      </c>
      <c r="AG156" s="889" t="s">
        <v>460</v>
      </c>
    </row>
    <row r="157" spans="26:33" x14ac:dyDescent="0.35">
      <c r="Z157" s="344">
        <v>2114</v>
      </c>
      <c r="AA157" s="344" t="s">
        <v>539</v>
      </c>
      <c r="AB157" s="344">
        <v>1</v>
      </c>
      <c r="AC157" s="344" t="s">
        <v>482</v>
      </c>
      <c r="AD157" s="1058" t="s">
        <v>540</v>
      </c>
      <c r="AE157" s="1059">
        <v>969886</v>
      </c>
      <c r="AF157" s="889" t="s">
        <v>459</v>
      </c>
      <c r="AG157" s="889" t="s">
        <v>460</v>
      </c>
    </row>
    <row r="158" spans="26:33" x14ac:dyDescent="0.35">
      <c r="Z158" s="344">
        <v>2115</v>
      </c>
      <c r="AA158" s="344" t="s">
        <v>539</v>
      </c>
      <c r="AB158" s="344">
        <v>1</v>
      </c>
      <c r="AC158" s="344" t="s">
        <v>482</v>
      </c>
      <c r="AD158" s="1058" t="s">
        <v>540</v>
      </c>
      <c r="AE158" s="1059">
        <v>900600</v>
      </c>
      <c r="AF158" s="889" t="s">
        <v>459</v>
      </c>
      <c r="AG158" s="889" t="s">
        <v>269</v>
      </c>
    </row>
    <row r="159" spans="26:33" x14ac:dyDescent="0.35">
      <c r="Z159" s="344">
        <v>2116</v>
      </c>
      <c r="AA159" s="344" t="s">
        <v>539</v>
      </c>
      <c r="AB159" s="344">
        <v>1</v>
      </c>
      <c r="AC159" s="344" t="s">
        <v>479</v>
      </c>
      <c r="AD159" s="1058" t="s">
        <v>540</v>
      </c>
      <c r="AE159" s="1059">
        <v>814359</v>
      </c>
      <c r="AF159" s="889" t="s">
        <v>459</v>
      </c>
      <c r="AG159" s="889" t="s">
        <v>459</v>
      </c>
    </row>
    <row r="160" spans="26:33" x14ac:dyDescent="0.35">
      <c r="Z160" s="344">
        <v>2117</v>
      </c>
      <c r="AA160" s="344" t="s">
        <v>539</v>
      </c>
      <c r="AB160" s="344">
        <v>1</v>
      </c>
      <c r="AC160" s="344" t="s">
        <v>482</v>
      </c>
      <c r="AD160" s="1058" t="s">
        <v>540</v>
      </c>
      <c r="AE160" s="1059">
        <v>906146</v>
      </c>
      <c r="AF160" s="889" t="s">
        <v>459</v>
      </c>
      <c r="AG160" s="889" t="s">
        <v>459</v>
      </c>
    </row>
    <row r="161" spans="26:33" x14ac:dyDescent="0.35">
      <c r="Z161" s="344">
        <v>2118</v>
      </c>
      <c r="AA161" s="344" t="s">
        <v>539</v>
      </c>
      <c r="AB161" s="344">
        <v>1</v>
      </c>
      <c r="AC161" s="344" t="s">
        <v>482</v>
      </c>
      <c r="AD161" s="1058" t="s">
        <v>540</v>
      </c>
      <c r="AE161" s="1059">
        <v>1017633</v>
      </c>
      <c r="AF161" s="889" t="s">
        <v>459</v>
      </c>
      <c r="AG161" s="889" t="s">
        <v>460</v>
      </c>
    </row>
    <row r="162" spans="26:33" x14ac:dyDescent="0.35">
      <c r="Z162" s="344">
        <v>2119</v>
      </c>
      <c r="AA162" s="344" t="s">
        <v>539</v>
      </c>
      <c r="AB162" s="344">
        <v>1</v>
      </c>
      <c r="AC162" s="344" t="s">
        <v>482</v>
      </c>
      <c r="AD162" s="1058" t="s">
        <v>540</v>
      </c>
      <c r="AE162" s="1059">
        <v>1307213</v>
      </c>
      <c r="AF162" s="889" t="s">
        <v>459</v>
      </c>
      <c r="AG162" s="889" t="s">
        <v>459</v>
      </c>
    </row>
    <row r="163" spans="26:33" x14ac:dyDescent="0.35">
      <c r="Z163" s="344">
        <v>2120</v>
      </c>
      <c r="AA163" s="344" t="s">
        <v>539</v>
      </c>
      <c r="AB163" s="344">
        <v>1</v>
      </c>
      <c r="AC163" s="344" t="s">
        <v>482</v>
      </c>
      <c r="AD163" s="1058" t="s">
        <v>540</v>
      </c>
      <c r="AE163" s="1059">
        <v>965986</v>
      </c>
      <c r="AF163" s="889" t="s">
        <v>459</v>
      </c>
      <c r="AG163" s="889" t="s">
        <v>459</v>
      </c>
    </row>
    <row r="164" spans="26:33" x14ac:dyDescent="0.35">
      <c r="Z164" s="344">
        <v>2121</v>
      </c>
      <c r="AA164" s="344" t="s">
        <v>539</v>
      </c>
      <c r="AB164" s="344">
        <v>1</v>
      </c>
      <c r="AC164" s="344" t="s">
        <v>482</v>
      </c>
      <c r="AD164" s="1058" t="s">
        <v>540</v>
      </c>
      <c r="AE164" s="1059">
        <v>1205965</v>
      </c>
      <c r="AF164" s="889" t="s">
        <v>459</v>
      </c>
      <c r="AG164" s="889" t="s">
        <v>460</v>
      </c>
    </row>
    <row r="165" spans="26:33" x14ac:dyDescent="0.35">
      <c r="Z165" s="344">
        <v>2122</v>
      </c>
      <c r="AA165" s="344" t="s">
        <v>539</v>
      </c>
      <c r="AB165" s="344">
        <v>1</v>
      </c>
      <c r="AC165" s="344" t="s">
        <v>482</v>
      </c>
      <c r="AD165" s="1058" t="s">
        <v>540</v>
      </c>
      <c r="AE165" s="1059">
        <v>1252883</v>
      </c>
      <c r="AF165" s="889" t="s">
        <v>459</v>
      </c>
      <c r="AG165" s="889" t="s">
        <v>459</v>
      </c>
    </row>
    <row r="166" spans="26:33" x14ac:dyDescent="0.35">
      <c r="Z166" s="344">
        <v>2123</v>
      </c>
      <c r="AA166" s="344" t="s">
        <v>539</v>
      </c>
      <c r="AB166" s="344">
        <v>1</v>
      </c>
      <c r="AC166" s="344" t="e">
        <v>#N/A</v>
      </c>
      <c r="AD166" s="1058" t="s">
        <v>540</v>
      </c>
      <c r="AE166" s="1059" t="e">
        <v>#N/A</v>
      </c>
      <c r="AF166" s="889" t="s">
        <v>459</v>
      </c>
      <c r="AG166" s="889" t="s">
        <v>459</v>
      </c>
    </row>
    <row r="167" spans="26:33" x14ac:dyDescent="0.35">
      <c r="Z167" s="344">
        <v>2124</v>
      </c>
      <c r="AA167" s="344" t="s">
        <v>539</v>
      </c>
      <c r="AB167" s="344">
        <v>1</v>
      </c>
      <c r="AC167" s="344" t="e">
        <v>#N/A</v>
      </c>
      <c r="AD167" s="1058" t="s">
        <v>540</v>
      </c>
      <c r="AE167" s="1059" t="e">
        <v>#N/A</v>
      </c>
      <c r="AF167" s="889" t="s">
        <v>459</v>
      </c>
      <c r="AG167" s="889" t="s">
        <v>459</v>
      </c>
    </row>
    <row r="168" spans="26:33" x14ac:dyDescent="0.35">
      <c r="Z168" s="344">
        <v>2125</v>
      </c>
      <c r="AA168" s="344" t="s">
        <v>539</v>
      </c>
      <c r="AB168" s="344">
        <v>1</v>
      </c>
      <c r="AC168" s="344" t="s">
        <v>482</v>
      </c>
      <c r="AD168" s="1058" t="s">
        <v>540</v>
      </c>
      <c r="AE168" s="1059">
        <v>1220596</v>
      </c>
      <c r="AF168" s="889" t="s">
        <v>459</v>
      </c>
      <c r="AG168" s="889" t="s">
        <v>459</v>
      </c>
    </row>
    <row r="169" spans="26:33" x14ac:dyDescent="0.35">
      <c r="Z169" s="344">
        <v>2126</v>
      </c>
      <c r="AA169" s="344" t="s">
        <v>539</v>
      </c>
      <c r="AB169" s="344">
        <v>1</v>
      </c>
      <c r="AC169" s="344" t="s">
        <v>482</v>
      </c>
      <c r="AD169" s="1058" t="s">
        <v>540</v>
      </c>
      <c r="AE169" s="1059">
        <v>1055698</v>
      </c>
      <c r="AF169" s="889" t="s">
        <v>459</v>
      </c>
      <c r="AG169" s="889" t="s">
        <v>459</v>
      </c>
    </row>
    <row r="170" spans="26:33" x14ac:dyDescent="0.35">
      <c r="Z170" s="344">
        <v>2127</v>
      </c>
      <c r="AA170" s="344" t="s">
        <v>539</v>
      </c>
      <c r="AB170" s="344">
        <v>1</v>
      </c>
      <c r="AC170" s="344" t="s">
        <v>479</v>
      </c>
      <c r="AD170" s="1058" t="s">
        <v>540</v>
      </c>
      <c r="AE170" s="1059">
        <v>767992</v>
      </c>
      <c r="AF170" s="889" t="s">
        <v>459</v>
      </c>
      <c r="AG170" s="889" t="s">
        <v>460</v>
      </c>
    </row>
    <row r="171" spans="26:33" x14ac:dyDescent="0.35">
      <c r="Z171" s="344">
        <v>2128</v>
      </c>
      <c r="AA171" s="344" t="s">
        <v>539</v>
      </c>
      <c r="AB171" s="344">
        <v>1</v>
      </c>
      <c r="AC171" s="344" t="s">
        <v>457</v>
      </c>
      <c r="AD171" s="1058" t="s">
        <v>540</v>
      </c>
      <c r="AE171" s="1059">
        <v>727564</v>
      </c>
      <c r="AF171" s="889" t="s">
        <v>459</v>
      </c>
      <c r="AG171" s="889" t="s">
        <v>459</v>
      </c>
    </row>
    <row r="172" spans="26:33" x14ac:dyDescent="0.35">
      <c r="Z172" s="344">
        <v>2129</v>
      </c>
      <c r="AA172" s="344" t="s">
        <v>539</v>
      </c>
      <c r="AB172" s="344">
        <v>1</v>
      </c>
      <c r="AC172" s="344" t="e">
        <v>#N/A</v>
      </c>
      <c r="AD172" s="1058" t="s">
        <v>540</v>
      </c>
      <c r="AE172" s="1059" t="e">
        <v>#N/A</v>
      </c>
      <c r="AF172" s="889" t="s">
        <v>459</v>
      </c>
      <c r="AG172" s="889" t="s">
        <v>459</v>
      </c>
    </row>
    <row r="173" spans="26:33" x14ac:dyDescent="0.35">
      <c r="Z173" s="344">
        <v>2130</v>
      </c>
      <c r="AA173" s="344" t="s">
        <v>539</v>
      </c>
      <c r="AB173" s="344">
        <v>1</v>
      </c>
      <c r="AC173" s="344" t="s">
        <v>482</v>
      </c>
      <c r="AD173" s="1058" t="s">
        <v>540</v>
      </c>
      <c r="AE173" s="1059">
        <v>1132963</v>
      </c>
      <c r="AF173" s="889" t="s">
        <v>459</v>
      </c>
      <c r="AG173" s="889" t="s">
        <v>459</v>
      </c>
    </row>
    <row r="174" spans="26:33" x14ac:dyDescent="0.35">
      <c r="Z174" s="344">
        <v>2131</v>
      </c>
      <c r="AA174" s="344" t="s">
        <v>539</v>
      </c>
      <c r="AB174" s="344">
        <v>1</v>
      </c>
      <c r="AC174" s="344" t="s">
        <v>482</v>
      </c>
      <c r="AD174" s="1058" t="s">
        <v>540</v>
      </c>
      <c r="AE174" s="1059">
        <v>1109516</v>
      </c>
      <c r="AF174" s="889" t="s">
        <v>459</v>
      </c>
      <c r="AG174" s="889" t="s">
        <v>459</v>
      </c>
    </row>
    <row r="175" spans="26:33" x14ac:dyDescent="0.35">
      <c r="Z175" s="344">
        <v>2132</v>
      </c>
      <c r="AA175" s="344" t="s">
        <v>539</v>
      </c>
      <c r="AB175" s="344">
        <v>1</v>
      </c>
      <c r="AC175" s="344" t="s">
        <v>482</v>
      </c>
      <c r="AD175" s="1058" t="s">
        <v>540</v>
      </c>
      <c r="AE175" s="1059">
        <v>1130873</v>
      </c>
      <c r="AF175" s="889" t="s">
        <v>459</v>
      </c>
      <c r="AG175" s="889" t="s">
        <v>459</v>
      </c>
    </row>
    <row r="176" spans="26:33" x14ac:dyDescent="0.35">
      <c r="Z176" s="344">
        <v>2133</v>
      </c>
      <c r="AA176" s="344" t="s">
        <v>539</v>
      </c>
      <c r="AB176" s="344">
        <v>1</v>
      </c>
      <c r="AC176" s="344" t="s">
        <v>482</v>
      </c>
      <c r="AD176" s="1058" t="s">
        <v>540</v>
      </c>
      <c r="AE176" s="1059">
        <v>990464</v>
      </c>
      <c r="AF176" s="889" t="s">
        <v>459</v>
      </c>
      <c r="AG176" s="889" t="s">
        <v>459</v>
      </c>
    </row>
    <row r="177" spans="26:33" x14ac:dyDescent="0.35">
      <c r="Z177" s="344">
        <v>2134</v>
      </c>
      <c r="AA177" s="344" t="s">
        <v>539</v>
      </c>
      <c r="AB177" s="344">
        <v>1</v>
      </c>
      <c r="AC177" s="344" t="s">
        <v>482</v>
      </c>
      <c r="AD177" s="1058" t="s">
        <v>540</v>
      </c>
      <c r="AE177" s="1059">
        <v>1401600</v>
      </c>
      <c r="AF177" s="889" t="s">
        <v>459</v>
      </c>
      <c r="AG177" s="889" t="s">
        <v>460</v>
      </c>
    </row>
    <row r="178" spans="26:33" x14ac:dyDescent="0.35">
      <c r="Z178" s="344">
        <v>2135</v>
      </c>
      <c r="AA178" s="344" t="s">
        <v>539</v>
      </c>
      <c r="AB178" s="344">
        <v>1</v>
      </c>
      <c r="AC178" s="344" t="s">
        <v>482</v>
      </c>
      <c r="AD178" s="1058" t="s">
        <v>540</v>
      </c>
      <c r="AE178" s="1059">
        <v>1704644</v>
      </c>
      <c r="AF178" s="889" t="s">
        <v>459</v>
      </c>
      <c r="AG178" s="889" t="s">
        <v>460</v>
      </c>
    </row>
    <row r="179" spans="26:33" x14ac:dyDescent="0.35">
      <c r="Z179" s="344">
        <v>2136</v>
      </c>
      <c r="AA179" s="344" t="s">
        <v>539</v>
      </c>
      <c r="AB179" s="344">
        <v>1</v>
      </c>
      <c r="AC179" s="344" t="s">
        <v>482</v>
      </c>
      <c r="AD179" s="1058" t="s">
        <v>540</v>
      </c>
      <c r="AE179" s="1059">
        <v>1194371</v>
      </c>
      <c r="AF179" s="889" t="s">
        <v>459</v>
      </c>
      <c r="AG179" s="889" t="s">
        <v>459</v>
      </c>
    </row>
    <row r="180" spans="26:33" x14ac:dyDescent="0.35">
      <c r="Z180" s="344">
        <v>2137</v>
      </c>
      <c r="AA180" s="344" t="s">
        <v>539</v>
      </c>
      <c r="AB180" s="344">
        <v>1</v>
      </c>
      <c r="AC180" s="344" t="s">
        <v>482</v>
      </c>
      <c r="AD180" s="1058" t="s">
        <v>540</v>
      </c>
      <c r="AE180" s="1059">
        <v>1474655</v>
      </c>
      <c r="AF180" s="889" t="s">
        <v>459</v>
      </c>
      <c r="AG180" s="889" t="s">
        <v>459</v>
      </c>
    </row>
    <row r="181" spans="26:33" x14ac:dyDescent="0.35">
      <c r="Z181" s="344">
        <v>2138</v>
      </c>
      <c r="AA181" s="344" t="s">
        <v>539</v>
      </c>
      <c r="AB181" s="344">
        <v>1</v>
      </c>
      <c r="AC181" s="344" t="s">
        <v>482</v>
      </c>
      <c r="AD181" s="1058" t="s">
        <v>540</v>
      </c>
      <c r="AE181" s="1059">
        <v>1024092</v>
      </c>
      <c r="AF181" s="889" t="s">
        <v>459</v>
      </c>
      <c r="AG181" s="889" t="s">
        <v>460</v>
      </c>
    </row>
    <row r="182" spans="26:33" x14ac:dyDescent="0.35">
      <c r="Z182" s="344">
        <v>2139</v>
      </c>
      <c r="AA182" s="344" t="s">
        <v>539</v>
      </c>
      <c r="AB182" s="344">
        <v>1</v>
      </c>
      <c r="AC182" s="344" t="e">
        <v>#N/A</v>
      </c>
      <c r="AD182" s="1058" t="s">
        <v>540</v>
      </c>
      <c r="AE182" s="1059" t="e">
        <v>#N/A</v>
      </c>
      <c r="AF182" s="889" t="s">
        <v>459</v>
      </c>
      <c r="AG182" s="889" t="s">
        <v>459</v>
      </c>
    </row>
    <row r="183" spans="26:33" x14ac:dyDescent="0.35">
      <c r="Z183" s="344">
        <v>2140</v>
      </c>
      <c r="AA183" s="344" t="s">
        <v>539</v>
      </c>
      <c r="AB183" s="344">
        <v>1</v>
      </c>
      <c r="AC183" s="344" t="s">
        <v>482</v>
      </c>
      <c r="AD183" s="1058" t="s">
        <v>540</v>
      </c>
      <c r="AE183" s="1059">
        <v>1110047</v>
      </c>
      <c r="AF183" s="889" t="s">
        <v>459</v>
      </c>
      <c r="AG183" s="889" t="s">
        <v>460</v>
      </c>
    </row>
    <row r="184" spans="26:33" x14ac:dyDescent="0.35">
      <c r="Z184" s="344">
        <v>2141</v>
      </c>
      <c r="AA184" s="344" t="s">
        <v>539</v>
      </c>
      <c r="AB184" s="344">
        <v>1</v>
      </c>
      <c r="AC184" s="344" t="s">
        <v>479</v>
      </c>
      <c r="AD184" s="1058" t="s">
        <v>540</v>
      </c>
      <c r="AE184" s="1059">
        <v>819296</v>
      </c>
      <c r="AF184" s="889" t="s">
        <v>459</v>
      </c>
      <c r="AG184" s="889" t="s">
        <v>459</v>
      </c>
    </row>
    <row r="185" spans="26:33" x14ac:dyDescent="0.35">
      <c r="Z185" s="344">
        <v>2142</v>
      </c>
      <c r="AA185" s="344" t="s">
        <v>539</v>
      </c>
      <c r="AB185" s="344">
        <v>1</v>
      </c>
      <c r="AC185" s="344" t="s">
        <v>457</v>
      </c>
      <c r="AD185" s="1058" t="s">
        <v>540</v>
      </c>
      <c r="AE185" s="1059">
        <v>695923</v>
      </c>
      <c r="AF185" s="889" t="s">
        <v>459</v>
      </c>
      <c r="AG185" s="889" t="s">
        <v>459</v>
      </c>
    </row>
    <row r="186" spans="26:33" x14ac:dyDescent="0.35">
      <c r="Z186" s="344">
        <v>2143</v>
      </c>
      <c r="AA186" s="344" t="s">
        <v>539</v>
      </c>
      <c r="AB186" s="344">
        <v>1</v>
      </c>
      <c r="AC186" s="344" t="s">
        <v>457</v>
      </c>
      <c r="AD186" s="1058" t="s">
        <v>540</v>
      </c>
      <c r="AE186" s="1059">
        <v>640918</v>
      </c>
      <c r="AF186" s="889" t="s">
        <v>459</v>
      </c>
      <c r="AG186" s="889" t="s">
        <v>459</v>
      </c>
    </row>
    <row r="187" spans="26:33" x14ac:dyDescent="0.35">
      <c r="Z187" s="344">
        <v>2144</v>
      </c>
      <c r="AA187" s="344" t="s">
        <v>539</v>
      </c>
      <c r="AB187" s="344">
        <v>1</v>
      </c>
      <c r="AC187" s="344" t="s">
        <v>457</v>
      </c>
      <c r="AD187" s="1058" t="s">
        <v>540</v>
      </c>
      <c r="AE187" s="1059">
        <v>748716</v>
      </c>
      <c r="AF187" s="889" t="s">
        <v>459</v>
      </c>
      <c r="AG187" s="889" t="s">
        <v>460</v>
      </c>
    </row>
    <row r="188" spans="26:33" x14ac:dyDescent="0.35">
      <c r="Z188" s="344">
        <v>2145</v>
      </c>
      <c r="AA188" s="344" t="s">
        <v>539</v>
      </c>
      <c r="AB188" s="344">
        <v>1</v>
      </c>
      <c r="AC188" s="344" t="s">
        <v>457</v>
      </c>
      <c r="AD188" s="1058" t="s">
        <v>540</v>
      </c>
      <c r="AE188" s="1059">
        <v>719749</v>
      </c>
      <c r="AF188" s="889" t="s">
        <v>459</v>
      </c>
      <c r="AG188" s="889" t="s">
        <v>459</v>
      </c>
    </row>
    <row r="189" spans="26:33" x14ac:dyDescent="0.35">
      <c r="Z189" s="344">
        <v>2146</v>
      </c>
      <c r="AA189" s="344" t="s">
        <v>539</v>
      </c>
      <c r="AB189" s="344">
        <v>1</v>
      </c>
      <c r="AC189" s="344" t="s">
        <v>457</v>
      </c>
      <c r="AD189" s="1058" t="s">
        <v>540</v>
      </c>
      <c r="AE189" s="1059">
        <v>642334</v>
      </c>
      <c r="AF189" s="889" t="s">
        <v>459</v>
      </c>
      <c r="AG189" s="889" t="s">
        <v>459</v>
      </c>
    </row>
    <row r="190" spans="26:33" x14ac:dyDescent="0.35">
      <c r="Z190" s="344">
        <v>2147</v>
      </c>
      <c r="AA190" s="344" t="s">
        <v>539</v>
      </c>
      <c r="AB190" s="344">
        <v>1</v>
      </c>
      <c r="AC190" s="344" t="s">
        <v>457</v>
      </c>
      <c r="AD190" s="1058" t="s">
        <v>540</v>
      </c>
      <c r="AE190" s="1059">
        <v>584911</v>
      </c>
      <c r="AF190" s="889" t="s">
        <v>459</v>
      </c>
      <c r="AG190" s="889" t="s">
        <v>459</v>
      </c>
    </row>
    <row r="191" spans="26:33" x14ac:dyDescent="0.35">
      <c r="Z191" s="344">
        <v>2148</v>
      </c>
      <c r="AA191" s="344" t="s">
        <v>539</v>
      </c>
      <c r="AB191" s="344">
        <v>1</v>
      </c>
      <c r="AC191" s="344" t="s">
        <v>457</v>
      </c>
      <c r="AD191" s="1058" t="s">
        <v>540</v>
      </c>
      <c r="AE191" s="1059">
        <v>544267</v>
      </c>
      <c r="AF191" s="889" t="s">
        <v>459</v>
      </c>
      <c r="AG191" s="889" t="s">
        <v>459</v>
      </c>
    </row>
    <row r="192" spans="26:33" x14ac:dyDescent="0.35">
      <c r="Z192" s="344">
        <v>2149</v>
      </c>
      <c r="AA192" s="344" t="s">
        <v>539</v>
      </c>
      <c r="AB192" s="344">
        <v>1</v>
      </c>
      <c r="AC192" s="344" t="e">
        <v>#N/A</v>
      </c>
      <c r="AD192" s="1058" t="s">
        <v>540</v>
      </c>
      <c r="AE192" s="1059" t="e">
        <v>#N/A</v>
      </c>
      <c r="AF192" s="889" t="s">
        <v>459</v>
      </c>
      <c r="AG192" s="889" t="s">
        <v>459</v>
      </c>
    </row>
    <row r="193" spans="26:33" x14ac:dyDescent="0.35">
      <c r="Z193" s="344">
        <v>2150</v>
      </c>
      <c r="AA193" s="344" t="s">
        <v>539</v>
      </c>
      <c r="AB193" s="344">
        <v>1</v>
      </c>
      <c r="AC193" s="344" t="s">
        <v>457</v>
      </c>
      <c r="AD193" s="1058" t="s">
        <v>540</v>
      </c>
      <c r="AE193" s="1059">
        <v>739801</v>
      </c>
      <c r="AF193" s="889" t="s">
        <v>459</v>
      </c>
      <c r="AG193" s="889" t="s">
        <v>460</v>
      </c>
    </row>
    <row r="194" spans="26:33" x14ac:dyDescent="0.35">
      <c r="Z194" s="344">
        <v>2151</v>
      </c>
      <c r="AA194" s="344" t="s">
        <v>539</v>
      </c>
      <c r="AB194" s="344">
        <v>1</v>
      </c>
      <c r="AC194" s="344" t="s">
        <v>479</v>
      </c>
      <c r="AD194" s="1058" t="s">
        <v>540</v>
      </c>
      <c r="AE194" s="1059">
        <v>880724</v>
      </c>
      <c r="AF194" s="889" t="s">
        <v>459</v>
      </c>
      <c r="AG194" s="889" t="s">
        <v>459</v>
      </c>
    </row>
    <row r="195" spans="26:33" x14ac:dyDescent="0.35">
      <c r="Z195" s="344">
        <v>2152</v>
      </c>
      <c r="AA195" s="344" t="s">
        <v>539</v>
      </c>
      <c r="AB195" s="344">
        <v>1</v>
      </c>
      <c r="AC195" s="344" t="s">
        <v>457</v>
      </c>
      <c r="AD195" s="1058" t="s">
        <v>540</v>
      </c>
      <c r="AE195" s="1059">
        <v>741567</v>
      </c>
      <c r="AF195" s="889" t="s">
        <v>459</v>
      </c>
      <c r="AG195" s="889" t="s">
        <v>459</v>
      </c>
    </row>
    <row r="196" spans="26:33" x14ac:dyDescent="0.35">
      <c r="Z196" s="344">
        <v>2153</v>
      </c>
      <c r="AA196" s="344" t="s">
        <v>539</v>
      </c>
      <c r="AB196" s="344">
        <v>1</v>
      </c>
      <c r="AC196" s="344" t="s">
        <v>482</v>
      </c>
      <c r="AD196" s="1058" t="s">
        <v>540</v>
      </c>
      <c r="AE196" s="1059">
        <v>905139</v>
      </c>
      <c r="AF196" s="889" t="s">
        <v>459</v>
      </c>
      <c r="AG196" s="889" t="s">
        <v>459</v>
      </c>
    </row>
    <row r="197" spans="26:33" x14ac:dyDescent="0.35">
      <c r="Z197" s="344">
        <v>2154</v>
      </c>
      <c r="AA197" s="344" t="s">
        <v>539</v>
      </c>
      <c r="AB197" s="344">
        <v>1</v>
      </c>
      <c r="AC197" s="344" t="s">
        <v>482</v>
      </c>
      <c r="AD197" s="1058" t="s">
        <v>540</v>
      </c>
      <c r="AE197" s="1059">
        <v>1105048</v>
      </c>
      <c r="AF197" s="889" t="s">
        <v>459</v>
      </c>
      <c r="AG197" s="889" t="s">
        <v>460</v>
      </c>
    </row>
    <row r="198" spans="26:33" x14ac:dyDescent="0.35">
      <c r="Z198" s="344">
        <v>2155</v>
      </c>
      <c r="AA198" s="344" t="s">
        <v>539</v>
      </c>
      <c r="AB198" s="344">
        <v>1</v>
      </c>
      <c r="AC198" s="344" t="s">
        <v>479</v>
      </c>
      <c r="AD198" s="1058" t="s">
        <v>540</v>
      </c>
      <c r="AE198" s="1059">
        <v>861659</v>
      </c>
      <c r="AF198" s="889" t="s">
        <v>459</v>
      </c>
      <c r="AG198" s="889" t="s">
        <v>460</v>
      </c>
    </row>
    <row r="199" spans="26:33" x14ac:dyDescent="0.35">
      <c r="Z199" s="344">
        <v>2156</v>
      </c>
      <c r="AA199" s="344" t="s">
        <v>539</v>
      </c>
      <c r="AB199" s="344">
        <v>1</v>
      </c>
      <c r="AC199" s="344" t="s">
        <v>482</v>
      </c>
      <c r="AD199" s="1058" t="s">
        <v>540</v>
      </c>
      <c r="AE199" s="1059">
        <v>1381786</v>
      </c>
      <c r="AF199" s="889" t="s">
        <v>459</v>
      </c>
      <c r="AG199" s="889" t="s">
        <v>459</v>
      </c>
    </row>
    <row r="200" spans="26:33" x14ac:dyDescent="0.35">
      <c r="Z200" s="344">
        <v>2157</v>
      </c>
      <c r="AA200" s="344" t="s">
        <v>539</v>
      </c>
      <c r="AB200" s="344">
        <v>1</v>
      </c>
      <c r="AC200" s="344" t="s">
        <v>482</v>
      </c>
      <c r="AD200" s="1058" t="s">
        <v>540</v>
      </c>
      <c r="AE200" s="1059">
        <v>1241469</v>
      </c>
      <c r="AF200" s="889" t="s">
        <v>459</v>
      </c>
      <c r="AG200" s="889" t="s">
        <v>459</v>
      </c>
    </row>
    <row r="201" spans="26:33" x14ac:dyDescent="0.35">
      <c r="Z201" s="344">
        <v>2158</v>
      </c>
      <c r="AA201" s="344" t="s">
        <v>539</v>
      </c>
      <c r="AB201" s="344">
        <v>1</v>
      </c>
      <c r="AC201" s="344" t="s">
        <v>482</v>
      </c>
      <c r="AD201" s="1058" t="s">
        <v>540</v>
      </c>
      <c r="AE201" s="1059">
        <v>1355244</v>
      </c>
      <c r="AF201" s="889" t="s">
        <v>459</v>
      </c>
      <c r="AG201" s="889" t="s">
        <v>459</v>
      </c>
    </row>
    <row r="202" spans="26:33" x14ac:dyDescent="0.35">
      <c r="Z202" s="344">
        <v>2159</v>
      </c>
      <c r="AA202" s="344" t="s">
        <v>539</v>
      </c>
      <c r="AB202" s="344">
        <v>1</v>
      </c>
      <c r="AC202" s="344" t="s">
        <v>482</v>
      </c>
      <c r="AD202" s="1058" t="s">
        <v>540</v>
      </c>
      <c r="AE202" s="1059">
        <v>1137996</v>
      </c>
      <c r="AF202" s="889" t="s">
        <v>459</v>
      </c>
      <c r="AG202" s="889" t="s">
        <v>459</v>
      </c>
    </row>
    <row r="203" spans="26:33" x14ac:dyDescent="0.35">
      <c r="Z203" s="344">
        <v>2160</v>
      </c>
      <c r="AA203" s="344" t="s">
        <v>539</v>
      </c>
      <c r="AB203" s="344">
        <v>1</v>
      </c>
      <c r="AC203" s="344" t="s">
        <v>457</v>
      </c>
      <c r="AD203" s="1058" t="s">
        <v>540</v>
      </c>
      <c r="AE203" s="1059">
        <v>695427</v>
      </c>
      <c r="AF203" s="889" t="s">
        <v>459</v>
      </c>
      <c r="AG203" s="889" t="s">
        <v>460</v>
      </c>
    </row>
    <row r="204" spans="26:33" x14ac:dyDescent="0.35">
      <c r="Z204" s="344">
        <v>2161</v>
      </c>
      <c r="AA204" s="344" t="s">
        <v>539</v>
      </c>
      <c r="AB204" s="344">
        <v>1</v>
      </c>
      <c r="AC204" s="344" t="s">
        <v>457</v>
      </c>
      <c r="AD204" s="1058" t="s">
        <v>540</v>
      </c>
      <c r="AE204" s="1059">
        <v>613736</v>
      </c>
      <c r="AF204" s="889" t="s">
        <v>460</v>
      </c>
      <c r="AG204" s="889" t="s">
        <v>459</v>
      </c>
    </row>
    <row r="205" spans="26:33" x14ac:dyDescent="0.35">
      <c r="Z205" s="344">
        <v>2162</v>
      </c>
      <c r="AA205" s="344" t="s">
        <v>539</v>
      </c>
      <c r="AB205" s="344">
        <v>1</v>
      </c>
      <c r="AC205" s="344" t="s">
        <v>457</v>
      </c>
      <c r="AD205" s="1058" t="s">
        <v>540</v>
      </c>
      <c r="AE205" s="1059">
        <v>630917</v>
      </c>
      <c r="AF205" s="889" t="s">
        <v>459</v>
      </c>
      <c r="AG205" s="889" t="s">
        <v>459</v>
      </c>
    </row>
    <row r="206" spans="26:33" x14ac:dyDescent="0.35">
      <c r="Z206" s="344">
        <v>2163</v>
      </c>
      <c r="AA206" s="344" t="s">
        <v>539</v>
      </c>
      <c r="AB206" s="344">
        <v>1</v>
      </c>
      <c r="AC206" s="344" t="s">
        <v>457</v>
      </c>
      <c r="AD206" s="1058" t="s">
        <v>540</v>
      </c>
      <c r="AE206" s="1059">
        <v>544705</v>
      </c>
      <c r="AF206" s="889" t="s">
        <v>459</v>
      </c>
      <c r="AG206" s="889" t="s">
        <v>459</v>
      </c>
    </row>
    <row r="207" spans="26:33" x14ac:dyDescent="0.35">
      <c r="Z207" s="344">
        <v>2164</v>
      </c>
      <c r="AA207" s="344" t="s">
        <v>539</v>
      </c>
      <c r="AB207" s="344">
        <v>1</v>
      </c>
      <c r="AC207" s="344" t="s">
        <v>457</v>
      </c>
      <c r="AD207" s="1058" t="s">
        <v>540</v>
      </c>
      <c r="AE207" s="1059">
        <v>566068</v>
      </c>
      <c r="AF207" s="889" t="s">
        <v>459</v>
      </c>
      <c r="AG207" s="889" t="s">
        <v>459</v>
      </c>
    </row>
    <row r="208" spans="26:33" x14ac:dyDescent="0.35">
      <c r="Z208" s="344">
        <v>2165</v>
      </c>
      <c r="AA208" s="344" t="s">
        <v>539</v>
      </c>
      <c r="AB208" s="344">
        <v>1</v>
      </c>
      <c r="AC208" s="344" t="s">
        <v>457</v>
      </c>
      <c r="AD208" s="1058" t="s">
        <v>540</v>
      </c>
      <c r="AE208" s="1059">
        <v>596692</v>
      </c>
      <c r="AF208" s="889" t="s">
        <v>460</v>
      </c>
      <c r="AG208" s="889" t="s">
        <v>459</v>
      </c>
    </row>
    <row r="209" spans="26:33" x14ac:dyDescent="0.35">
      <c r="Z209" s="344">
        <v>2166</v>
      </c>
      <c r="AA209" s="344" t="s">
        <v>539</v>
      </c>
      <c r="AB209" s="344">
        <v>1</v>
      </c>
      <c r="AC209" s="344" t="s">
        <v>457</v>
      </c>
      <c r="AD209" s="1058" t="s">
        <v>540</v>
      </c>
      <c r="AE209" s="1059">
        <v>622201</v>
      </c>
      <c r="AF209" s="889" t="s">
        <v>459</v>
      </c>
      <c r="AG209" s="889" t="s">
        <v>459</v>
      </c>
    </row>
    <row r="210" spans="26:33" x14ac:dyDescent="0.35">
      <c r="Z210" s="344">
        <v>2167</v>
      </c>
      <c r="AA210" s="344" t="s">
        <v>539</v>
      </c>
      <c r="AB210" s="344">
        <v>1</v>
      </c>
      <c r="AC210" s="344" t="s">
        <v>457</v>
      </c>
      <c r="AD210" s="1058" t="s">
        <v>540</v>
      </c>
      <c r="AE210" s="1059">
        <v>558325</v>
      </c>
      <c r="AF210" s="889" t="s">
        <v>459</v>
      </c>
      <c r="AG210" s="889" t="s">
        <v>459</v>
      </c>
    </row>
    <row r="211" spans="26:33" x14ac:dyDescent="0.35">
      <c r="Z211" s="344">
        <v>2168</v>
      </c>
      <c r="AA211" s="344" t="s">
        <v>539</v>
      </c>
      <c r="AB211" s="344">
        <v>1</v>
      </c>
      <c r="AC211" s="344" t="s">
        <v>457</v>
      </c>
      <c r="AD211" s="1058" t="s">
        <v>540</v>
      </c>
      <c r="AE211" s="1059">
        <v>483789</v>
      </c>
      <c r="AF211" s="889" t="s">
        <v>460</v>
      </c>
      <c r="AG211" s="889" t="s">
        <v>459</v>
      </c>
    </row>
    <row r="212" spans="26:33" x14ac:dyDescent="0.35">
      <c r="Z212" s="344">
        <v>2169</v>
      </c>
      <c r="AA212" s="344" t="s">
        <v>539</v>
      </c>
      <c r="AB212" s="344">
        <v>1</v>
      </c>
      <c r="AC212" s="344" t="e">
        <v>#N/A</v>
      </c>
      <c r="AD212" s="1058" t="s">
        <v>540</v>
      </c>
      <c r="AE212" s="1059" t="e">
        <v>#N/A</v>
      </c>
      <c r="AF212" s="889" t="s">
        <v>459</v>
      </c>
      <c r="AG212" s="889" t="s">
        <v>459</v>
      </c>
    </row>
    <row r="213" spans="26:33" x14ac:dyDescent="0.35">
      <c r="Z213" s="344">
        <v>2170</v>
      </c>
      <c r="AA213" s="344" t="s">
        <v>539</v>
      </c>
      <c r="AB213" s="344">
        <v>1</v>
      </c>
      <c r="AC213" s="344" t="s">
        <v>457</v>
      </c>
      <c r="AD213" s="1058" t="s">
        <v>540</v>
      </c>
      <c r="AE213" s="1059">
        <v>581909</v>
      </c>
      <c r="AF213" s="889" t="s">
        <v>459</v>
      </c>
      <c r="AG213" s="889" t="s">
        <v>460</v>
      </c>
    </row>
    <row r="214" spans="26:33" x14ac:dyDescent="0.35">
      <c r="Z214" s="344">
        <v>2171</v>
      </c>
      <c r="AA214" s="344" t="s">
        <v>539</v>
      </c>
      <c r="AB214" s="344">
        <v>1</v>
      </c>
      <c r="AC214" s="344" t="s">
        <v>457</v>
      </c>
      <c r="AD214" s="1058" t="s">
        <v>540</v>
      </c>
      <c r="AE214" s="1059">
        <v>680349</v>
      </c>
      <c r="AF214" s="889" t="s">
        <v>459</v>
      </c>
      <c r="AG214" s="889" t="s">
        <v>459</v>
      </c>
    </row>
    <row r="215" spans="26:33" x14ac:dyDescent="0.35">
      <c r="Z215" s="344">
        <v>2172</v>
      </c>
      <c r="AA215" s="344" t="s">
        <v>539</v>
      </c>
      <c r="AB215" s="344">
        <v>1</v>
      </c>
      <c r="AC215" s="344" t="s">
        <v>482</v>
      </c>
      <c r="AD215" s="1058" t="s">
        <v>540</v>
      </c>
      <c r="AE215" s="1059">
        <v>940420</v>
      </c>
      <c r="AF215" s="889" t="s">
        <v>459</v>
      </c>
      <c r="AG215" s="889" t="s">
        <v>459</v>
      </c>
    </row>
    <row r="216" spans="26:33" x14ac:dyDescent="0.35">
      <c r="Z216" s="344">
        <v>2173</v>
      </c>
      <c r="AA216" s="344" t="s">
        <v>539</v>
      </c>
      <c r="AB216" s="344">
        <v>1</v>
      </c>
      <c r="AC216" s="344" t="s">
        <v>457</v>
      </c>
      <c r="AD216" s="1058" t="s">
        <v>540</v>
      </c>
      <c r="AE216" s="1059">
        <v>597447</v>
      </c>
      <c r="AF216" s="889" t="s">
        <v>459</v>
      </c>
      <c r="AG216" s="889" t="s">
        <v>459</v>
      </c>
    </row>
    <row r="217" spans="26:33" x14ac:dyDescent="0.35">
      <c r="Z217" s="344">
        <v>2174</v>
      </c>
      <c r="AA217" s="344" t="s">
        <v>539</v>
      </c>
      <c r="AB217" s="344">
        <v>1</v>
      </c>
      <c r="AC217" s="344" t="s">
        <v>457</v>
      </c>
      <c r="AD217" s="1058" t="s">
        <v>540</v>
      </c>
      <c r="AE217" s="1059">
        <v>680262</v>
      </c>
      <c r="AF217" s="889" t="s">
        <v>459</v>
      </c>
      <c r="AG217" s="889" t="s">
        <v>459</v>
      </c>
    </row>
    <row r="218" spans="26:33" x14ac:dyDescent="0.35">
      <c r="Z218" s="344">
        <v>2175</v>
      </c>
      <c r="AA218" s="344" t="s">
        <v>539</v>
      </c>
      <c r="AB218" s="344">
        <v>1</v>
      </c>
      <c r="AC218" s="344" t="s">
        <v>482</v>
      </c>
      <c r="AD218" s="1058" t="s">
        <v>540</v>
      </c>
      <c r="AE218" s="1059">
        <v>1313356</v>
      </c>
      <c r="AF218" s="889" t="s">
        <v>459</v>
      </c>
      <c r="AG218" s="889" t="s">
        <v>459</v>
      </c>
    </row>
    <row r="219" spans="26:33" x14ac:dyDescent="0.35">
      <c r="Z219" s="344">
        <v>2176</v>
      </c>
      <c r="AA219" s="344" t="s">
        <v>539</v>
      </c>
      <c r="AB219" s="344">
        <v>1</v>
      </c>
      <c r="AC219" s="344" t="s">
        <v>457</v>
      </c>
      <c r="AD219" s="1058" t="s">
        <v>540</v>
      </c>
      <c r="AE219" s="1059">
        <v>638558</v>
      </c>
      <c r="AF219" s="889" t="s">
        <v>459</v>
      </c>
      <c r="AG219" s="889" t="s">
        <v>459</v>
      </c>
    </row>
    <row r="220" spans="26:33" x14ac:dyDescent="0.35">
      <c r="Z220" s="344">
        <v>2177</v>
      </c>
      <c r="AA220" s="344" t="s">
        <v>539</v>
      </c>
      <c r="AB220" s="344">
        <v>1</v>
      </c>
      <c r="AC220" s="344" t="s">
        <v>457</v>
      </c>
      <c r="AD220" s="1058" t="s">
        <v>540</v>
      </c>
      <c r="AE220" s="1059">
        <v>639168</v>
      </c>
      <c r="AF220" s="889" t="s">
        <v>459</v>
      </c>
      <c r="AG220" s="889" t="s">
        <v>459</v>
      </c>
    </row>
    <row r="221" spans="26:33" x14ac:dyDescent="0.35">
      <c r="Z221" s="344">
        <v>2178</v>
      </c>
      <c r="AA221" s="344" t="s">
        <v>539</v>
      </c>
      <c r="AB221" s="344">
        <v>1</v>
      </c>
      <c r="AC221" s="344" t="s">
        <v>482</v>
      </c>
      <c r="AD221" s="1058" t="s">
        <v>540</v>
      </c>
      <c r="AE221" s="1059">
        <v>1350124</v>
      </c>
      <c r="AF221" s="889" t="s">
        <v>460</v>
      </c>
      <c r="AG221" s="889" t="s">
        <v>459</v>
      </c>
    </row>
    <row r="222" spans="26:33" x14ac:dyDescent="0.35">
      <c r="Z222" s="344">
        <v>2179</v>
      </c>
      <c r="AA222" s="344" t="s">
        <v>539</v>
      </c>
      <c r="AB222" s="344">
        <v>1</v>
      </c>
      <c r="AC222" s="344" t="s">
        <v>482</v>
      </c>
      <c r="AD222" s="1058" t="s">
        <v>540</v>
      </c>
      <c r="AE222" s="1059">
        <v>1243006</v>
      </c>
      <c r="AF222" s="889" t="s">
        <v>459</v>
      </c>
      <c r="AG222" s="889" t="s">
        <v>459</v>
      </c>
    </row>
    <row r="223" spans="26:33" x14ac:dyDescent="0.35">
      <c r="Z223" s="344">
        <v>2180</v>
      </c>
      <c r="AA223" s="344" t="s">
        <v>539</v>
      </c>
      <c r="AB223" s="344">
        <v>1</v>
      </c>
      <c r="AC223" s="344" t="e">
        <v>#N/A</v>
      </c>
      <c r="AD223" s="1058" t="s">
        <v>540</v>
      </c>
      <c r="AE223" s="1059" t="e">
        <v>#N/A</v>
      </c>
      <c r="AF223" s="889" t="s">
        <v>459</v>
      </c>
      <c r="AG223" s="889" t="s">
        <v>459</v>
      </c>
    </row>
    <row r="224" spans="26:33" x14ac:dyDescent="0.35">
      <c r="Z224" s="344">
        <v>2181</v>
      </c>
      <c r="AA224" s="344" t="s">
        <v>539</v>
      </c>
      <c r="AB224" s="344">
        <v>1</v>
      </c>
      <c r="AC224" s="344" t="e">
        <v>#N/A</v>
      </c>
      <c r="AD224" s="1058" t="s">
        <v>540</v>
      </c>
      <c r="AE224" s="1059" t="e">
        <v>#N/A</v>
      </c>
      <c r="AF224" s="889" t="s">
        <v>459</v>
      </c>
      <c r="AG224" s="889" t="s">
        <v>459</v>
      </c>
    </row>
    <row r="225" spans="26:33" x14ac:dyDescent="0.35">
      <c r="Z225" s="344">
        <v>2182</v>
      </c>
      <c r="AA225" s="344" t="s">
        <v>539</v>
      </c>
      <c r="AB225" s="344">
        <v>1</v>
      </c>
      <c r="AC225" s="344" t="e">
        <v>#N/A</v>
      </c>
      <c r="AD225" s="1058" t="s">
        <v>540</v>
      </c>
      <c r="AE225" s="1059" t="e">
        <v>#N/A</v>
      </c>
      <c r="AF225" s="889" t="s">
        <v>459</v>
      </c>
      <c r="AG225" s="889" t="s">
        <v>459</v>
      </c>
    </row>
    <row r="226" spans="26:33" x14ac:dyDescent="0.35">
      <c r="Z226" s="344">
        <v>2183</v>
      </c>
      <c r="AA226" s="344" t="s">
        <v>539</v>
      </c>
      <c r="AB226" s="344">
        <v>1</v>
      </c>
      <c r="AC226" s="344" t="e">
        <v>#N/A</v>
      </c>
      <c r="AD226" s="1058" t="s">
        <v>540</v>
      </c>
      <c r="AE226" s="1059" t="e">
        <v>#N/A</v>
      </c>
      <c r="AF226" s="889" t="s">
        <v>459</v>
      </c>
      <c r="AG226" s="889" t="s">
        <v>459</v>
      </c>
    </row>
    <row r="227" spans="26:33" x14ac:dyDescent="0.35">
      <c r="Z227" s="344">
        <v>2184</v>
      </c>
      <c r="AA227" s="344" t="s">
        <v>539</v>
      </c>
      <c r="AB227" s="344">
        <v>1</v>
      </c>
      <c r="AC227" s="344" t="e">
        <v>#N/A</v>
      </c>
      <c r="AD227" s="1058" t="s">
        <v>540</v>
      </c>
      <c r="AE227" s="1059" t="e">
        <v>#N/A</v>
      </c>
      <c r="AF227" s="889" t="s">
        <v>459</v>
      </c>
      <c r="AG227" s="889" t="s">
        <v>459</v>
      </c>
    </row>
    <row r="228" spans="26:33" x14ac:dyDescent="0.35">
      <c r="Z228" s="344">
        <v>2185</v>
      </c>
      <c r="AA228" s="344" t="s">
        <v>539</v>
      </c>
      <c r="AB228" s="344">
        <v>1</v>
      </c>
      <c r="AC228" s="344" t="e">
        <v>#N/A</v>
      </c>
      <c r="AD228" s="1058" t="s">
        <v>540</v>
      </c>
      <c r="AE228" s="1059" t="e">
        <v>#N/A</v>
      </c>
      <c r="AF228" s="889" t="s">
        <v>459</v>
      </c>
      <c r="AG228" s="889" t="s">
        <v>459</v>
      </c>
    </row>
    <row r="229" spans="26:33" x14ac:dyDescent="0.35">
      <c r="Z229" s="344">
        <v>2186</v>
      </c>
      <c r="AA229" s="344" t="s">
        <v>539</v>
      </c>
      <c r="AB229" s="344">
        <v>1</v>
      </c>
      <c r="AC229" s="344" t="e">
        <v>#N/A</v>
      </c>
      <c r="AD229" s="1058" t="s">
        <v>540</v>
      </c>
      <c r="AE229" s="1059" t="e">
        <v>#N/A</v>
      </c>
      <c r="AF229" s="889" t="s">
        <v>459</v>
      </c>
      <c r="AG229" s="889" t="s">
        <v>459</v>
      </c>
    </row>
    <row r="230" spans="26:33" x14ac:dyDescent="0.35">
      <c r="Z230" s="344">
        <v>2187</v>
      </c>
      <c r="AA230" s="344" t="s">
        <v>539</v>
      </c>
      <c r="AB230" s="344">
        <v>1</v>
      </c>
      <c r="AC230" s="344" t="e">
        <v>#N/A</v>
      </c>
      <c r="AD230" s="1058" t="s">
        <v>540</v>
      </c>
      <c r="AE230" s="1059" t="e">
        <v>#N/A</v>
      </c>
      <c r="AF230" s="889" t="s">
        <v>459</v>
      </c>
      <c r="AG230" s="889" t="s">
        <v>459</v>
      </c>
    </row>
    <row r="231" spans="26:33" x14ac:dyDescent="0.35">
      <c r="Z231" s="344">
        <v>2188</v>
      </c>
      <c r="AA231" s="344" t="s">
        <v>539</v>
      </c>
      <c r="AB231" s="344">
        <v>1</v>
      </c>
      <c r="AC231" s="344" t="e">
        <v>#N/A</v>
      </c>
      <c r="AD231" s="1058" t="s">
        <v>540</v>
      </c>
      <c r="AE231" s="1059" t="e">
        <v>#N/A</v>
      </c>
      <c r="AF231" s="889" t="s">
        <v>459</v>
      </c>
      <c r="AG231" s="889" t="s">
        <v>459</v>
      </c>
    </row>
    <row r="232" spans="26:33" x14ac:dyDescent="0.35">
      <c r="Z232" s="344">
        <v>2189</v>
      </c>
      <c r="AA232" s="344" t="s">
        <v>539</v>
      </c>
      <c r="AB232" s="344">
        <v>1</v>
      </c>
      <c r="AC232" s="344" t="e">
        <v>#N/A</v>
      </c>
      <c r="AD232" s="1058" t="s">
        <v>540</v>
      </c>
      <c r="AE232" s="1059" t="e">
        <v>#N/A</v>
      </c>
      <c r="AF232" s="889" t="s">
        <v>459</v>
      </c>
      <c r="AG232" s="889" t="s">
        <v>459</v>
      </c>
    </row>
    <row r="233" spans="26:33" x14ac:dyDescent="0.35">
      <c r="Z233" s="344">
        <v>2190</v>
      </c>
      <c r="AA233" s="344" t="s">
        <v>539</v>
      </c>
      <c r="AB233" s="344">
        <v>1</v>
      </c>
      <c r="AC233" s="344" t="s">
        <v>457</v>
      </c>
      <c r="AD233" s="1058" t="s">
        <v>540</v>
      </c>
      <c r="AE233" s="1059">
        <v>728912</v>
      </c>
      <c r="AF233" s="889" t="s">
        <v>460</v>
      </c>
      <c r="AG233" s="889" t="s">
        <v>459</v>
      </c>
    </row>
    <row r="234" spans="26:33" x14ac:dyDescent="0.35">
      <c r="Z234" s="344">
        <v>2191</v>
      </c>
      <c r="AA234" s="344" t="s">
        <v>539</v>
      </c>
      <c r="AB234" s="344">
        <v>1</v>
      </c>
      <c r="AC234" s="344" t="s">
        <v>482</v>
      </c>
      <c r="AD234" s="1058" t="s">
        <v>540</v>
      </c>
      <c r="AE234" s="1059">
        <v>906745</v>
      </c>
      <c r="AF234" s="889" t="s">
        <v>459</v>
      </c>
      <c r="AG234" s="889" t="s">
        <v>459</v>
      </c>
    </row>
    <row r="235" spans="26:33" x14ac:dyDescent="0.35">
      <c r="Z235" s="344">
        <v>2192</v>
      </c>
      <c r="AA235" s="344" t="s">
        <v>539</v>
      </c>
      <c r="AB235" s="344">
        <v>1</v>
      </c>
      <c r="AC235" s="344" t="s">
        <v>479</v>
      </c>
      <c r="AD235" s="1058" t="s">
        <v>540</v>
      </c>
      <c r="AE235" s="1059">
        <v>802842</v>
      </c>
      <c r="AF235" s="889" t="s">
        <v>459</v>
      </c>
      <c r="AG235" s="889" t="s">
        <v>459</v>
      </c>
    </row>
    <row r="236" spans="26:33" x14ac:dyDescent="0.35">
      <c r="Z236" s="344">
        <v>2193</v>
      </c>
      <c r="AA236" s="344" t="s">
        <v>539</v>
      </c>
      <c r="AB236" s="344">
        <v>1</v>
      </c>
      <c r="AC236" s="344" t="s">
        <v>482</v>
      </c>
      <c r="AD236" s="1058" t="s">
        <v>540</v>
      </c>
      <c r="AE236" s="1059">
        <v>1053083</v>
      </c>
      <c r="AF236" s="889" t="s">
        <v>459</v>
      </c>
      <c r="AG236" s="889" t="s">
        <v>460</v>
      </c>
    </row>
    <row r="237" spans="26:33" x14ac:dyDescent="0.35">
      <c r="Z237" s="344">
        <v>2194</v>
      </c>
      <c r="AA237" s="344" t="s">
        <v>539</v>
      </c>
      <c r="AB237" s="344">
        <v>1</v>
      </c>
      <c r="AC237" s="344" t="s">
        <v>482</v>
      </c>
      <c r="AD237" s="1058" t="s">
        <v>540</v>
      </c>
      <c r="AE237" s="1059">
        <v>952381</v>
      </c>
      <c r="AF237" s="889" t="s">
        <v>459</v>
      </c>
      <c r="AG237" s="889" t="s">
        <v>459</v>
      </c>
    </row>
    <row r="238" spans="26:33" x14ac:dyDescent="0.35">
      <c r="Z238" s="344">
        <v>2195</v>
      </c>
      <c r="AA238" s="344" t="s">
        <v>539</v>
      </c>
      <c r="AB238" s="344">
        <v>1</v>
      </c>
      <c r="AC238" s="344" t="s">
        <v>457</v>
      </c>
      <c r="AD238" s="1058" t="s">
        <v>540</v>
      </c>
      <c r="AE238" s="1059">
        <v>669549</v>
      </c>
      <c r="AF238" s="889" t="s">
        <v>459</v>
      </c>
      <c r="AG238" s="889" t="s">
        <v>460</v>
      </c>
    </row>
    <row r="239" spans="26:33" x14ac:dyDescent="0.35">
      <c r="Z239" s="344">
        <v>2196</v>
      </c>
      <c r="AA239" s="344" t="s">
        <v>539</v>
      </c>
      <c r="AB239" s="344">
        <v>1</v>
      </c>
      <c r="AC239" s="344" t="s">
        <v>457</v>
      </c>
      <c r="AD239" s="1058" t="s">
        <v>540</v>
      </c>
      <c r="AE239" s="1059">
        <v>730243</v>
      </c>
      <c r="AF239" s="889" t="s">
        <v>460</v>
      </c>
      <c r="AG239" s="889" t="s">
        <v>459</v>
      </c>
    </row>
    <row r="240" spans="26:33" x14ac:dyDescent="0.35">
      <c r="Z240" s="344">
        <v>2197</v>
      </c>
      <c r="AA240" s="344" t="s">
        <v>539</v>
      </c>
      <c r="AB240" s="344">
        <v>1</v>
      </c>
      <c r="AC240" s="344" t="s">
        <v>457</v>
      </c>
      <c r="AD240" s="1058" t="s">
        <v>540</v>
      </c>
      <c r="AE240" s="1059">
        <v>632713</v>
      </c>
      <c r="AF240" s="889" t="s">
        <v>460</v>
      </c>
      <c r="AG240" s="889" t="s">
        <v>459</v>
      </c>
    </row>
    <row r="241" spans="26:33" x14ac:dyDescent="0.35">
      <c r="Z241" s="344">
        <v>2198</v>
      </c>
      <c r="AA241" s="344" t="s">
        <v>539</v>
      </c>
      <c r="AB241" s="344">
        <v>1</v>
      </c>
      <c r="AC241" s="344" t="s">
        <v>457</v>
      </c>
      <c r="AD241" s="1058" t="s">
        <v>540</v>
      </c>
      <c r="AE241" s="1059">
        <v>687729</v>
      </c>
      <c r="AF241" s="889" t="s">
        <v>459</v>
      </c>
      <c r="AG241" s="889" t="s">
        <v>459</v>
      </c>
    </row>
    <row r="242" spans="26:33" x14ac:dyDescent="0.35">
      <c r="Z242" s="344">
        <v>2199</v>
      </c>
      <c r="AA242" s="344" t="s">
        <v>539</v>
      </c>
      <c r="AB242" s="344">
        <v>1</v>
      </c>
      <c r="AC242" s="344" t="s">
        <v>457</v>
      </c>
      <c r="AD242" s="1058" t="s">
        <v>540</v>
      </c>
      <c r="AE242" s="1059">
        <v>692758</v>
      </c>
      <c r="AF242" s="889" t="s">
        <v>460</v>
      </c>
      <c r="AG242" s="889" t="s">
        <v>459</v>
      </c>
    </row>
    <row r="243" spans="26:33" x14ac:dyDescent="0.35">
      <c r="Z243" s="344">
        <v>2200</v>
      </c>
      <c r="AA243" s="344" t="s">
        <v>539</v>
      </c>
      <c r="AB243" s="344">
        <v>1</v>
      </c>
      <c r="AC243" s="344" t="s">
        <v>457</v>
      </c>
      <c r="AD243" s="1058" t="s">
        <v>540</v>
      </c>
      <c r="AE243" s="1059">
        <v>700252</v>
      </c>
      <c r="AF243" s="889" t="s">
        <v>460</v>
      </c>
      <c r="AG243" s="889" t="s">
        <v>459</v>
      </c>
    </row>
    <row r="244" spans="26:33" x14ac:dyDescent="0.35">
      <c r="Z244" s="344">
        <v>2201</v>
      </c>
      <c r="AA244" s="344" t="s">
        <v>539</v>
      </c>
      <c r="AB244" s="344">
        <v>1</v>
      </c>
      <c r="AC244" s="344" t="e">
        <v>#N/A</v>
      </c>
      <c r="AD244" s="1058" t="s">
        <v>540</v>
      </c>
      <c r="AE244" s="1059" t="e">
        <v>#N/A</v>
      </c>
      <c r="AF244" s="889" t="s">
        <v>459</v>
      </c>
      <c r="AG244" s="889" t="s">
        <v>459</v>
      </c>
    </row>
    <row r="245" spans="26:33" x14ac:dyDescent="0.35">
      <c r="Z245" s="344">
        <v>2202</v>
      </c>
      <c r="AA245" s="344" t="s">
        <v>539</v>
      </c>
      <c r="AB245" s="344">
        <v>1</v>
      </c>
      <c r="AC245" s="344" t="e">
        <v>#N/A</v>
      </c>
      <c r="AD245" s="1058" t="s">
        <v>540</v>
      </c>
      <c r="AE245" s="1059" t="e">
        <v>#N/A</v>
      </c>
      <c r="AF245" s="889" t="s">
        <v>459</v>
      </c>
      <c r="AG245" s="889" t="s">
        <v>459</v>
      </c>
    </row>
    <row r="246" spans="26:33" x14ac:dyDescent="0.35">
      <c r="Z246" s="344">
        <v>2203</v>
      </c>
      <c r="AA246" s="344" t="s">
        <v>539</v>
      </c>
      <c r="AB246" s="344">
        <v>1</v>
      </c>
      <c r="AC246" s="344" t="s">
        <v>482</v>
      </c>
      <c r="AD246" s="1058" t="s">
        <v>540</v>
      </c>
      <c r="AE246" s="1059">
        <v>1132943</v>
      </c>
      <c r="AF246" s="889" t="s">
        <v>459</v>
      </c>
      <c r="AG246" s="889" t="s">
        <v>459</v>
      </c>
    </row>
    <row r="247" spans="26:33" x14ac:dyDescent="0.35">
      <c r="Z247" s="344">
        <v>2204</v>
      </c>
      <c r="AA247" s="344" t="s">
        <v>539</v>
      </c>
      <c r="AB247" s="344">
        <v>1</v>
      </c>
      <c r="AC247" s="344" t="s">
        <v>482</v>
      </c>
      <c r="AD247" s="1058" t="s">
        <v>540</v>
      </c>
      <c r="AE247" s="1059">
        <v>945571</v>
      </c>
      <c r="AF247" s="889" t="s">
        <v>459</v>
      </c>
      <c r="AG247" s="889" t="s">
        <v>459</v>
      </c>
    </row>
    <row r="248" spans="26:33" x14ac:dyDescent="0.35">
      <c r="Z248" s="344">
        <v>2205</v>
      </c>
      <c r="AA248" s="344" t="s">
        <v>539</v>
      </c>
      <c r="AB248" s="344">
        <v>1</v>
      </c>
      <c r="AC248" s="344" t="s">
        <v>479</v>
      </c>
      <c r="AD248" s="1058" t="s">
        <v>540</v>
      </c>
      <c r="AE248" s="1059">
        <v>814181</v>
      </c>
      <c r="AF248" s="889" t="s">
        <v>459</v>
      </c>
      <c r="AG248" s="889" t="s">
        <v>460</v>
      </c>
    </row>
    <row r="249" spans="26:33" x14ac:dyDescent="0.35">
      <c r="Z249" s="344">
        <v>2206</v>
      </c>
      <c r="AA249" s="344" t="s">
        <v>539</v>
      </c>
      <c r="AB249" s="344">
        <v>1</v>
      </c>
      <c r="AC249" s="344" t="s">
        <v>482</v>
      </c>
      <c r="AD249" s="1058" t="s">
        <v>540</v>
      </c>
      <c r="AE249" s="1059">
        <v>963203</v>
      </c>
      <c r="AF249" s="889" t="s">
        <v>459</v>
      </c>
      <c r="AG249" s="889" t="s">
        <v>459</v>
      </c>
    </row>
    <row r="250" spans="26:33" x14ac:dyDescent="0.35">
      <c r="Z250" s="344">
        <v>2207</v>
      </c>
      <c r="AA250" s="344" t="s">
        <v>539</v>
      </c>
      <c r="AB250" s="344">
        <v>1</v>
      </c>
      <c r="AC250" s="344" t="s">
        <v>482</v>
      </c>
      <c r="AD250" s="1058" t="s">
        <v>540</v>
      </c>
      <c r="AE250" s="1059">
        <v>917887</v>
      </c>
      <c r="AF250" s="889" t="s">
        <v>459</v>
      </c>
      <c r="AG250" s="889" t="s">
        <v>459</v>
      </c>
    </row>
    <row r="251" spans="26:33" x14ac:dyDescent="0.35">
      <c r="Z251" s="344">
        <v>2208</v>
      </c>
      <c r="AA251" s="344" t="s">
        <v>539</v>
      </c>
      <c r="AB251" s="344">
        <v>1</v>
      </c>
      <c r="AC251" s="344" t="s">
        <v>482</v>
      </c>
      <c r="AD251" s="1058" t="s">
        <v>540</v>
      </c>
      <c r="AE251" s="1059">
        <v>926959</v>
      </c>
      <c r="AF251" s="889" t="s">
        <v>459</v>
      </c>
      <c r="AG251" s="889" t="s">
        <v>459</v>
      </c>
    </row>
    <row r="252" spans="26:33" x14ac:dyDescent="0.35">
      <c r="Z252" s="344">
        <v>2209</v>
      </c>
      <c r="AA252" s="344" t="s">
        <v>539</v>
      </c>
      <c r="AB252" s="344">
        <v>1</v>
      </c>
      <c r="AC252" s="344" t="s">
        <v>479</v>
      </c>
      <c r="AD252" s="1058" t="s">
        <v>540</v>
      </c>
      <c r="AE252" s="1059">
        <v>888911</v>
      </c>
      <c r="AF252" s="889" t="s">
        <v>459</v>
      </c>
      <c r="AG252" s="889" t="s">
        <v>459</v>
      </c>
    </row>
    <row r="253" spans="26:33" x14ac:dyDescent="0.35">
      <c r="Z253" s="344">
        <v>2210</v>
      </c>
      <c r="AA253" s="344" t="s">
        <v>539</v>
      </c>
      <c r="AB253" s="344">
        <v>1</v>
      </c>
      <c r="AC253" s="344" t="s">
        <v>479</v>
      </c>
      <c r="AD253" s="1058" t="s">
        <v>540</v>
      </c>
      <c r="AE253" s="1059">
        <v>868597</v>
      </c>
      <c r="AF253" s="889" t="s">
        <v>459</v>
      </c>
      <c r="AG253" s="889" t="s">
        <v>459</v>
      </c>
    </row>
    <row r="254" spans="26:33" x14ac:dyDescent="0.35">
      <c r="Z254" s="344">
        <v>2211</v>
      </c>
      <c r="AA254" s="344" t="s">
        <v>539</v>
      </c>
      <c r="AB254" s="344">
        <v>1</v>
      </c>
      <c r="AC254" s="344" t="s">
        <v>479</v>
      </c>
      <c r="AD254" s="1058" t="s">
        <v>540</v>
      </c>
      <c r="AE254" s="1059">
        <v>766034</v>
      </c>
      <c r="AF254" s="889" t="s">
        <v>459</v>
      </c>
      <c r="AG254" s="889" t="s">
        <v>459</v>
      </c>
    </row>
    <row r="255" spans="26:33" x14ac:dyDescent="0.35">
      <c r="Z255" s="344">
        <v>2212</v>
      </c>
      <c r="AA255" s="344" t="s">
        <v>539</v>
      </c>
      <c r="AB255" s="344">
        <v>1</v>
      </c>
      <c r="AC255" s="344" t="s">
        <v>457</v>
      </c>
      <c r="AD255" s="1058" t="s">
        <v>540</v>
      </c>
      <c r="AE255" s="1059">
        <v>745355</v>
      </c>
      <c r="AF255" s="889" t="s">
        <v>459</v>
      </c>
      <c r="AG255" s="889" t="s">
        <v>459</v>
      </c>
    </row>
    <row r="256" spans="26:33" x14ac:dyDescent="0.35">
      <c r="Z256" s="344">
        <v>2213</v>
      </c>
      <c r="AA256" s="344" t="s">
        <v>539</v>
      </c>
      <c r="AB256" s="344">
        <v>1</v>
      </c>
      <c r="AC256" s="344" t="s">
        <v>479</v>
      </c>
      <c r="AD256" s="1058" t="s">
        <v>540</v>
      </c>
      <c r="AE256" s="1059">
        <v>761126</v>
      </c>
      <c r="AF256" s="889" t="s">
        <v>459</v>
      </c>
      <c r="AG256" s="889" t="s">
        <v>459</v>
      </c>
    </row>
    <row r="257" spans="26:33" x14ac:dyDescent="0.35">
      <c r="Z257" s="344">
        <v>2214</v>
      </c>
      <c r="AA257" s="344" t="s">
        <v>539</v>
      </c>
      <c r="AB257" s="344">
        <v>1</v>
      </c>
      <c r="AC257" s="344" t="s">
        <v>457</v>
      </c>
      <c r="AD257" s="1058" t="s">
        <v>540</v>
      </c>
      <c r="AE257" s="1059">
        <v>687589</v>
      </c>
      <c r="AF257" s="889" t="s">
        <v>459</v>
      </c>
      <c r="AG257" s="889" t="s">
        <v>459</v>
      </c>
    </row>
    <row r="258" spans="26:33" x14ac:dyDescent="0.35">
      <c r="Z258" s="344">
        <v>2215</v>
      </c>
      <c r="AA258" s="344" t="s">
        <v>539</v>
      </c>
      <c r="AB258" s="344">
        <v>1</v>
      </c>
      <c r="AC258" s="344" t="e">
        <v>#N/A</v>
      </c>
      <c r="AD258" s="1058" t="s">
        <v>540</v>
      </c>
      <c r="AE258" s="1059" t="e">
        <v>#N/A</v>
      </c>
      <c r="AF258" s="889" t="s">
        <v>459</v>
      </c>
      <c r="AG258" s="889" t="s">
        <v>459</v>
      </c>
    </row>
    <row r="259" spans="26:33" x14ac:dyDescent="0.35">
      <c r="Z259" s="344">
        <v>2216</v>
      </c>
      <c r="AA259" s="344" t="s">
        <v>539</v>
      </c>
      <c r="AB259" s="344">
        <v>1</v>
      </c>
      <c r="AC259" s="344" t="s">
        <v>482</v>
      </c>
      <c r="AD259" s="1058" t="s">
        <v>540</v>
      </c>
      <c r="AE259" s="1059">
        <v>983782</v>
      </c>
      <c r="AF259" s="889" t="s">
        <v>459</v>
      </c>
      <c r="AG259" s="889" t="s">
        <v>460</v>
      </c>
    </row>
    <row r="260" spans="26:33" x14ac:dyDescent="0.35">
      <c r="Z260" s="344">
        <v>2217</v>
      </c>
      <c r="AA260" s="344" t="s">
        <v>539</v>
      </c>
      <c r="AB260" s="344">
        <v>1</v>
      </c>
      <c r="AC260" s="344" t="s">
        <v>482</v>
      </c>
      <c r="AD260" s="1058" t="s">
        <v>540</v>
      </c>
      <c r="AE260" s="1059">
        <v>1133693</v>
      </c>
      <c r="AF260" s="889" t="s">
        <v>459</v>
      </c>
      <c r="AG260" s="889" t="s">
        <v>459</v>
      </c>
    </row>
    <row r="261" spans="26:33" x14ac:dyDescent="0.35">
      <c r="Z261" s="344">
        <v>2218</v>
      </c>
      <c r="AA261" s="344" t="s">
        <v>539</v>
      </c>
      <c r="AB261" s="344">
        <v>1</v>
      </c>
      <c r="AC261" s="344" t="s">
        <v>482</v>
      </c>
      <c r="AD261" s="1058" t="s">
        <v>540</v>
      </c>
      <c r="AE261" s="1059">
        <v>943094</v>
      </c>
      <c r="AF261" s="889" t="s">
        <v>459</v>
      </c>
      <c r="AG261" s="889" t="s">
        <v>459</v>
      </c>
    </row>
    <row r="262" spans="26:33" x14ac:dyDescent="0.35">
      <c r="Z262" s="344">
        <v>2219</v>
      </c>
      <c r="AA262" s="344" t="s">
        <v>539</v>
      </c>
      <c r="AB262" s="344">
        <v>1</v>
      </c>
      <c r="AC262" s="344" t="s">
        <v>482</v>
      </c>
      <c r="AD262" s="1058" t="s">
        <v>540</v>
      </c>
      <c r="AE262" s="1059">
        <v>1267243</v>
      </c>
      <c r="AF262" s="889" t="s">
        <v>459</v>
      </c>
      <c r="AG262" s="889" t="s">
        <v>459</v>
      </c>
    </row>
    <row r="263" spans="26:33" x14ac:dyDescent="0.35">
      <c r="Z263" s="344">
        <v>2220</v>
      </c>
      <c r="AA263" s="344" t="s">
        <v>539</v>
      </c>
      <c r="AB263" s="344">
        <v>1</v>
      </c>
      <c r="AC263" s="344" t="s">
        <v>482</v>
      </c>
      <c r="AD263" s="1058" t="s">
        <v>540</v>
      </c>
      <c r="AE263" s="1059">
        <v>1206358</v>
      </c>
      <c r="AF263" s="889" t="s">
        <v>459</v>
      </c>
      <c r="AG263" s="889" t="s">
        <v>460</v>
      </c>
    </row>
    <row r="264" spans="26:33" x14ac:dyDescent="0.35">
      <c r="Z264" s="344">
        <v>2221</v>
      </c>
      <c r="AA264" s="344" t="s">
        <v>539</v>
      </c>
      <c r="AB264" s="344">
        <v>1</v>
      </c>
      <c r="AC264" s="344" t="s">
        <v>482</v>
      </c>
      <c r="AD264" s="1058" t="s">
        <v>540</v>
      </c>
      <c r="AE264" s="1059">
        <v>1322033</v>
      </c>
      <c r="AF264" s="889" t="s">
        <v>459</v>
      </c>
      <c r="AG264" s="889" t="s">
        <v>459</v>
      </c>
    </row>
    <row r="265" spans="26:33" x14ac:dyDescent="0.35">
      <c r="Z265" s="344">
        <v>2222</v>
      </c>
      <c r="AA265" s="344" t="s">
        <v>539</v>
      </c>
      <c r="AB265" s="344">
        <v>1</v>
      </c>
      <c r="AC265" s="344" t="s">
        <v>482</v>
      </c>
      <c r="AD265" s="1058" t="s">
        <v>540</v>
      </c>
      <c r="AE265" s="1059">
        <v>916226</v>
      </c>
      <c r="AF265" s="889" t="s">
        <v>459</v>
      </c>
      <c r="AG265" s="889" t="s">
        <v>459</v>
      </c>
    </row>
    <row r="266" spans="26:33" x14ac:dyDescent="0.35">
      <c r="Z266" s="344">
        <v>2223</v>
      </c>
      <c r="AA266" s="344" t="s">
        <v>539</v>
      </c>
      <c r="AB266" s="344">
        <v>1</v>
      </c>
      <c r="AC266" s="344" t="s">
        <v>482</v>
      </c>
      <c r="AD266" s="1058" t="s">
        <v>540</v>
      </c>
      <c r="AE266" s="1059">
        <v>1004040</v>
      </c>
      <c r="AF266" s="889" t="s">
        <v>459</v>
      </c>
      <c r="AG266" s="889" t="s">
        <v>459</v>
      </c>
    </row>
    <row r="267" spans="26:33" x14ac:dyDescent="0.35">
      <c r="Z267" s="344">
        <v>2224</v>
      </c>
      <c r="AA267" s="344" t="s">
        <v>539</v>
      </c>
      <c r="AB267" s="344">
        <v>1</v>
      </c>
      <c r="AC267" s="344" t="s">
        <v>482</v>
      </c>
      <c r="AD267" s="1058" t="s">
        <v>540</v>
      </c>
      <c r="AE267" s="1059">
        <v>1520871</v>
      </c>
      <c r="AF267" s="889" t="s">
        <v>459</v>
      </c>
      <c r="AG267" s="889" t="s">
        <v>459</v>
      </c>
    </row>
    <row r="268" spans="26:33" x14ac:dyDescent="0.35">
      <c r="Z268" s="344">
        <v>2225</v>
      </c>
      <c r="AA268" s="344" t="s">
        <v>539</v>
      </c>
      <c r="AB268" s="344">
        <v>1</v>
      </c>
      <c r="AC268" s="344" t="s">
        <v>479</v>
      </c>
      <c r="AD268" s="1058" t="s">
        <v>540</v>
      </c>
      <c r="AE268" s="1059">
        <v>880138</v>
      </c>
      <c r="AF268" s="889" t="s">
        <v>459</v>
      </c>
      <c r="AG268" s="889" t="s">
        <v>459</v>
      </c>
    </row>
    <row r="269" spans="26:33" x14ac:dyDescent="0.35">
      <c r="Z269" s="344">
        <v>2226</v>
      </c>
      <c r="AA269" s="344" t="s">
        <v>539</v>
      </c>
      <c r="AB269" s="344">
        <v>1</v>
      </c>
      <c r="AC269" s="344" t="s">
        <v>479</v>
      </c>
      <c r="AD269" s="1058" t="s">
        <v>540</v>
      </c>
      <c r="AE269" s="1059">
        <v>874162</v>
      </c>
      <c r="AF269" s="889" t="s">
        <v>459</v>
      </c>
      <c r="AG269" s="889" t="s">
        <v>459</v>
      </c>
    </row>
    <row r="270" spans="26:33" x14ac:dyDescent="0.35">
      <c r="Z270" s="344">
        <v>2227</v>
      </c>
      <c r="AA270" s="344" t="s">
        <v>539</v>
      </c>
      <c r="AB270" s="344">
        <v>1</v>
      </c>
      <c r="AC270" s="344" t="s">
        <v>482</v>
      </c>
      <c r="AD270" s="1058" t="s">
        <v>540</v>
      </c>
      <c r="AE270" s="1059">
        <v>922661</v>
      </c>
      <c r="AF270" s="889" t="s">
        <v>459</v>
      </c>
      <c r="AG270" s="889" t="s">
        <v>459</v>
      </c>
    </row>
    <row r="271" spans="26:33" x14ac:dyDescent="0.35">
      <c r="Z271" s="344">
        <v>2228</v>
      </c>
      <c r="AA271" s="344" t="s">
        <v>539</v>
      </c>
      <c r="AB271" s="344">
        <v>1</v>
      </c>
      <c r="AC271" s="344" t="s">
        <v>482</v>
      </c>
      <c r="AD271" s="1058" t="s">
        <v>540</v>
      </c>
      <c r="AE271" s="1059">
        <v>1115200</v>
      </c>
      <c r="AF271" s="889" t="s">
        <v>459</v>
      </c>
      <c r="AG271" s="889" t="s">
        <v>459</v>
      </c>
    </row>
    <row r="272" spans="26:33" x14ac:dyDescent="0.35">
      <c r="Z272" s="344">
        <v>2229</v>
      </c>
      <c r="AA272" s="344" t="s">
        <v>539</v>
      </c>
      <c r="AB272" s="344">
        <v>1</v>
      </c>
      <c r="AC272" s="344" t="s">
        <v>482</v>
      </c>
      <c r="AD272" s="1058" t="s">
        <v>540</v>
      </c>
      <c r="AE272" s="1059">
        <v>1289727</v>
      </c>
      <c r="AF272" s="889" t="s">
        <v>459</v>
      </c>
      <c r="AG272" s="889" t="s">
        <v>459</v>
      </c>
    </row>
    <row r="273" spans="26:33" x14ac:dyDescent="0.35">
      <c r="Z273" s="344">
        <v>2230</v>
      </c>
      <c r="AA273" s="344" t="s">
        <v>539</v>
      </c>
      <c r="AB273" s="344">
        <v>1</v>
      </c>
      <c r="AC273" s="344" t="s">
        <v>482</v>
      </c>
      <c r="AD273" s="1058" t="s">
        <v>540</v>
      </c>
      <c r="AE273" s="1059">
        <v>1231089</v>
      </c>
      <c r="AF273" s="889" t="s">
        <v>459</v>
      </c>
      <c r="AG273" s="889" t="s">
        <v>459</v>
      </c>
    </row>
    <row r="274" spans="26:33" x14ac:dyDescent="0.35">
      <c r="Z274" s="344">
        <v>2231</v>
      </c>
      <c r="AA274" s="344" t="s">
        <v>539</v>
      </c>
      <c r="AB274" s="344">
        <v>1</v>
      </c>
      <c r="AC274" s="344" t="s">
        <v>479</v>
      </c>
      <c r="AD274" s="1058" t="s">
        <v>540</v>
      </c>
      <c r="AE274" s="1059">
        <v>758716</v>
      </c>
      <c r="AF274" s="889" t="s">
        <v>460</v>
      </c>
      <c r="AG274" s="889" t="s">
        <v>459</v>
      </c>
    </row>
    <row r="275" spans="26:33" x14ac:dyDescent="0.35">
      <c r="Z275" s="344">
        <v>2232</v>
      </c>
      <c r="AA275" s="344" t="s">
        <v>539</v>
      </c>
      <c r="AB275" s="344">
        <v>1</v>
      </c>
      <c r="AC275" s="344" t="s">
        <v>479</v>
      </c>
      <c r="AD275" s="1058" t="s">
        <v>540</v>
      </c>
      <c r="AE275" s="1059">
        <v>817998</v>
      </c>
      <c r="AF275" s="889" t="s">
        <v>459</v>
      </c>
      <c r="AG275" s="889" t="s">
        <v>459</v>
      </c>
    </row>
    <row r="276" spans="26:33" x14ac:dyDescent="0.35">
      <c r="Z276" s="344">
        <v>2233</v>
      </c>
      <c r="AA276" s="344" t="s">
        <v>539</v>
      </c>
      <c r="AB276" s="344">
        <v>1</v>
      </c>
      <c r="AC276" s="344" t="s">
        <v>457</v>
      </c>
      <c r="AD276" s="1058" t="s">
        <v>540</v>
      </c>
      <c r="AE276" s="1059">
        <v>738337</v>
      </c>
      <c r="AF276" s="889" t="s">
        <v>459</v>
      </c>
      <c r="AG276" s="889" t="s">
        <v>459</v>
      </c>
    </row>
    <row r="277" spans="26:33" x14ac:dyDescent="0.35">
      <c r="Z277" s="344">
        <v>2234</v>
      </c>
      <c r="AA277" s="344" t="s">
        <v>539</v>
      </c>
      <c r="AB277" s="344">
        <v>1</v>
      </c>
      <c r="AC277" s="344" t="s">
        <v>479</v>
      </c>
      <c r="AD277" s="1058" t="s">
        <v>540</v>
      </c>
      <c r="AE277" s="1059">
        <v>870097</v>
      </c>
      <c r="AF277" s="889" t="s">
        <v>459</v>
      </c>
      <c r="AG277" s="889" t="s">
        <v>459</v>
      </c>
    </row>
    <row r="278" spans="26:33" x14ac:dyDescent="0.35">
      <c r="Z278" s="344">
        <v>2250</v>
      </c>
      <c r="AA278" s="344" t="s">
        <v>539</v>
      </c>
      <c r="AB278" s="344">
        <v>1</v>
      </c>
      <c r="AC278" s="344" t="s">
        <v>457</v>
      </c>
      <c r="AD278" s="1058" t="s">
        <v>540</v>
      </c>
      <c r="AE278" s="1059">
        <v>573982</v>
      </c>
      <c r="AF278" s="889" t="s">
        <v>459</v>
      </c>
      <c r="AG278" s="889" t="s">
        <v>459</v>
      </c>
    </row>
    <row r="279" spans="26:33" x14ac:dyDescent="0.35">
      <c r="Z279" s="344">
        <v>2251</v>
      </c>
      <c r="AA279" s="344" t="s">
        <v>539</v>
      </c>
      <c r="AB279" s="344">
        <v>1</v>
      </c>
      <c r="AC279" s="344" t="s">
        <v>457</v>
      </c>
      <c r="AD279" s="1058" t="s">
        <v>540</v>
      </c>
      <c r="AE279" s="1059">
        <v>575879</v>
      </c>
      <c r="AF279" s="889" t="s">
        <v>459</v>
      </c>
      <c r="AG279" s="889" t="s">
        <v>459</v>
      </c>
    </row>
    <row r="280" spans="26:33" x14ac:dyDescent="0.35">
      <c r="Z280" s="344">
        <v>2252</v>
      </c>
      <c r="AA280" s="344" t="s">
        <v>539</v>
      </c>
      <c r="AB280" s="344">
        <v>1</v>
      </c>
      <c r="AC280" s="344" t="e">
        <v>#N/A</v>
      </c>
      <c r="AD280" s="1058" t="s">
        <v>540</v>
      </c>
      <c r="AE280" s="1059" t="e">
        <v>#N/A</v>
      </c>
      <c r="AF280" s="889" t="s">
        <v>459</v>
      </c>
      <c r="AG280" s="889" t="s">
        <v>459</v>
      </c>
    </row>
    <row r="281" spans="26:33" x14ac:dyDescent="0.35">
      <c r="Z281" s="344">
        <v>2253</v>
      </c>
      <c r="AA281" s="344" t="s">
        <v>539</v>
      </c>
      <c r="AB281" s="344">
        <v>1</v>
      </c>
      <c r="AC281" s="344" t="e">
        <v>#N/A</v>
      </c>
      <c r="AD281" s="1058" t="s">
        <v>540</v>
      </c>
      <c r="AE281" s="1059" t="e">
        <v>#N/A</v>
      </c>
      <c r="AF281" s="889" t="s">
        <v>459</v>
      </c>
      <c r="AG281" s="889" t="s">
        <v>459</v>
      </c>
    </row>
    <row r="282" spans="26:33" x14ac:dyDescent="0.35">
      <c r="Z282" s="344">
        <v>2254</v>
      </c>
      <c r="AA282" s="344" t="s">
        <v>539</v>
      </c>
      <c r="AB282" s="344">
        <v>1</v>
      </c>
      <c r="AC282" s="344" t="e">
        <v>#N/A</v>
      </c>
      <c r="AD282" s="1058" t="s">
        <v>540</v>
      </c>
      <c r="AE282" s="1059" t="e">
        <v>#N/A</v>
      </c>
      <c r="AF282" s="889" t="s">
        <v>459</v>
      </c>
      <c r="AG282" s="889" t="s">
        <v>459</v>
      </c>
    </row>
    <row r="283" spans="26:33" x14ac:dyDescent="0.35">
      <c r="Z283" s="344">
        <v>2255</v>
      </c>
      <c r="AA283" s="344" t="s">
        <v>539</v>
      </c>
      <c r="AB283" s="344">
        <v>1</v>
      </c>
      <c r="AC283" s="344" t="e">
        <v>#N/A</v>
      </c>
      <c r="AD283" s="1058" t="s">
        <v>540</v>
      </c>
      <c r="AE283" s="1059" t="e">
        <v>#N/A</v>
      </c>
      <c r="AF283" s="889" t="s">
        <v>459</v>
      </c>
      <c r="AG283" s="889" t="s">
        <v>459</v>
      </c>
    </row>
    <row r="284" spans="26:33" x14ac:dyDescent="0.35">
      <c r="Z284" s="344">
        <v>2256</v>
      </c>
      <c r="AA284" s="344" t="s">
        <v>539</v>
      </c>
      <c r="AB284" s="344">
        <v>1</v>
      </c>
      <c r="AC284" s="344" t="s">
        <v>457</v>
      </c>
      <c r="AD284" s="1058" t="s">
        <v>540</v>
      </c>
      <c r="AE284" s="1059">
        <v>615746</v>
      </c>
      <c r="AF284" s="889" t="s">
        <v>459</v>
      </c>
      <c r="AG284" s="889" t="s">
        <v>459</v>
      </c>
    </row>
    <row r="285" spans="26:33" x14ac:dyDescent="0.35">
      <c r="Z285" s="344">
        <v>2257</v>
      </c>
      <c r="AA285" s="344" t="s">
        <v>539</v>
      </c>
      <c r="AB285" s="344">
        <v>1</v>
      </c>
      <c r="AC285" s="344" t="s">
        <v>457</v>
      </c>
      <c r="AD285" s="1058" t="s">
        <v>540</v>
      </c>
      <c r="AE285" s="1059">
        <v>749773</v>
      </c>
      <c r="AF285" s="889" t="s">
        <v>459</v>
      </c>
      <c r="AG285" s="889" t="s">
        <v>459</v>
      </c>
    </row>
    <row r="286" spans="26:33" x14ac:dyDescent="0.35">
      <c r="Z286" s="344">
        <v>2258</v>
      </c>
      <c r="AA286" s="344" t="s">
        <v>539</v>
      </c>
      <c r="AB286" s="344">
        <v>1</v>
      </c>
      <c r="AC286" s="344" t="s">
        <v>457</v>
      </c>
      <c r="AD286" s="1058" t="s">
        <v>540</v>
      </c>
      <c r="AE286" s="1059">
        <v>595020</v>
      </c>
      <c r="AF286" s="889" t="s">
        <v>459</v>
      </c>
      <c r="AG286" s="889" t="s">
        <v>459</v>
      </c>
    </row>
    <row r="287" spans="26:33" x14ac:dyDescent="0.35">
      <c r="Z287" s="344">
        <v>2259</v>
      </c>
      <c r="AA287" s="344" t="s">
        <v>539</v>
      </c>
      <c r="AB287" s="344">
        <v>1</v>
      </c>
      <c r="AC287" s="344" t="s">
        <v>457</v>
      </c>
      <c r="AD287" s="1058" t="s">
        <v>540</v>
      </c>
      <c r="AE287" s="1059">
        <v>463401</v>
      </c>
      <c r="AF287" s="889" t="s">
        <v>269</v>
      </c>
      <c r="AG287" s="889" t="s">
        <v>459</v>
      </c>
    </row>
    <row r="288" spans="26:33" x14ac:dyDescent="0.35">
      <c r="Z288" s="344">
        <v>2260</v>
      </c>
      <c r="AA288" s="344" t="s">
        <v>539</v>
      </c>
      <c r="AB288" s="344">
        <v>1</v>
      </c>
      <c r="AC288" s="344" t="s">
        <v>457</v>
      </c>
      <c r="AD288" s="1058" t="s">
        <v>540</v>
      </c>
      <c r="AE288" s="1059">
        <v>633589</v>
      </c>
      <c r="AF288" s="889" t="s">
        <v>459</v>
      </c>
      <c r="AG288" s="889" t="s">
        <v>459</v>
      </c>
    </row>
    <row r="289" spans="26:33" x14ac:dyDescent="0.35">
      <c r="Z289" s="344">
        <v>2261</v>
      </c>
      <c r="AA289" s="344" t="s">
        <v>539</v>
      </c>
      <c r="AB289" s="344">
        <v>1</v>
      </c>
      <c r="AC289" s="344" t="s">
        <v>457</v>
      </c>
      <c r="AD289" s="1058" t="s">
        <v>540</v>
      </c>
      <c r="AE289" s="1059">
        <v>537378</v>
      </c>
      <c r="AF289" s="889" t="s">
        <v>459</v>
      </c>
      <c r="AG289" s="889" t="s">
        <v>459</v>
      </c>
    </row>
    <row r="290" spans="26:33" x14ac:dyDescent="0.35">
      <c r="Z290" s="344">
        <v>2262</v>
      </c>
      <c r="AA290" s="344" t="s">
        <v>539</v>
      </c>
      <c r="AB290" s="344">
        <v>1</v>
      </c>
      <c r="AC290" s="344" t="s">
        <v>471</v>
      </c>
      <c r="AD290" s="1058" t="s">
        <v>540</v>
      </c>
      <c r="AE290" s="1059">
        <v>335091</v>
      </c>
      <c r="AF290" s="889" t="s">
        <v>459</v>
      </c>
      <c r="AG290" s="889" t="s">
        <v>459</v>
      </c>
    </row>
    <row r="291" spans="26:33" x14ac:dyDescent="0.35">
      <c r="Z291" s="344">
        <v>2263</v>
      </c>
      <c r="AA291" s="344" t="s">
        <v>539</v>
      </c>
      <c r="AB291" s="344">
        <v>1</v>
      </c>
      <c r="AC291" s="344" t="s">
        <v>471</v>
      </c>
      <c r="AD291" s="1058" t="s">
        <v>540</v>
      </c>
      <c r="AE291" s="1059">
        <v>383798</v>
      </c>
      <c r="AF291" s="889" t="s">
        <v>459</v>
      </c>
      <c r="AG291" s="889" t="s">
        <v>459</v>
      </c>
    </row>
    <row r="292" spans="26:33" x14ac:dyDescent="0.35">
      <c r="Z292" s="344">
        <v>2264</v>
      </c>
      <c r="AA292" s="344" t="s">
        <v>539</v>
      </c>
      <c r="AB292" s="344">
        <v>1</v>
      </c>
      <c r="AC292" s="344" t="s">
        <v>471</v>
      </c>
      <c r="AD292" s="1058" t="s">
        <v>540</v>
      </c>
      <c r="AE292" s="1059">
        <v>419005</v>
      </c>
      <c r="AF292" s="889" t="s">
        <v>459</v>
      </c>
      <c r="AG292" s="889" t="s">
        <v>459</v>
      </c>
    </row>
    <row r="293" spans="26:33" x14ac:dyDescent="0.35">
      <c r="Z293" s="344">
        <v>2265</v>
      </c>
      <c r="AA293" s="344" t="s">
        <v>539</v>
      </c>
      <c r="AB293" s="344">
        <v>1</v>
      </c>
      <c r="AC293" s="344" t="s">
        <v>471</v>
      </c>
      <c r="AD293" s="1058" t="s">
        <v>540</v>
      </c>
      <c r="AE293" s="1059">
        <v>387543</v>
      </c>
      <c r="AF293" s="889" t="s">
        <v>459</v>
      </c>
      <c r="AG293" s="889" t="s">
        <v>459</v>
      </c>
    </row>
    <row r="294" spans="26:33" x14ac:dyDescent="0.35">
      <c r="Z294" s="344">
        <v>2267</v>
      </c>
      <c r="AA294" s="344" t="s">
        <v>539</v>
      </c>
      <c r="AB294" s="344">
        <v>1</v>
      </c>
      <c r="AC294" s="344" t="s">
        <v>457</v>
      </c>
      <c r="AD294" s="1058" t="s">
        <v>540</v>
      </c>
      <c r="AE294" s="1059">
        <v>466821</v>
      </c>
      <c r="AF294" s="889" t="s">
        <v>459</v>
      </c>
      <c r="AG294" s="889" t="s">
        <v>459</v>
      </c>
    </row>
    <row r="295" spans="26:33" x14ac:dyDescent="0.35">
      <c r="Z295" s="344">
        <v>2278</v>
      </c>
      <c r="AA295" s="344" t="s">
        <v>539</v>
      </c>
      <c r="AB295" s="344">
        <v>1</v>
      </c>
      <c r="AC295" s="344" t="s">
        <v>471</v>
      </c>
      <c r="AD295" s="1058" t="s">
        <v>540</v>
      </c>
      <c r="AE295" s="1059">
        <v>420037</v>
      </c>
      <c r="AF295" s="889" t="s">
        <v>459</v>
      </c>
      <c r="AG295" s="889" t="s">
        <v>459</v>
      </c>
    </row>
    <row r="296" spans="26:33" x14ac:dyDescent="0.35">
      <c r="Z296" s="344">
        <v>2280</v>
      </c>
      <c r="AA296" s="344" t="s">
        <v>539</v>
      </c>
      <c r="AB296" s="344">
        <v>1</v>
      </c>
      <c r="AC296" s="344" t="s">
        <v>457</v>
      </c>
      <c r="AD296" s="1058" t="s">
        <v>540</v>
      </c>
      <c r="AE296" s="1059">
        <v>486559</v>
      </c>
      <c r="AF296" s="889" t="s">
        <v>459</v>
      </c>
      <c r="AG296" s="889" t="s">
        <v>459</v>
      </c>
    </row>
    <row r="297" spans="26:33" x14ac:dyDescent="0.35">
      <c r="Z297" s="344">
        <v>2281</v>
      </c>
      <c r="AA297" s="344" t="s">
        <v>539</v>
      </c>
      <c r="AB297" s="344">
        <v>1</v>
      </c>
      <c r="AC297" s="344" t="s">
        <v>457</v>
      </c>
      <c r="AD297" s="1058" t="s">
        <v>540</v>
      </c>
      <c r="AE297" s="1059">
        <v>510123</v>
      </c>
      <c r="AF297" s="889" t="s">
        <v>459</v>
      </c>
      <c r="AG297" s="889" t="s">
        <v>459</v>
      </c>
    </row>
    <row r="298" spans="26:33" x14ac:dyDescent="0.35">
      <c r="Z298" s="344">
        <v>2282</v>
      </c>
      <c r="AA298" s="344" t="s">
        <v>539</v>
      </c>
      <c r="AB298" s="344">
        <v>1</v>
      </c>
      <c r="AC298" s="344" t="s">
        <v>457</v>
      </c>
      <c r="AD298" s="1058" t="s">
        <v>540</v>
      </c>
      <c r="AE298" s="1059">
        <v>567452</v>
      </c>
      <c r="AF298" s="889" t="s">
        <v>459</v>
      </c>
      <c r="AG298" s="889" t="s">
        <v>459</v>
      </c>
    </row>
    <row r="299" spans="26:33" x14ac:dyDescent="0.35">
      <c r="Z299" s="344">
        <v>2283</v>
      </c>
      <c r="AA299" s="344" t="s">
        <v>539</v>
      </c>
      <c r="AB299" s="344">
        <v>1</v>
      </c>
      <c r="AC299" s="344" t="s">
        <v>471</v>
      </c>
      <c r="AD299" s="1058" t="s">
        <v>540</v>
      </c>
      <c r="AE299" s="1059">
        <v>425755</v>
      </c>
      <c r="AF299" s="889" t="s">
        <v>459</v>
      </c>
      <c r="AG299" s="889" t="s">
        <v>459</v>
      </c>
    </row>
    <row r="300" spans="26:33" x14ac:dyDescent="0.35">
      <c r="Z300" s="344">
        <v>2284</v>
      </c>
      <c r="AA300" s="344" t="s">
        <v>539</v>
      </c>
      <c r="AB300" s="344">
        <v>1</v>
      </c>
      <c r="AC300" s="344" t="s">
        <v>471</v>
      </c>
      <c r="AD300" s="1058" t="s">
        <v>540</v>
      </c>
      <c r="AE300" s="1059">
        <v>376110</v>
      </c>
      <c r="AF300" s="889" t="s">
        <v>459</v>
      </c>
      <c r="AG300" s="889" t="s">
        <v>459</v>
      </c>
    </row>
    <row r="301" spans="26:33" x14ac:dyDescent="0.35">
      <c r="Z301" s="344">
        <v>2285</v>
      </c>
      <c r="AA301" s="344" t="s">
        <v>539</v>
      </c>
      <c r="AB301" s="344">
        <v>1</v>
      </c>
      <c r="AC301" s="344" t="s">
        <v>471</v>
      </c>
      <c r="AD301" s="1058" t="s">
        <v>540</v>
      </c>
      <c r="AE301" s="1059">
        <v>391764</v>
      </c>
      <c r="AF301" s="889" t="s">
        <v>459</v>
      </c>
      <c r="AG301" s="889" t="s">
        <v>459</v>
      </c>
    </row>
    <row r="302" spans="26:33" x14ac:dyDescent="0.35">
      <c r="Z302" s="344">
        <v>2286</v>
      </c>
      <c r="AA302" s="344" t="s">
        <v>539</v>
      </c>
      <c r="AB302" s="344">
        <v>1</v>
      </c>
      <c r="AC302" s="344" t="s">
        <v>471</v>
      </c>
      <c r="AD302" s="1058" t="s">
        <v>540</v>
      </c>
      <c r="AE302" s="1059">
        <v>370916</v>
      </c>
      <c r="AF302" s="889" t="s">
        <v>459</v>
      </c>
      <c r="AG302" s="889" t="s">
        <v>459</v>
      </c>
    </row>
    <row r="303" spans="26:33" x14ac:dyDescent="0.35">
      <c r="Z303" s="344">
        <v>2287</v>
      </c>
      <c r="AA303" s="344" t="s">
        <v>539</v>
      </c>
      <c r="AB303" s="344">
        <v>1</v>
      </c>
      <c r="AC303" s="344" t="s">
        <v>471</v>
      </c>
      <c r="AD303" s="1058" t="s">
        <v>540</v>
      </c>
      <c r="AE303" s="1059">
        <v>444895</v>
      </c>
      <c r="AF303" s="889" t="s">
        <v>459</v>
      </c>
      <c r="AG303" s="889" t="s">
        <v>459</v>
      </c>
    </row>
    <row r="304" spans="26:33" x14ac:dyDescent="0.35">
      <c r="Z304" s="344">
        <v>2288</v>
      </c>
      <c r="AA304" s="344" t="s">
        <v>539</v>
      </c>
      <c r="AB304" s="344">
        <v>1</v>
      </c>
      <c r="AC304" s="344" t="e">
        <v>#N/A</v>
      </c>
      <c r="AD304" s="1058" t="s">
        <v>540</v>
      </c>
      <c r="AE304" s="1059" t="e">
        <v>#N/A</v>
      </c>
      <c r="AF304" s="889" t="s">
        <v>459</v>
      </c>
      <c r="AG304" s="889" t="s">
        <v>459</v>
      </c>
    </row>
    <row r="305" spans="26:33" x14ac:dyDescent="0.35">
      <c r="Z305" s="344">
        <v>2289</v>
      </c>
      <c r="AA305" s="344" t="s">
        <v>539</v>
      </c>
      <c r="AB305" s="344">
        <v>1</v>
      </c>
      <c r="AC305" s="344" t="s">
        <v>457</v>
      </c>
      <c r="AD305" s="1058" t="s">
        <v>540</v>
      </c>
      <c r="AE305" s="1059">
        <v>503450</v>
      </c>
      <c r="AF305" s="889" t="s">
        <v>459</v>
      </c>
      <c r="AG305" s="889" t="s">
        <v>459</v>
      </c>
    </row>
    <row r="306" spans="26:33" x14ac:dyDescent="0.35">
      <c r="Z306" s="344">
        <v>2290</v>
      </c>
      <c r="AA306" s="344" t="s">
        <v>539</v>
      </c>
      <c r="AB306" s="344">
        <v>1</v>
      </c>
      <c r="AC306" s="344" t="s">
        <v>457</v>
      </c>
      <c r="AD306" s="1058" t="s">
        <v>540</v>
      </c>
      <c r="AE306" s="1059">
        <v>483593</v>
      </c>
      <c r="AF306" s="889" t="s">
        <v>459</v>
      </c>
      <c r="AG306" s="889" t="s">
        <v>459</v>
      </c>
    </row>
    <row r="307" spans="26:33" x14ac:dyDescent="0.35">
      <c r="Z307" s="344">
        <v>2291</v>
      </c>
      <c r="AA307" s="344" t="s">
        <v>539</v>
      </c>
      <c r="AB307" s="344">
        <v>1</v>
      </c>
      <c r="AC307" s="344" t="s">
        <v>479</v>
      </c>
      <c r="AD307" s="1058" t="s">
        <v>540</v>
      </c>
      <c r="AE307" s="1059">
        <v>894231</v>
      </c>
      <c r="AF307" s="889" t="s">
        <v>459</v>
      </c>
      <c r="AG307" s="889" t="s">
        <v>459</v>
      </c>
    </row>
    <row r="308" spans="26:33" x14ac:dyDescent="0.35">
      <c r="Z308" s="344">
        <v>2292</v>
      </c>
      <c r="AA308" s="344" t="s">
        <v>539</v>
      </c>
      <c r="AB308" s="344">
        <v>1</v>
      </c>
      <c r="AC308" s="344" t="s">
        <v>457</v>
      </c>
      <c r="AD308" s="1058" t="s">
        <v>540</v>
      </c>
      <c r="AE308" s="1059">
        <v>451241</v>
      </c>
      <c r="AF308" s="889" t="s">
        <v>459</v>
      </c>
      <c r="AG308" s="889" t="s">
        <v>459</v>
      </c>
    </row>
    <row r="309" spans="26:33" x14ac:dyDescent="0.35">
      <c r="Z309" s="344">
        <v>2293</v>
      </c>
      <c r="AA309" s="344" t="s">
        <v>539</v>
      </c>
      <c r="AB309" s="344">
        <v>1</v>
      </c>
      <c r="AC309" s="344" t="s">
        <v>457</v>
      </c>
      <c r="AD309" s="1058" t="s">
        <v>540</v>
      </c>
      <c r="AE309" s="1059">
        <v>549042</v>
      </c>
      <c r="AF309" s="889" t="s">
        <v>459</v>
      </c>
      <c r="AG309" s="889" t="s">
        <v>459</v>
      </c>
    </row>
    <row r="310" spans="26:33" x14ac:dyDescent="0.35">
      <c r="Z310" s="344">
        <v>2294</v>
      </c>
      <c r="AA310" s="344" t="s">
        <v>539</v>
      </c>
      <c r="AB310" s="344">
        <v>1</v>
      </c>
      <c r="AC310" s="344" t="s">
        <v>457</v>
      </c>
      <c r="AD310" s="1058" t="s">
        <v>540</v>
      </c>
      <c r="AE310" s="1059">
        <v>486148</v>
      </c>
      <c r="AF310" s="889" t="s">
        <v>459</v>
      </c>
      <c r="AG310" s="889" t="s">
        <v>459</v>
      </c>
    </row>
    <row r="311" spans="26:33" x14ac:dyDescent="0.35">
      <c r="Z311" s="344">
        <v>2295</v>
      </c>
      <c r="AA311" s="344" t="s">
        <v>539</v>
      </c>
      <c r="AB311" s="344">
        <v>1</v>
      </c>
      <c r="AC311" s="344" t="s">
        <v>457</v>
      </c>
      <c r="AD311" s="1058" t="s">
        <v>540</v>
      </c>
      <c r="AE311" s="1059">
        <v>460293</v>
      </c>
      <c r="AF311" s="889" t="s">
        <v>459</v>
      </c>
      <c r="AG311" s="889" t="s">
        <v>459</v>
      </c>
    </row>
    <row r="312" spans="26:33" x14ac:dyDescent="0.35">
      <c r="Z312" s="344">
        <v>2296</v>
      </c>
      <c r="AA312" s="344" t="s">
        <v>539</v>
      </c>
      <c r="AB312" s="344">
        <v>1</v>
      </c>
      <c r="AC312" s="344" t="s">
        <v>471</v>
      </c>
      <c r="AD312" s="1058" t="s">
        <v>540</v>
      </c>
      <c r="AE312" s="1059">
        <v>436459</v>
      </c>
      <c r="AF312" s="889" t="s">
        <v>459</v>
      </c>
      <c r="AG312" s="889" t="s">
        <v>459</v>
      </c>
    </row>
    <row r="313" spans="26:33" x14ac:dyDescent="0.35">
      <c r="Z313" s="344">
        <v>2297</v>
      </c>
      <c r="AA313" s="344" t="s">
        <v>539</v>
      </c>
      <c r="AB313" s="344">
        <v>1</v>
      </c>
      <c r="AC313" s="344" t="s">
        <v>471</v>
      </c>
      <c r="AD313" s="1058" t="s">
        <v>540</v>
      </c>
      <c r="AE313" s="1059">
        <v>432108</v>
      </c>
      <c r="AF313" s="889" t="s">
        <v>460</v>
      </c>
      <c r="AG313" s="889" t="s">
        <v>459</v>
      </c>
    </row>
    <row r="314" spans="26:33" x14ac:dyDescent="0.35">
      <c r="Z314" s="344">
        <v>2298</v>
      </c>
      <c r="AA314" s="344" t="s">
        <v>539</v>
      </c>
      <c r="AB314" s="344">
        <v>1</v>
      </c>
      <c r="AC314" s="344" t="s">
        <v>471</v>
      </c>
      <c r="AD314" s="1058" t="s">
        <v>540</v>
      </c>
      <c r="AE314" s="1059">
        <v>442739</v>
      </c>
      <c r="AF314" s="889" t="s">
        <v>459</v>
      </c>
      <c r="AG314" s="889" t="s">
        <v>459</v>
      </c>
    </row>
    <row r="315" spans="26:33" x14ac:dyDescent="0.35">
      <c r="Z315" s="344">
        <v>2299</v>
      </c>
      <c r="AA315" s="344" t="s">
        <v>539</v>
      </c>
      <c r="AB315" s="344">
        <v>1</v>
      </c>
      <c r="AC315" s="344" t="s">
        <v>457</v>
      </c>
      <c r="AD315" s="1058" t="s">
        <v>540</v>
      </c>
      <c r="AE315" s="1059">
        <v>450784</v>
      </c>
      <c r="AF315" s="889" t="s">
        <v>459</v>
      </c>
      <c r="AG315" s="889" t="s">
        <v>459</v>
      </c>
    </row>
    <row r="316" spans="26:33" x14ac:dyDescent="0.35">
      <c r="Z316" s="344">
        <v>2300</v>
      </c>
      <c r="AA316" s="344" t="s">
        <v>539</v>
      </c>
      <c r="AB316" s="344">
        <v>1</v>
      </c>
      <c r="AC316" s="344" t="s">
        <v>482</v>
      </c>
      <c r="AD316" s="1058" t="s">
        <v>540</v>
      </c>
      <c r="AE316" s="1059">
        <v>1010379</v>
      </c>
      <c r="AF316" s="889" t="s">
        <v>459</v>
      </c>
      <c r="AG316" s="889" t="s">
        <v>459</v>
      </c>
    </row>
    <row r="317" spans="26:33" x14ac:dyDescent="0.35">
      <c r="Z317" s="344">
        <v>2301</v>
      </c>
      <c r="AA317" s="344" t="s">
        <v>539</v>
      </c>
      <c r="AB317" s="344">
        <v>1</v>
      </c>
      <c r="AC317" s="344" t="e">
        <v>#N/A</v>
      </c>
      <c r="AD317" s="1058" t="s">
        <v>540</v>
      </c>
      <c r="AE317" s="1059" t="e">
        <v>#N/A</v>
      </c>
      <c r="AF317" s="889" t="s">
        <v>459</v>
      </c>
      <c r="AG317" s="889" t="s">
        <v>459</v>
      </c>
    </row>
    <row r="318" spans="26:33" x14ac:dyDescent="0.35">
      <c r="Z318" s="344">
        <v>2302</v>
      </c>
      <c r="AA318" s="344" t="s">
        <v>539</v>
      </c>
      <c r="AB318" s="344">
        <v>1</v>
      </c>
      <c r="AC318" s="344" t="s">
        <v>471</v>
      </c>
      <c r="AD318" s="1058" t="s">
        <v>540</v>
      </c>
      <c r="AE318" s="1059">
        <v>417421</v>
      </c>
      <c r="AF318" s="889" t="s">
        <v>459</v>
      </c>
      <c r="AG318" s="889" t="s">
        <v>459</v>
      </c>
    </row>
    <row r="319" spans="26:33" x14ac:dyDescent="0.35">
      <c r="Z319" s="344">
        <v>2303</v>
      </c>
      <c r="AA319" s="344" t="s">
        <v>539</v>
      </c>
      <c r="AB319" s="344">
        <v>1</v>
      </c>
      <c r="AC319" s="344" t="s">
        <v>457</v>
      </c>
      <c r="AD319" s="1058" t="s">
        <v>540</v>
      </c>
      <c r="AE319" s="1059">
        <v>733620</v>
      </c>
      <c r="AF319" s="889" t="s">
        <v>459</v>
      </c>
      <c r="AG319" s="889" t="s">
        <v>459</v>
      </c>
    </row>
    <row r="320" spans="26:33" x14ac:dyDescent="0.35">
      <c r="Z320" s="344">
        <v>2304</v>
      </c>
      <c r="AA320" s="344" t="s">
        <v>539</v>
      </c>
      <c r="AB320" s="344">
        <v>1</v>
      </c>
      <c r="AC320" s="344" t="s">
        <v>471</v>
      </c>
      <c r="AD320" s="1058" t="s">
        <v>540</v>
      </c>
      <c r="AE320" s="1059">
        <v>409467</v>
      </c>
      <c r="AF320" s="889" t="s">
        <v>459</v>
      </c>
      <c r="AG320" s="889" t="s">
        <v>459</v>
      </c>
    </row>
    <row r="321" spans="26:33" x14ac:dyDescent="0.35">
      <c r="Z321" s="344">
        <v>2305</v>
      </c>
      <c r="AA321" s="344" t="s">
        <v>539</v>
      </c>
      <c r="AB321" s="344">
        <v>1</v>
      </c>
      <c r="AC321" s="344" t="s">
        <v>457</v>
      </c>
      <c r="AD321" s="1058" t="s">
        <v>540</v>
      </c>
      <c r="AE321" s="1059">
        <v>580277</v>
      </c>
      <c r="AF321" s="889" t="s">
        <v>459</v>
      </c>
      <c r="AG321" s="889" t="s">
        <v>459</v>
      </c>
    </row>
    <row r="322" spans="26:33" x14ac:dyDescent="0.35">
      <c r="Z322" s="344">
        <v>2306</v>
      </c>
      <c r="AA322" s="344" t="s">
        <v>539</v>
      </c>
      <c r="AB322" s="344">
        <v>1</v>
      </c>
      <c r="AC322" s="344" t="s">
        <v>464</v>
      </c>
      <c r="AD322" s="1058" t="s">
        <v>540</v>
      </c>
      <c r="AE322" s="1059">
        <v>277956</v>
      </c>
      <c r="AF322" s="889" t="s">
        <v>459</v>
      </c>
      <c r="AG322" s="889" t="s">
        <v>459</v>
      </c>
    </row>
    <row r="323" spans="26:33" x14ac:dyDescent="0.35">
      <c r="Z323" s="344">
        <v>2307</v>
      </c>
      <c r="AA323" s="344" t="s">
        <v>539</v>
      </c>
      <c r="AB323" s="344">
        <v>1</v>
      </c>
      <c r="AC323" s="344" t="s">
        <v>471</v>
      </c>
      <c r="AD323" s="1058" t="s">
        <v>540</v>
      </c>
      <c r="AE323" s="1059">
        <v>351129</v>
      </c>
      <c r="AF323" s="889" t="s">
        <v>459</v>
      </c>
      <c r="AG323" s="889" t="s">
        <v>459</v>
      </c>
    </row>
    <row r="324" spans="26:33" x14ac:dyDescent="0.35">
      <c r="Z324" s="344">
        <v>2308</v>
      </c>
      <c r="AA324" s="344" t="s">
        <v>539</v>
      </c>
      <c r="AB324" s="344">
        <v>1</v>
      </c>
      <c r="AC324" s="344" t="e">
        <v>#N/A</v>
      </c>
      <c r="AD324" s="1058" t="s">
        <v>540</v>
      </c>
      <c r="AE324" s="1059" t="e">
        <v>#N/A</v>
      </c>
      <c r="AF324" s="889" t="s">
        <v>459</v>
      </c>
      <c r="AG324" s="889" t="s">
        <v>459</v>
      </c>
    </row>
    <row r="325" spans="26:33" x14ac:dyDescent="0.35">
      <c r="Z325" s="344">
        <v>2309</v>
      </c>
      <c r="AA325" s="344" t="s">
        <v>539</v>
      </c>
      <c r="AB325" s="344">
        <v>4</v>
      </c>
      <c r="AC325" s="344" t="e">
        <v>#N/A</v>
      </c>
      <c r="AD325" s="1058" t="s">
        <v>569</v>
      </c>
      <c r="AE325" s="1059" t="e">
        <v>#N/A</v>
      </c>
      <c r="AF325" s="889" t="s">
        <v>459</v>
      </c>
      <c r="AG325" s="889" t="s">
        <v>459</v>
      </c>
    </row>
    <row r="326" spans="26:33" x14ac:dyDescent="0.35">
      <c r="Z326" s="344">
        <v>2311</v>
      </c>
      <c r="AA326" s="344" t="s">
        <v>539</v>
      </c>
      <c r="AB326" s="344">
        <v>4</v>
      </c>
      <c r="AC326" s="344" t="s">
        <v>464</v>
      </c>
      <c r="AD326" s="1058" t="s">
        <v>569</v>
      </c>
      <c r="AE326" s="1059">
        <v>298875</v>
      </c>
      <c r="AF326" s="889" t="s">
        <v>459</v>
      </c>
      <c r="AG326" s="889" t="s">
        <v>459</v>
      </c>
    </row>
    <row r="327" spans="26:33" x14ac:dyDescent="0.35">
      <c r="Z327" s="344">
        <v>2312</v>
      </c>
      <c r="AA327" s="344" t="s">
        <v>539</v>
      </c>
      <c r="AB327" s="344">
        <v>4</v>
      </c>
      <c r="AC327" s="344" t="s">
        <v>471</v>
      </c>
      <c r="AD327" s="1058" t="s">
        <v>569</v>
      </c>
      <c r="AE327" s="1059">
        <v>303062</v>
      </c>
      <c r="AF327" s="889" t="s">
        <v>459</v>
      </c>
      <c r="AG327" s="889" t="s">
        <v>459</v>
      </c>
    </row>
    <row r="328" spans="26:33" x14ac:dyDescent="0.35">
      <c r="Z328" s="344">
        <v>2314</v>
      </c>
      <c r="AA328" s="344" t="s">
        <v>539</v>
      </c>
      <c r="AB328" s="344">
        <v>4</v>
      </c>
      <c r="AC328" s="344" t="e">
        <v>#N/A</v>
      </c>
      <c r="AD328" s="1058" t="s">
        <v>569</v>
      </c>
      <c r="AE328" s="1059" t="e">
        <v>#N/A</v>
      </c>
      <c r="AF328" s="889" t="s">
        <v>459</v>
      </c>
      <c r="AG328" s="889" t="s">
        <v>459</v>
      </c>
    </row>
    <row r="329" spans="26:33" x14ac:dyDescent="0.35">
      <c r="Z329" s="344">
        <v>2315</v>
      </c>
      <c r="AA329" s="344" t="s">
        <v>539</v>
      </c>
      <c r="AB329" s="344">
        <v>1</v>
      </c>
      <c r="AC329" s="344" t="s">
        <v>457</v>
      </c>
      <c r="AD329" s="1058" t="s">
        <v>540</v>
      </c>
      <c r="AE329" s="1059">
        <v>480160</v>
      </c>
      <c r="AF329" s="889" t="s">
        <v>459</v>
      </c>
      <c r="AG329" s="889" t="s">
        <v>459</v>
      </c>
    </row>
    <row r="330" spans="26:33" x14ac:dyDescent="0.35">
      <c r="Z330" s="344">
        <v>2316</v>
      </c>
      <c r="AA330" s="344" t="s">
        <v>539</v>
      </c>
      <c r="AB330" s="344">
        <v>1</v>
      </c>
      <c r="AC330" s="344" t="s">
        <v>457</v>
      </c>
      <c r="AD330" s="1058" t="s">
        <v>540</v>
      </c>
      <c r="AE330" s="1059">
        <v>491783</v>
      </c>
      <c r="AF330" s="889" t="s">
        <v>459</v>
      </c>
      <c r="AG330" s="889" t="s">
        <v>459</v>
      </c>
    </row>
    <row r="331" spans="26:33" x14ac:dyDescent="0.35">
      <c r="Z331" s="344">
        <v>2317</v>
      </c>
      <c r="AA331" s="344" t="s">
        <v>539</v>
      </c>
      <c r="AB331" s="344">
        <v>1</v>
      </c>
      <c r="AC331" s="344" t="s">
        <v>457</v>
      </c>
      <c r="AD331" s="1058" t="s">
        <v>540</v>
      </c>
      <c r="AE331" s="1059">
        <v>501579</v>
      </c>
      <c r="AF331" s="889" t="s">
        <v>459</v>
      </c>
      <c r="AG331" s="889" t="s">
        <v>459</v>
      </c>
    </row>
    <row r="332" spans="26:33" x14ac:dyDescent="0.35">
      <c r="Z332" s="344">
        <v>2318</v>
      </c>
      <c r="AA332" s="344" t="s">
        <v>539</v>
      </c>
      <c r="AB332" s="344">
        <v>1</v>
      </c>
      <c r="AC332" s="344" t="s">
        <v>457</v>
      </c>
      <c r="AD332" s="1058" t="s">
        <v>540</v>
      </c>
      <c r="AE332" s="1059">
        <v>514516</v>
      </c>
      <c r="AF332" s="889" t="s">
        <v>459</v>
      </c>
      <c r="AG332" s="889" t="s">
        <v>459</v>
      </c>
    </row>
    <row r="333" spans="26:33" x14ac:dyDescent="0.35">
      <c r="Z333" s="344">
        <v>2319</v>
      </c>
      <c r="AA333" s="344" t="s">
        <v>539</v>
      </c>
      <c r="AB333" s="344">
        <v>1</v>
      </c>
      <c r="AC333" s="344" t="s">
        <v>471</v>
      </c>
      <c r="AD333" s="1058" t="s">
        <v>540</v>
      </c>
      <c r="AE333" s="1059">
        <v>350530</v>
      </c>
      <c r="AF333" s="889" t="s">
        <v>459</v>
      </c>
      <c r="AG333" s="889" t="s">
        <v>459</v>
      </c>
    </row>
    <row r="334" spans="26:33" x14ac:dyDescent="0.35">
      <c r="Z334" s="344">
        <v>2320</v>
      </c>
      <c r="AA334" s="344" t="s">
        <v>539</v>
      </c>
      <c r="AB334" s="344">
        <v>1</v>
      </c>
      <c r="AC334" s="344" t="s">
        <v>457</v>
      </c>
      <c r="AD334" s="1058" t="s">
        <v>540</v>
      </c>
      <c r="AE334" s="1059">
        <v>459679</v>
      </c>
      <c r="AF334" s="889" t="s">
        <v>459</v>
      </c>
      <c r="AG334" s="889" t="s">
        <v>459</v>
      </c>
    </row>
    <row r="335" spans="26:33" x14ac:dyDescent="0.35">
      <c r="Z335" s="344">
        <v>2321</v>
      </c>
      <c r="AA335" s="344" t="s">
        <v>539</v>
      </c>
      <c r="AB335" s="344">
        <v>1</v>
      </c>
      <c r="AC335" s="344" t="s">
        <v>471</v>
      </c>
      <c r="AD335" s="1058" t="s">
        <v>540</v>
      </c>
      <c r="AE335" s="1059">
        <v>414676</v>
      </c>
      <c r="AF335" s="889" t="s">
        <v>459</v>
      </c>
      <c r="AG335" s="889" t="s">
        <v>459</v>
      </c>
    </row>
    <row r="336" spans="26:33" x14ac:dyDescent="0.35">
      <c r="Z336" s="344">
        <v>2322</v>
      </c>
      <c r="AA336" s="344" t="s">
        <v>539</v>
      </c>
      <c r="AB336" s="344">
        <v>1</v>
      </c>
      <c r="AC336" s="344" t="s">
        <v>471</v>
      </c>
      <c r="AD336" s="1058" t="s">
        <v>540</v>
      </c>
      <c r="AE336" s="1059">
        <v>396915</v>
      </c>
      <c r="AF336" s="889" t="s">
        <v>459</v>
      </c>
      <c r="AG336" s="889" t="s">
        <v>459</v>
      </c>
    </row>
    <row r="337" spans="26:33" x14ac:dyDescent="0.35">
      <c r="Z337" s="344">
        <v>2323</v>
      </c>
      <c r="AA337" s="344" t="s">
        <v>539</v>
      </c>
      <c r="AB337" s="344">
        <v>1</v>
      </c>
      <c r="AC337" s="344" t="s">
        <v>471</v>
      </c>
      <c r="AD337" s="1058" t="s">
        <v>540</v>
      </c>
      <c r="AE337" s="1059">
        <v>375187</v>
      </c>
      <c r="AF337" s="889" t="s">
        <v>459</v>
      </c>
      <c r="AG337" s="889" t="s">
        <v>459</v>
      </c>
    </row>
    <row r="338" spans="26:33" x14ac:dyDescent="0.35">
      <c r="Z338" s="344">
        <v>2324</v>
      </c>
      <c r="AA338" s="344" t="s">
        <v>539</v>
      </c>
      <c r="AB338" s="344">
        <v>1</v>
      </c>
      <c r="AC338" s="344" t="s">
        <v>471</v>
      </c>
      <c r="AD338" s="1058" t="s">
        <v>540</v>
      </c>
      <c r="AE338" s="1059">
        <v>403410</v>
      </c>
      <c r="AF338" s="889" t="s">
        <v>459</v>
      </c>
      <c r="AG338" s="889" t="s">
        <v>459</v>
      </c>
    </row>
    <row r="339" spans="26:33" x14ac:dyDescent="0.35">
      <c r="Z339" s="344">
        <v>2325</v>
      </c>
      <c r="AA339" s="344" t="s">
        <v>539</v>
      </c>
      <c r="AB339" s="344">
        <v>2</v>
      </c>
      <c r="AC339" s="344" t="s">
        <v>471</v>
      </c>
      <c r="AD339" s="1058" t="s">
        <v>570</v>
      </c>
      <c r="AE339" s="1059">
        <v>355427</v>
      </c>
      <c r="AF339" s="889" t="s">
        <v>459</v>
      </c>
      <c r="AG339" s="889" t="s">
        <v>459</v>
      </c>
    </row>
    <row r="340" spans="26:33" x14ac:dyDescent="0.35">
      <c r="Z340" s="344">
        <v>2326</v>
      </c>
      <c r="AA340" s="344" t="s">
        <v>539</v>
      </c>
      <c r="AB340" s="344">
        <v>1</v>
      </c>
      <c r="AC340" s="344" t="s">
        <v>464</v>
      </c>
      <c r="AD340" s="1058" t="s">
        <v>540</v>
      </c>
      <c r="AE340" s="1059">
        <v>251123</v>
      </c>
      <c r="AF340" s="889" t="s">
        <v>459</v>
      </c>
      <c r="AG340" s="889" t="s">
        <v>459</v>
      </c>
    </row>
    <row r="341" spans="26:33" x14ac:dyDescent="0.35">
      <c r="Z341" s="344">
        <v>2327</v>
      </c>
      <c r="AA341" s="344" t="s">
        <v>539</v>
      </c>
      <c r="AB341" s="344">
        <v>1</v>
      </c>
      <c r="AC341" s="344" t="s">
        <v>464</v>
      </c>
      <c r="AD341" s="1058" t="s">
        <v>540</v>
      </c>
      <c r="AE341" s="1059">
        <v>287013</v>
      </c>
      <c r="AF341" s="889" t="s">
        <v>459</v>
      </c>
      <c r="AG341" s="889" t="s">
        <v>459</v>
      </c>
    </row>
    <row r="342" spans="26:33" x14ac:dyDescent="0.35">
      <c r="Z342" s="344">
        <v>2328</v>
      </c>
      <c r="AA342" s="344" t="s">
        <v>539</v>
      </c>
      <c r="AB342" s="344">
        <v>4</v>
      </c>
      <c r="AC342" s="344" t="s">
        <v>471</v>
      </c>
      <c r="AD342" s="1058" t="s">
        <v>569</v>
      </c>
      <c r="AE342" s="1059">
        <v>324504</v>
      </c>
      <c r="AF342" s="889" t="s">
        <v>459</v>
      </c>
      <c r="AG342" s="889" t="s">
        <v>459</v>
      </c>
    </row>
    <row r="343" spans="26:33" x14ac:dyDescent="0.35">
      <c r="Z343" s="344">
        <v>2329</v>
      </c>
      <c r="AA343" s="344" t="s">
        <v>539</v>
      </c>
      <c r="AB343" s="344">
        <v>4</v>
      </c>
      <c r="AC343" s="344" t="s">
        <v>464</v>
      </c>
      <c r="AD343" s="1058" t="s">
        <v>569</v>
      </c>
      <c r="AE343" s="1059">
        <v>225346</v>
      </c>
      <c r="AF343" s="889" t="s">
        <v>459</v>
      </c>
      <c r="AG343" s="889" t="s">
        <v>459</v>
      </c>
    </row>
    <row r="344" spans="26:33" x14ac:dyDescent="0.35">
      <c r="Z344" s="344">
        <v>2330</v>
      </c>
      <c r="AA344" s="344" t="s">
        <v>539</v>
      </c>
      <c r="AB344" s="344">
        <v>2</v>
      </c>
      <c r="AC344" s="344" t="s">
        <v>471</v>
      </c>
      <c r="AD344" s="1058" t="s">
        <v>570</v>
      </c>
      <c r="AE344" s="1059">
        <v>420103</v>
      </c>
      <c r="AF344" s="889" t="s">
        <v>459</v>
      </c>
      <c r="AG344" s="889" t="s">
        <v>459</v>
      </c>
    </row>
    <row r="345" spans="26:33" x14ac:dyDescent="0.35">
      <c r="Z345" s="344">
        <v>2331</v>
      </c>
      <c r="AA345" s="344" t="s">
        <v>539</v>
      </c>
      <c r="AB345" s="344">
        <v>4</v>
      </c>
      <c r="AC345" s="344" t="e">
        <v>#N/A</v>
      </c>
      <c r="AD345" s="1058" t="s">
        <v>569</v>
      </c>
      <c r="AE345" s="1059" t="e">
        <v>#N/A</v>
      </c>
      <c r="AF345" s="889" t="s">
        <v>459</v>
      </c>
      <c r="AG345" s="889" t="s">
        <v>459</v>
      </c>
    </row>
    <row r="346" spans="26:33" x14ac:dyDescent="0.35">
      <c r="Z346" s="344">
        <v>2333</v>
      </c>
      <c r="AA346" s="344" t="s">
        <v>539</v>
      </c>
      <c r="AB346" s="344">
        <v>2</v>
      </c>
      <c r="AC346" s="344" t="s">
        <v>464</v>
      </c>
      <c r="AD346" s="1058" t="s">
        <v>570</v>
      </c>
      <c r="AE346" s="1059">
        <v>256334</v>
      </c>
      <c r="AF346" s="889" t="s">
        <v>459</v>
      </c>
      <c r="AG346" s="889" t="s">
        <v>459</v>
      </c>
    </row>
    <row r="347" spans="26:33" x14ac:dyDescent="0.35">
      <c r="Z347" s="344">
        <v>2334</v>
      </c>
      <c r="AA347" s="344" t="s">
        <v>539</v>
      </c>
      <c r="AB347" s="344">
        <v>1</v>
      </c>
      <c r="AC347" s="344" t="s">
        <v>464</v>
      </c>
      <c r="AD347" s="1058" t="s">
        <v>540</v>
      </c>
      <c r="AE347" s="1059">
        <v>322690</v>
      </c>
      <c r="AF347" s="889" t="s">
        <v>459</v>
      </c>
      <c r="AG347" s="889" t="s">
        <v>459</v>
      </c>
    </row>
    <row r="348" spans="26:33" x14ac:dyDescent="0.35">
      <c r="Z348" s="344">
        <v>2335</v>
      </c>
      <c r="AA348" s="344" t="s">
        <v>539</v>
      </c>
      <c r="AB348" s="344">
        <v>1</v>
      </c>
      <c r="AC348" s="344" t="s">
        <v>464</v>
      </c>
      <c r="AD348" s="1058" t="s">
        <v>540</v>
      </c>
      <c r="AE348" s="1059">
        <v>380318</v>
      </c>
      <c r="AF348" s="889" t="s">
        <v>459</v>
      </c>
      <c r="AG348" s="889" t="s">
        <v>459</v>
      </c>
    </row>
    <row r="349" spans="26:33" x14ac:dyDescent="0.35">
      <c r="Z349" s="344">
        <v>2336</v>
      </c>
      <c r="AA349" s="344" t="s">
        <v>539</v>
      </c>
      <c r="AB349" s="344">
        <v>4</v>
      </c>
      <c r="AC349" s="344" t="s">
        <v>464</v>
      </c>
      <c r="AD349" s="1058" t="s">
        <v>569</v>
      </c>
      <c r="AE349" s="1059">
        <v>292359</v>
      </c>
      <c r="AF349" s="889" t="s">
        <v>459</v>
      </c>
      <c r="AG349" s="889" t="s">
        <v>459</v>
      </c>
    </row>
    <row r="350" spans="26:33" x14ac:dyDescent="0.35">
      <c r="Z350" s="344">
        <v>2337</v>
      </c>
      <c r="AA350" s="344" t="s">
        <v>539</v>
      </c>
      <c r="AB350" s="344">
        <v>4</v>
      </c>
      <c r="AC350" s="344" t="s">
        <v>464</v>
      </c>
      <c r="AD350" s="1058" t="s">
        <v>569</v>
      </c>
      <c r="AE350" s="1059">
        <v>272874</v>
      </c>
      <c r="AF350" s="889" t="s">
        <v>459</v>
      </c>
      <c r="AG350" s="889" t="s">
        <v>459</v>
      </c>
    </row>
    <row r="351" spans="26:33" x14ac:dyDescent="0.35">
      <c r="Z351" s="344">
        <v>2338</v>
      </c>
      <c r="AA351" s="344" t="s">
        <v>539</v>
      </c>
      <c r="AB351" s="344">
        <v>4</v>
      </c>
      <c r="AC351" s="344" t="s">
        <v>464</v>
      </c>
      <c r="AD351" s="1058" t="s">
        <v>569</v>
      </c>
      <c r="AE351" s="1059">
        <v>231832</v>
      </c>
      <c r="AF351" s="889" t="s">
        <v>459</v>
      </c>
      <c r="AG351" s="889" t="s">
        <v>459</v>
      </c>
    </row>
    <row r="352" spans="26:33" x14ac:dyDescent="0.35">
      <c r="Z352" s="344">
        <v>2339</v>
      </c>
      <c r="AA352" s="344" t="s">
        <v>539</v>
      </c>
      <c r="AB352" s="344">
        <v>4</v>
      </c>
      <c r="AC352" s="344" t="s">
        <v>464</v>
      </c>
      <c r="AD352" s="1058" t="s">
        <v>569</v>
      </c>
      <c r="AE352" s="1059">
        <v>170244</v>
      </c>
      <c r="AF352" s="889" t="s">
        <v>459</v>
      </c>
      <c r="AG352" s="889" t="s">
        <v>459</v>
      </c>
    </row>
    <row r="353" spans="26:33" x14ac:dyDescent="0.35">
      <c r="Z353" s="344">
        <v>2340</v>
      </c>
      <c r="AA353" s="344" t="s">
        <v>539</v>
      </c>
      <c r="AB353" s="344">
        <v>1</v>
      </c>
      <c r="AC353" s="344" t="s">
        <v>471</v>
      </c>
      <c r="AD353" s="1058" t="s">
        <v>540</v>
      </c>
      <c r="AE353" s="1059">
        <v>352528</v>
      </c>
      <c r="AF353" s="889" t="s">
        <v>459</v>
      </c>
      <c r="AG353" s="889" t="s">
        <v>459</v>
      </c>
    </row>
    <row r="354" spans="26:33" x14ac:dyDescent="0.35">
      <c r="Z354" s="344">
        <v>2341</v>
      </c>
      <c r="AA354" s="344" t="s">
        <v>539</v>
      </c>
      <c r="AB354" s="344">
        <v>4</v>
      </c>
      <c r="AC354" s="344" t="s">
        <v>464</v>
      </c>
      <c r="AD354" s="1058" t="s">
        <v>569</v>
      </c>
      <c r="AE354" s="1059">
        <v>158483</v>
      </c>
      <c r="AF354" s="889" t="s">
        <v>459</v>
      </c>
      <c r="AG354" s="889" t="s">
        <v>459</v>
      </c>
    </row>
    <row r="355" spans="26:33" x14ac:dyDescent="0.35">
      <c r="Z355" s="344">
        <v>2342</v>
      </c>
      <c r="AA355" s="344" t="s">
        <v>539</v>
      </c>
      <c r="AB355" s="344">
        <v>4</v>
      </c>
      <c r="AC355" s="344" t="e">
        <v>#N/A</v>
      </c>
      <c r="AD355" s="1058" t="s">
        <v>569</v>
      </c>
      <c r="AE355" s="1059" t="e">
        <v>#N/A</v>
      </c>
      <c r="AF355" s="889" t="s">
        <v>459</v>
      </c>
      <c r="AG355" s="889" t="s">
        <v>459</v>
      </c>
    </row>
    <row r="356" spans="26:33" x14ac:dyDescent="0.35">
      <c r="Z356" s="344">
        <v>2343</v>
      </c>
      <c r="AA356" s="344" t="s">
        <v>539</v>
      </c>
      <c r="AB356" s="344">
        <v>4</v>
      </c>
      <c r="AC356" s="344" t="s">
        <v>471</v>
      </c>
      <c r="AD356" s="1058" t="s">
        <v>569</v>
      </c>
      <c r="AE356" s="1059">
        <v>407918</v>
      </c>
      <c r="AF356" s="889" t="s">
        <v>459</v>
      </c>
      <c r="AG356" s="889" t="s">
        <v>459</v>
      </c>
    </row>
    <row r="357" spans="26:33" x14ac:dyDescent="0.35">
      <c r="Z357" s="344">
        <v>2344</v>
      </c>
      <c r="AA357" s="344" t="s">
        <v>539</v>
      </c>
      <c r="AB357" s="344">
        <v>2</v>
      </c>
      <c r="AC357" s="344" t="s">
        <v>464</v>
      </c>
      <c r="AD357" s="1058" t="s">
        <v>570</v>
      </c>
      <c r="AE357" s="1059">
        <v>237314</v>
      </c>
      <c r="AF357" s="889" t="s">
        <v>459</v>
      </c>
      <c r="AG357" s="889" t="s">
        <v>459</v>
      </c>
    </row>
    <row r="358" spans="26:33" x14ac:dyDescent="0.35">
      <c r="Z358" s="344">
        <v>2345</v>
      </c>
      <c r="AA358" s="344" t="s">
        <v>539</v>
      </c>
      <c r="AB358" s="344">
        <v>2</v>
      </c>
      <c r="AC358" s="344" t="s">
        <v>464</v>
      </c>
      <c r="AD358" s="1058" t="s">
        <v>570</v>
      </c>
      <c r="AE358" s="1059">
        <v>204508</v>
      </c>
      <c r="AF358" s="889" t="s">
        <v>459</v>
      </c>
      <c r="AG358" s="889" t="s">
        <v>459</v>
      </c>
    </row>
    <row r="359" spans="26:33" x14ac:dyDescent="0.35">
      <c r="Z359" s="344">
        <v>2346</v>
      </c>
      <c r="AA359" s="344" t="s">
        <v>539</v>
      </c>
      <c r="AB359" s="344">
        <v>4</v>
      </c>
      <c r="AC359" s="344" t="s">
        <v>464</v>
      </c>
      <c r="AD359" s="1058" t="s">
        <v>569</v>
      </c>
      <c r="AE359" s="1059">
        <v>200623</v>
      </c>
      <c r="AF359" s="889" t="s">
        <v>459</v>
      </c>
      <c r="AG359" s="889" t="s">
        <v>459</v>
      </c>
    </row>
    <row r="360" spans="26:33" x14ac:dyDescent="0.35">
      <c r="Z360" s="344">
        <v>2347</v>
      </c>
      <c r="AA360" s="344" t="s">
        <v>539</v>
      </c>
      <c r="AB360" s="344">
        <v>4</v>
      </c>
      <c r="AC360" s="344" t="s">
        <v>464</v>
      </c>
      <c r="AD360" s="1058" t="s">
        <v>569</v>
      </c>
      <c r="AE360" s="1059">
        <v>125147</v>
      </c>
      <c r="AF360" s="889" t="s">
        <v>459</v>
      </c>
      <c r="AG360" s="889" t="s">
        <v>459</v>
      </c>
    </row>
    <row r="361" spans="26:33" x14ac:dyDescent="0.35">
      <c r="Z361" s="344">
        <v>2350</v>
      </c>
      <c r="AA361" s="344" t="s">
        <v>539</v>
      </c>
      <c r="AB361" s="344">
        <v>2</v>
      </c>
      <c r="AC361" s="344" t="s">
        <v>471</v>
      </c>
      <c r="AD361" s="1058" t="s">
        <v>570</v>
      </c>
      <c r="AE361" s="1059">
        <v>367375</v>
      </c>
      <c r="AF361" s="889" t="s">
        <v>459</v>
      </c>
      <c r="AG361" s="889" t="s">
        <v>459</v>
      </c>
    </row>
    <row r="362" spans="26:33" x14ac:dyDescent="0.35">
      <c r="Z362" s="344">
        <v>2352</v>
      </c>
      <c r="AA362" s="344" t="s">
        <v>539</v>
      </c>
      <c r="AB362" s="344">
        <v>2</v>
      </c>
      <c r="AC362" s="344" t="s">
        <v>464</v>
      </c>
      <c r="AD362" s="1058" t="s">
        <v>570</v>
      </c>
      <c r="AE362" s="1059">
        <v>259653</v>
      </c>
      <c r="AF362" s="889" t="s">
        <v>459</v>
      </c>
      <c r="AG362" s="889" t="s">
        <v>459</v>
      </c>
    </row>
    <row r="363" spans="26:33" x14ac:dyDescent="0.35">
      <c r="Z363" s="344">
        <v>2353</v>
      </c>
      <c r="AA363" s="344" t="s">
        <v>539</v>
      </c>
      <c r="AB363" s="344">
        <v>2</v>
      </c>
      <c r="AC363" s="344" t="s">
        <v>464</v>
      </c>
      <c r="AD363" s="1058" t="s">
        <v>570</v>
      </c>
      <c r="AE363" s="1059">
        <v>269530</v>
      </c>
      <c r="AF363" s="889" t="s">
        <v>459</v>
      </c>
      <c r="AG363" s="889" t="s">
        <v>459</v>
      </c>
    </row>
    <row r="364" spans="26:33" x14ac:dyDescent="0.35">
      <c r="Z364" s="344">
        <v>2354</v>
      </c>
      <c r="AA364" s="344" t="s">
        <v>539</v>
      </c>
      <c r="AB364" s="344">
        <v>4</v>
      </c>
      <c r="AC364" s="344" t="s">
        <v>464</v>
      </c>
      <c r="AD364" s="1058" t="s">
        <v>569</v>
      </c>
      <c r="AE364" s="1059">
        <v>215753</v>
      </c>
      <c r="AF364" s="889" t="s">
        <v>459</v>
      </c>
      <c r="AG364" s="889" t="s">
        <v>459</v>
      </c>
    </row>
    <row r="365" spans="26:33" x14ac:dyDescent="0.35">
      <c r="Z365" s="344">
        <v>2355</v>
      </c>
      <c r="AA365" s="344" t="s">
        <v>539</v>
      </c>
      <c r="AB365" s="344">
        <v>4</v>
      </c>
      <c r="AC365" s="344" t="s">
        <v>464</v>
      </c>
      <c r="AD365" s="1058" t="s">
        <v>569</v>
      </c>
      <c r="AE365" s="1059">
        <v>192051</v>
      </c>
      <c r="AF365" s="889" t="s">
        <v>459</v>
      </c>
      <c r="AG365" s="889" t="s">
        <v>459</v>
      </c>
    </row>
    <row r="366" spans="26:33" x14ac:dyDescent="0.35">
      <c r="Z366" s="344">
        <v>2356</v>
      </c>
      <c r="AA366" s="344" t="s">
        <v>539</v>
      </c>
      <c r="AB366" s="344">
        <v>4</v>
      </c>
      <c r="AC366" s="344" t="e">
        <v>#N/A</v>
      </c>
      <c r="AD366" s="1058" t="s">
        <v>569</v>
      </c>
      <c r="AE366" s="1059" t="e">
        <v>#N/A</v>
      </c>
      <c r="AF366" s="889" t="s">
        <v>459</v>
      </c>
      <c r="AG366" s="889" t="s">
        <v>459</v>
      </c>
    </row>
    <row r="367" spans="26:33" x14ac:dyDescent="0.35">
      <c r="Z367" s="344">
        <v>2357</v>
      </c>
      <c r="AA367" s="344" t="s">
        <v>539</v>
      </c>
      <c r="AB367" s="344">
        <v>4</v>
      </c>
      <c r="AC367" s="344" t="s">
        <v>464</v>
      </c>
      <c r="AD367" s="1058" t="s">
        <v>569</v>
      </c>
      <c r="AE367" s="1059">
        <v>205044</v>
      </c>
      <c r="AF367" s="889" t="s">
        <v>459</v>
      </c>
      <c r="AG367" s="889" t="s">
        <v>459</v>
      </c>
    </row>
    <row r="368" spans="26:33" x14ac:dyDescent="0.35">
      <c r="Z368" s="344">
        <v>2358</v>
      </c>
      <c r="AA368" s="344" t="s">
        <v>539</v>
      </c>
      <c r="AB368" s="344">
        <v>4</v>
      </c>
      <c r="AC368" s="344" t="s">
        <v>464</v>
      </c>
      <c r="AD368" s="1058" t="s">
        <v>569</v>
      </c>
      <c r="AE368" s="1059">
        <v>272823</v>
      </c>
      <c r="AF368" s="889" t="s">
        <v>459</v>
      </c>
      <c r="AG368" s="889" t="s">
        <v>459</v>
      </c>
    </row>
    <row r="369" spans="26:33" x14ac:dyDescent="0.35">
      <c r="Z369" s="344">
        <v>2359</v>
      </c>
      <c r="AA369" s="344" t="s">
        <v>539</v>
      </c>
      <c r="AB369" s="344">
        <v>4</v>
      </c>
      <c r="AC369" s="344" t="s">
        <v>464</v>
      </c>
      <c r="AD369" s="1058" t="s">
        <v>569</v>
      </c>
      <c r="AE369" s="1059">
        <v>152454</v>
      </c>
      <c r="AF369" s="889" t="s">
        <v>459</v>
      </c>
      <c r="AG369" s="889" t="s">
        <v>459</v>
      </c>
    </row>
    <row r="370" spans="26:33" x14ac:dyDescent="0.35">
      <c r="Z370" s="344">
        <v>2360</v>
      </c>
      <c r="AA370" s="344" t="s">
        <v>539</v>
      </c>
      <c r="AB370" s="344">
        <v>3</v>
      </c>
      <c r="AC370" s="344" t="s">
        <v>464</v>
      </c>
      <c r="AD370" s="1058" t="s">
        <v>571</v>
      </c>
      <c r="AE370" s="1059">
        <v>215488</v>
      </c>
      <c r="AF370" s="889" t="s">
        <v>459</v>
      </c>
      <c r="AG370" s="889" t="s">
        <v>459</v>
      </c>
    </row>
    <row r="371" spans="26:33" x14ac:dyDescent="0.35">
      <c r="Z371" s="344">
        <v>2361</v>
      </c>
      <c r="AA371" s="344" t="s">
        <v>539</v>
      </c>
      <c r="AB371" s="344">
        <v>4</v>
      </c>
      <c r="AC371" s="344" t="s">
        <v>464</v>
      </c>
      <c r="AD371" s="1058" t="s">
        <v>569</v>
      </c>
      <c r="AE371" s="1059">
        <v>134073</v>
      </c>
      <c r="AF371" s="889" t="s">
        <v>459</v>
      </c>
      <c r="AG371" s="889" t="s">
        <v>459</v>
      </c>
    </row>
    <row r="372" spans="26:33" x14ac:dyDescent="0.35">
      <c r="Z372" s="344">
        <v>2365</v>
      </c>
      <c r="AA372" s="344" t="s">
        <v>539</v>
      </c>
      <c r="AB372" s="344">
        <v>4</v>
      </c>
      <c r="AC372" s="344" t="s">
        <v>464</v>
      </c>
      <c r="AD372" s="1058" t="s">
        <v>569</v>
      </c>
      <c r="AE372" s="1059">
        <v>219418</v>
      </c>
      <c r="AF372" s="889" t="s">
        <v>459</v>
      </c>
      <c r="AG372" s="889" t="s">
        <v>459</v>
      </c>
    </row>
    <row r="373" spans="26:33" x14ac:dyDescent="0.35">
      <c r="Z373" s="344">
        <v>2369</v>
      </c>
      <c r="AA373" s="344" t="s">
        <v>539</v>
      </c>
      <c r="AB373" s="344">
        <v>4</v>
      </c>
      <c r="AC373" s="344" t="s">
        <v>464</v>
      </c>
      <c r="AD373" s="1058" t="s">
        <v>569</v>
      </c>
      <c r="AE373" s="1059">
        <v>109979</v>
      </c>
      <c r="AF373" s="889" t="s">
        <v>459</v>
      </c>
      <c r="AG373" s="889" t="s">
        <v>459</v>
      </c>
    </row>
    <row r="374" spans="26:33" x14ac:dyDescent="0.35">
      <c r="Z374" s="344">
        <v>2370</v>
      </c>
      <c r="AA374" s="344" t="s">
        <v>539</v>
      </c>
      <c r="AB374" s="344">
        <v>4</v>
      </c>
      <c r="AC374" s="344" t="s">
        <v>464</v>
      </c>
      <c r="AD374" s="1058" t="s">
        <v>569</v>
      </c>
      <c r="AE374" s="1059">
        <v>214983</v>
      </c>
      <c r="AF374" s="889" t="s">
        <v>459</v>
      </c>
      <c r="AG374" s="889" t="s">
        <v>459</v>
      </c>
    </row>
    <row r="375" spans="26:33" x14ac:dyDescent="0.35">
      <c r="Z375" s="344">
        <v>2371</v>
      </c>
      <c r="AA375" s="344" t="s">
        <v>539</v>
      </c>
      <c r="AB375" s="344">
        <v>4</v>
      </c>
      <c r="AC375" s="344" t="s">
        <v>464</v>
      </c>
      <c r="AD375" s="1058" t="s">
        <v>569</v>
      </c>
      <c r="AE375" s="1059">
        <v>117638</v>
      </c>
      <c r="AF375" s="889" t="s">
        <v>459</v>
      </c>
      <c r="AG375" s="889" t="s">
        <v>459</v>
      </c>
    </row>
    <row r="376" spans="26:33" x14ac:dyDescent="0.35">
      <c r="Z376" s="344">
        <v>2372</v>
      </c>
      <c r="AA376" s="344" t="s">
        <v>539</v>
      </c>
      <c r="AB376" s="344">
        <v>4</v>
      </c>
      <c r="AC376" s="344" t="s">
        <v>464</v>
      </c>
      <c r="AD376" s="1058" t="s">
        <v>569</v>
      </c>
      <c r="AE376" s="1059">
        <v>210567</v>
      </c>
      <c r="AF376" s="889" t="s">
        <v>459</v>
      </c>
      <c r="AG376" s="889" t="s">
        <v>459</v>
      </c>
    </row>
    <row r="377" spans="26:33" x14ac:dyDescent="0.35">
      <c r="Z377" s="344">
        <v>2379</v>
      </c>
      <c r="AA377" s="344" t="s">
        <v>539</v>
      </c>
      <c r="AB377" s="344">
        <v>4</v>
      </c>
      <c r="AC377" s="344" t="e">
        <v>#N/A</v>
      </c>
      <c r="AD377" s="1058" t="s">
        <v>569</v>
      </c>
      <c r="AE377" s="1059" t="e">
        <v>#N/A</v>
      </c>
      <c r="AF377" s="889" t="s">
        <v>459</v>
      </c>
      <c r="AG377" s="889" t="s">
        <v>459</v>
      </c>
    </row>
    <row r="378" spans="26:33" x14ac:dyDescent="0.35">
      <c r="Z378" s="344">
        <v>2380</v>
      </c>
      <c r="AA378" s="344" t="s">
        <v>539</v>
      </c>
      <c r="AB378" s="344">
        <v>3</v>
      </c>
      <c r="AC378" s="344" t="s">
        <v>471</v>
      </c>
      <c r="AD378" s="1058" t="s">
        <v>571</v>
      </c>
      <c r="AE378" s="1059">
        <v>302953</v>
      </c>
      <c r="AF378" s="889" t="s">
        <v>459</v>
      </c>
      <c r="AG378" s="889" t="s">
        <v>459</v>
      </c>
    </row>
    <row r="379" spans="26:33" x14ac:dyDescent="0.35">
      <c r="Z379" s="344">
        <v>2381</v>
      </c>
      <c r="AA379" s="344" t="s">
        <v>539</v>
      </c>
      <c r="AB379" s="344">
        <v>4</v>
      </c>
      <c r="AC379" s="344" t="s">
        <v>464</v>
      </c>
      <c r="AD379" s="1058" t="s">
        <v>569</v>
      </c>
      <c r="AE379" s="1059">
        <v>217344</v>
      </c>
      <c r="AF379" s="889" t="s">
        <v>459</v>
      </c>
      <c r="AG379" s="889" t="s">
        <v>459</v>
      </c>
    </row>
    <row r="380" spans="26:33" x14ac:dyDescent="0.35">
      <c r="Z380" s="344">
        <v>2382</v>
      </c>
      <c r="AA380" s="344" t="s">
        <v>539</v>
      </c>
      <c r="AB380" s="344">
        <v>4</v>
      </c>
      <c r="AC380" s="344" t="s">
        <v>464</v>
      </c>
      <c r="AD380" s="1058" t="s">
        <v>569</v>
      </c>
      <c r="AE380" s="1059">
        <v>244427</v>
      </c>
      <c r="AF380" s="889" t="s">
        <v>459</v>
      </c>
      <c r="AG380" s="889" t="s">
        <v>459</v>
      </c>
    </row>
    <row r="381" spans="26:33" x14ac:dyDescent="0.35">
      <c r="Z381" s="344">
        <v>2386</v>
      </c>
      <c r="AA381" s="344" t="s">
        <v>539</v>
      </c>
      <c r="AB381" s="344">
        <v>4</v>
      </c>
      <c r="AC381" s="344" t="e">
        <v>#N/A</v>
      </c>
      <c r="AD381" s="1058" t="s">
        <v>569</v>
      </c>
      <c r="AE381" s="1059" t="e">
        <v>#N/A</v>
      </c>
      <c r="AF381" s="889" t="s">
        <v>459</v>
      </c>
      <c r="AG381" s="889" t="s">
        <v>459</v>
      </c>
    </row>
    <row r="382" spans="26:33" x14ac:dyDescent="0.35">
      <c r="Z382" s="344">
        <v>2387</v>
      </c>
      <c r="AA382" s="344" t="s">
        <v>539</v>
      </c>
      <c r="AB382" s="344">
        <v>4</v>
      </c>
      <c r="AC382" s="344" t="e">
        <v>#N/A</v>
      </c>
      <c r="AD382" s="1058" t="s">
        <v>569</v>
      </c>
      <c r="AE382" s="1059" t="e">
        <v>#N/A</v>
      </c>
      <c r="AF382" s="889" t="s">
        <v>459</v>
      </c>
      <c r="AG382" s="889" t="s">
        <v>459</v>
      </c>
    </row>
    <row r="383" spans="26:33" x14ac:dyDescent="0.35">
      <c r="Z383" s="344">
        <v>2388</v>
      </c>
      <c r="AA383" s="344" t="s">
        <v>539</v>
      </c>
      <c r="AB383" s="344">
        <v>4</v>
      </c>
      <c r="AC383" s="344" t="s">
        <v>464</v>
      </c>
      <c r="AD383" s="1058" t="s">
        <v>569</v>
      </c>
      <c r="AE383" s="1059">
        <v>237202</v>
      </c>
      <c r="AF383" s="889" t="s">
        <v>459</v>
      </c>
      <c r="AG383" s="889" t="s">
        <v>459</v>
      </c>
    </row>
    <row r="384" spans="26:33" x14ac:dyDescent="0.35">
      <c r="Z384" s="344">
        <v>2390</v>
      </c>
      <c r="AA384" s="344" t="s">
        <v>539</v>
      </c>
      <c r="AB384" s="344">
        <v>3</v>
      </c>
      <c r="AC384" s="344" t="s">
        <v>464</v>
      </c>
      <c r="AD384" s="1058" t="s">
        <v>571</v>
      </c>
      <c r="AE384" s="1059">
        <v>296673</v>
      </c>
      <c r="AF384" s="889" t="s">
        <v>459</v>
      </c>
      <c r="AG384" s="889" t="s">
        <v>459</v>
      </c>
    </row>
    <row r="385" spans="26:33" x14ac:dyDescent="0.35">
      <c r="Z385" s="344">
        <v>2395</v>
      </c>
      <c r="AA385" s="344" t="s">
        <v>539</v>
      </c>
      <c r="AB385" s="344">
        <v>4</v>
      </c>
      <c r="AC385" s="344" t="s">
        <v>464</v>
      </c>
      <c r="AD385" s="1058" t="s">
        <v>569</v>
      </c>
      <c r="AE385" s="1059">
        <v>117224</v>
      </c>
      <c r="AF385" s="889" t="s">
        <v>459</v>
      </c>
      <c r="AG385" s="889" t="s">
        <v>459</v>
      </c>
    </row>
    <row r="386" spans="26:33" x14ac:dyDescent="0.35">
      <c r="Z386" s="344">
        <v>2396</v>
      </c>
      <c r="AA386" s="344" t="s">
        <v>539</v>
      </c>
      <c r="AB386" s="344">
        <v>4</v>
      </c>
      <c r="AC386" s="344" t="s">
        <v>464</v>
      </c>
      <c r="AD386" s="1058" t="s">
        <v>569</v>
      </c>
      <c r="AE386" s="1059">
        <v>117999</v>
      </c>
      <c r="AF386" s="889" t="s">
        <v>459</v>
      </c>
      <c r="AG386" s="889" t="s">
        <v>459</v>
      </c>
    </row>
    <row r="387" spans="26:33" x14ac:dyDescent="0.35">
      <c r="Z387" s="344">
        <v>2397</v>
      </c>
      <c r="AA387" s="344" t="s">
        <v>539</v>
      </c>
      <c r="AB387" s="344">
        <v>4</v>
      </c>
      <c r="AC387" s="344" t="s">
        <v>464</v>
      </c>
      <c r="AD387" s="1058" t="s">
        <v>569</v>
      </c>
      <c r="AE387" s="1059">
        <v>102432</v>
      </c>
      <c r="AF387" s="889" t="s">
        <v>459</v>
      </c>
      <c r="AG387" s="889" t="s">
        <v>459</v>
      </c>
    </row>
    <row r="388" spans="26:33" x14ac:dyDescent="0.35">
      <c r="Z388" s="344">
        <v>2398</v>
      </c>
      <c r="AA388" s="344" t="s">
        <v>539</v>
      </c>
      <c r="AB388" s="344">
        <v>4</v>
      </c>
      <c r="AC388" s="344" t="e">
        <v>#N/A</v>
      </c>
      <c r="AD388" s="1058" t="s">
        <v>569</v>
      </c>
      <c r="AE388" s="1059" t="e">
        <v>#N/A</v>
      </c>
      <c r="AF388" s="889" t="s">
        <v>459</v>
      </c>
      <c r="AG388" s="889" t="s">
        <v>459</v>
      </c>
    </row>
    <row r="389" spans="26:33" x14ac:dyDescent="0.35">
      <c r="Z389" s="344">
        <v>2399</v>
      </c>
      <c r="AA389" s="344" t="s">
        <v>539</v>
      </c>
      <c r="AB389" s="344">
        <v>4</v>
      </c>
      <c r="AC389" s="344" t="s">
        <v>464</v>
      </c>
      <c r="AD389" s="1058" t="s">
        <v>569</v>
      </c>
      <c r="AE389" s="1059">
        <v>169470</v>
      </c>
      <c r="AF389" s="889" t="s">
        <v>459</v>
      </c>
      <c r="AG389" s="889" t="s">
        <v>459</v>
      </c>
    </row>
    <row r="390" spans="26:33" x14ac:dyDescent="0.35">
      <c r="Z390" s="344">
        <v>2400</v>
      </c>
      <c r="AA390" s="344" t="s">
        <v>539</v>
      </c>
      <c r="AB390" s="344">
        <v>3</v>
      </c>
      <c r="AC390" s="344" t="s">
        <v>464</v>
      </c>
      <c r="AD390" s="1058" t="s">
        <v>571</v>
      </c>
      <c r="AE390" s="1059">
        <v>205429</v>
      </c>
      <c r="AF390" s="889" t="s">
        <v>460</v>
      </c>
      <c r="AG390" s="889" t="s">
        <v>459</v>
      </c>
    </row>
    <row r="391" spans="26:33" x14ac:dyDescent="0.35">
      <c r="Z391" s="344">
        <v>2401</v>
      </c>
      <c r="AA391" s="344" t="s">
        <v>539</v>
      </c>
      <c r="AB391" s="344">
        <v>4</v>
      </c>
      <c r="AC391" s="344" t="e">
        <v>#N/A</v>
      </c>
      <c r="AD391" s="1058" t="s">
        <v>569</v>
      </c>
      <c r="AE391" s="1059" t="e">
        <v>#N/A</v>
      </c>
      <c r="AF391" s="889" t="s">
        <v>459</v>
      </c>
      <c r="AG391" s="889" t="s">
        <v>459</v>
      </c>
    </row>
    <row r="392" spans="26:33" x14ac:dyDescent="0.35">
      <c r="Z392" s="344">
        <v>2402</v>
      </c>
      <c r="AA392" s="344" t="s">
        <v>539</v>
      </c>
      <c r="AB392" s="344">
        <v>4</v>
      </c>
      <c r="AC392" s="344" t="s">
        <v>464</v>
      </c>
      <c r="AD392" s="1058" t="s">
        <v>569</v>
      </c>
      <c r="AE392" s="1059">
        <v>193693</v>
      </c>
      <c r="AF392" s="889" t="s">
        <v>459</v>
      </c>
      <c r="AG392" s="889" t="s">
        <v>459</v>
      </c>
    </row>
    <row r="393" spans="26:33" x14ac:dyDescent="0.35">
      <c r="Z393" s="344">
        <v>2403</v>
      </c>
      <c r="AA393" s="344" t="s">
        <v>539</v>
      </c>
      <c r="AB393" s="344">
        <v>4</v>
      </c>
      <c r="AC393" s="344" t="s">
        <v>464</v>
      </c>
      <c r="AD393" s="1058" t="s">
        <v>569</v>
      </c>
      <c r="AE393" s="1059">
        <v>144899</v>
      </c>
      <c r="AF393" s="889" t="s">
        <v>459</v>
      </c>
      <c r="AG393" s="889" t="s">
        <v>459</v>
      </c>
    </row>
    <row r="394" spans="26:33" x14ac:dyDescent="0.35">
      <c r="Z394" s="344">
        <v>2404</v>
      </c>
      <c r="AA394" s="344" t="s">
        <v>539</v>
      </c>
      <c r="AB394" s="344">
        <v>4</v>
      </c>
      <c r="AC394" s="344" t="s">
        <v>464</v>
      </c>
      <c r="AD394" s="1058" t="s">
        <v>569</v>
      </c>
      <c r="AE394" s="1059">
        <v>194877</v>
      </c>
      <c r="AF394" s="889" t="s">
        <v>459</v>
      </c>
      <c r="AG394" s="889" t="s">
        <v>459</v>
      </c>
    </row>
    <row r="395" spans="26:33" x14ac:dyDescent="0.35">
      <c r="Z395" s="344">
        <v>2405</v>
      </c>
      <c r="AA395" s="344" t="s">
        <v>539</v>
      </c>
      <c r="AB395" s="344">
        <v>4</v>
      </c>
      <c r="AC395" s="344" t="e">
        <v>#N/A</v>
      </c>
      <c r="AD395" s="1058" t="s">
        <v>569</v>
      </c>
      <c r="AE395" s="1059" t="e">
        <v>#N/A</v>
      </c>
      <c r="AF395" s="889" t="s">
        <v>459</v>
      </c>
      <c r="AG395" s="889" t="s">
        <v>459</v>
      </c>
    </row>
    <row r="396" spans="26:33" x14ac:dyDescent="0.35">
      <c r="Z396" s="344">
        <v>2406</v>
      </c>
      <c r="AA396" s="344" t="s">
        <v>539</v>
      </c>
      <c r="AB396" s="344">
        <v>4</v>
      </c>
      <c r="AC396" s="344" t="s">
        <v>464</v>
      </c>
      <c r="AD396" s="1058" t="s">
        <v>569</v>
      </c>
      <c r="AE396" s="1059">
        <v>98166</v>
      </c>
      <c r="AF396" s="889" t="s">
        <v>459</v>
      </c>
      <c r="AG396" s="889" t="s">
        <v>459</v>
      </c>
    </row>
    <row r="397" spans="26:33" x14ac:dyDescent="0.35">
      <c r="Z397" s="344">
        <v>2408</v>
      </c>
      <c r="AA397" s="344" t="s">
        <v>539</v>
      </c>
      <c r="AB397" s="344">
        <v>4</v>
      </c>
      <c r="AC397" s="344" t="e">
        <v>#N/A</v>
      </c>
      <c r="AD397" s="1058" t="s">
        <v>569</v>
      </c>
      <c r="AE397" s="1059" t="e">
        <v>#N/A</v>
      </c>
      <c r="AF397" s="889" t="s">
        <v>459</v>
      </c>
      <c r="AG397" s="889" t="s">
        <v>459</v>
      </c>
    </row>
    <row r="398" spans="26:33" x14ac:dyDescent="0.35">
      <c r="Z398" s="344">
        <v>2409</v>
      </c>
      <c r="AA398" s="344" t="s">
        <v>539</v>
      </c>
      <c r="AB398" s="344">
        <v>4</v>
      </c>
      <c r="AC398" s="344" t="s">
        <v>464</v>
      </c>
      <c r="AD398" s="1058" t="s">
        <v>569</v>
      </c>
      <c r="AE398" s="1059">
        <v>128682</v>
      </c>
      <c r="AF398" s="889" t="s">
        <v>459</v>
      </c>
      <c r="AG398" s="889" t="s">
        <v>459</v>
      </c>
    </row>
    <row r="399" spans="26:33" x14ac:dyDescent="0.35">
      <c r="Z399" s="344">
        <v>2410</v>
      </c>
      <c r="AA399" s="344" t="s">
        <v>539</v>
      </c>
      <c r="AB399" s="344">
        <v>4</v>
      </c>
      <c r="AC399" s="344" t="e">
        <v>#N/A</v>
      </c>
      <c r="AD399" s="1058" t="s">
        <v>569</v>
      </c>
      <c r="AE399" s="1059" t="e">
        <v>#N/A</v>
      </c>
      <c r="AF399" s="889" t="s">
        <v>459</v>
      </c>
      <c r="AG399" s="889" t="s">
        <v>459</v>
      </c>
    </row>
    <row r="400" spans="26:33" x14ac:dyDescent="0.35">
      <c r="Z400" s="344">
        <v>2411</v>
      </c>
      <c r="AA400" s="344" t="s">
        <v>539</v>
      </c>
      <c r="AB400" s="344">
        <v>4</v>
      </c>
      <c r="AC400" s="344" t="e">
        <v>#N/A</v>
      </c>
      <c r="AD400" s="1058" t="s">
        <v>569</v>
      </c>
      <c r="AE400" s="1059" t="e">
        <v>#N/A</v>
      </c>
      <c r="AF400" s="889" t="s">
        <v>459</v>
      </c>
      <c r="AG400" s="889" t="s">
        <v>459</v>
      </c>
    </row>
    <row r="401" spans="26:33" x14ac:dyDescent="0.35">
      <c r="Z401" s="344">
        <v>2415</v>
      </c>
      <c r="AA401" s="344" t="s">
        <v>539</v>
      </c>
      <c r="AB401" s="344">
        <v>4</v>
      </c>
      <c r="AC401" s="344" t="e">
        <v>#N/A</v>
      </c>
      <c r="AD401" s="1058" t="s">
        <v>569</v>
      </c>
      <c r="AE401" s="1059" t="e">
        <v>#N/A</v>
      </c>
      <c r="AF401" s="889" t="s">
        <v>459</v>
      </c>
      <c r="AG401" s="889" t="s">
        <v>459</v>
      </c>
    </row>
    <row r="402" spans="26:33" x14ac:dyDescent="0.35">
      <c r="Z402" s="344">
        <v>2420</v>
      </c>
      <c r="AA402" s="344" t="s">
        <v>539</v>
      </c>
      <c r="AB402" s="344">
        <v>4</v>
      </c>
      <c r="AC402" s="344" t="s">
        <v>464</v>
      </c>
      <c r="AD402" s="1058" t="s">
        <v>569</v>
      </c>
      <c r="AE402" s="1059">
        <v>277711</v>
      </c>
      <c r="AF402" s="889" t="s">
        <v>459</v>
      </c>
      <c r="AG402" s="889" t="s">
        <v>459</v>
      </c>
    </row>
    <row r="403" spans="26:33" x14ac:dyDescent="0.35">
      <c r="Z403" s="344">
        <v>2421</v>
      </c>
      <c r="AA403" s="344" t="s">
        <v>539</v>
      </c>
      <c r="AB403" s="344">
        <v>1</v>
      </c>
      <c r="AC403" s="344" t="s">
        <v>457</v>
      </c>
      <c r="AD403" s="1058" t="s">
        <v>540</v>
      </c>
      <c r="AE403" s="1059">
        <v>507730</v>
      </c>
      <c r="AF403" s="889" t="s">
        <v>459</v>
      </c>
      <c r="AG403" s="889" t="s">
        <v>459</v>
      </c>
    </row>
    <row r="404" spans="26:33" x14ac:dyDescent="0.35">
      <c r="Z404" s="344">
        <v>2422</v>
      </c>
      <c r="AA404" s="344" t="s">
        <v>539</v>
      </c>
      <c r="AB404" s="344">
        <v>4</v>
      </c>
      <c r="AC404" s="344" t="s">
        <v>471</v>
      </c>
      <c r="AD404" s="1058" t="s">
        <v>569</v>
      </c>
      <c r="AE404" s="1059">
        <v>317899</v>
      </c>
      <c r="AF404" s="889" t="s">
        <v>459</v>
      </c>
      <c r="AG404" s="889" t="s">
        <v>459</v>
      </c>
    </row>
    <row r="405" spans="26:33" x14ac:dyDescent="0.35">
      <c r="Z405" s="344">
        <v>2423</v>
      </c>
      <c r="AA405" s="344" t="s">
        <v>539</v>
      </c>
      <c r="AB405" s="344">
        <v>4</v>
      </c>
      <c r="AC405" s="344" t="s">
        <v>464</v>
      </c>
      <c r="AD405" s="1058" t="s">
        <v>569</v>
      </c>
      <c r="AE405" s="1059">
        <v>242834</v>
      </c>
      <c r="AF405" s="889" t="s">
        <v>459</v>
      </c>
      <c r="AG405" s="889" t="s">
        <v>459</v>
      </c>
    </row>
    <row r="406" spans="26:33" x14ac:dyDescent="0.35">
      <c r="Z406" s="344">
        <v>2424</v>
      </c>
      <c r="AA406" s="344" t="s">
        <v>539</v>
      </c>
      <c r="AB406" s="344">
        <v>4</v>
      </c>
      <c r="AC406" s="344" t="e">
        <v>#N/A</v>
      </c>
      <c r="AD406" s="1058" t="s">
        <v>569</v>
      </c>
      <c r="AE406" s="1059" t="e">
        <v>#N/A</v>
      </c>
      <c r="AF406" s="889" t="s">
        <v>459</v>
      </c>
      <c r="AG406" s="889" t="s">
        <v>459</v>
      </c>
    </row>
    <row r="407" spans="26:33" x14ac:dyDescent="0.35">
      <c r="Z407" s="344">
        <v>2425</v>
      </c>
      <c r="AA407" s="344" t="s">
        <v>539</v>
      </c>
      <c r="AB407" s="344">
        <v>4</v>
      </c>
      <c r="AC407" s="344" t="s">
        <v>471</v>
      </c>
      <c r="AD407" s="1058" t="s">
        <v>569</v>
      </c>
      <c r="AE407" s="1059">
        <v>300360</v>
      </c>
      <c r="AF407" s="889" t="s">
        <v>459</v>
      </c>
      <c r="AG407" s="889" t="s">
        <v>459</v>
      </c>
    </row>
    <row r="408" spans="26:33" x14ac:dyDescent="0.35">
      <c r="Z408" s="344">
        <v>2426</v>
      </c>
      <c r="AA408" s="344" t="s">
        <v>539</v>
      </c>
      <c r="AB408" s="344">
        <v>3</v>
      </c>
      <c r="AC408" s="344" t="s">
        <v>464</v>
      </c>
      <c r="AD408" s="1058" t="s">
        <v>571</v>
      </c>
      <c r="AE408" s="1059">
        <v>250504</v>
      </c>
      <c r="AF408" s="889" t="s">
        <v>459</v>
      </c>
      <c r="AG408" s="889" t="s">
        <v>459</v>
      </c>
    </row>
    <row r="409" spans="26:33" x14ac:dyDescent="0.35">
      <c r="Z409" s="344">
        <v>2427</v>
      </c>
      <c r="AA409" s="344" t="s">
        <v>539</v>
      </c>
      <c r="AB409" s="344">
        <v>3</v>
      </c>
      <c r="AC409" s="344" t="s">
        <v>457</v>
      </c>
      <c r="AD409" s="1058" t="s">
        <v>571</v>
      </c>
      <c r="AE409" s="1059">
        <v>512632</v>
      </c>
      <c r="AF409" s="889" t="s">
        <v>459</v>
      </c>
      <c r="AG409" s="889" t="s">
        <v>459</v>
      </c>
    </row>
    <row r="410" spans="26:33" x14ac:dyDescent="0.35">
      <c r="Z410" s="344">
        <v>2428</v>
      </c>
      <c r="AA410" s="344" t="s">
        <v>539</v>
      </c>
      <c r="AB410" s="344">
        <v>1</v>
      </c>
      <c r="AC410" s="344" t="s">
        <v>471</v>
      </c>
      <c r="AD410" s="1058" t="s">
        <v>540</v>
      </c>
      <c r="AE410" s="1059">
        <v>444736</v>
      </c>
      <c r="AF410" s="889" t="s">
        <v>459</v>
      </c>
      <c r="AG410" s="889" t="s">
        <v>459</v>
      </c>
    </row>
    <row r="411" spans="26:33" x14ac:dyDescent="0.35">
      <c r="Z411" s="344">
        <v>2429</v>
      </c>
      <c r="AA411" s="344" t="s">
        <v>539</v>
      </c>
      <c r="AB411" s="344">
        <v>2</v>
      </c>
      <c r="AC411" s="344" t="s">
        <v>464</v>
      </c>
      <c r="AD411" s="1058" t="s">
        <v>570</v>
      </c>
      <c r="AE411" s="1059">
        <v>234046</v>
      </c>
      <c r="AF411" s="889" t="s">
        <v>459</v>
      </c>
      <c r="AG411" s="889" t="s">
        <v>459</v>
      </c>
    </row>
    <row r="412" spans="26:33" x14ac:dyDescent="0.35">
      <c r="Z412" s="344">
        <v>2430</v>
      </c>
      <c r="AA412" s="344" t="s">
        <v>539</v>
      </c>
      <c r="AB412" s="344">
        <v>2</v>
      </c>
      <c r="AC412" s="344" t="s">
        <v>471</v>
      </c>
      <c r="AD412" s="1058" t="s">
        <v>570</v>
      </c>
      <c r="AE412" s="1059">
        <v>410433</v>
      </c>
      <c r="AF412" s="889" t="s">
        <v>459</v>
      </c>
      <c r="AG412" s="889" t="s">
        <v>459</v>
      </c>
    </row>
    <row r="413" spans="26:33" x14ac:dyDescent="0.35">
      <c r="Z413" s="344">
        <v>2431</v>
      </c>
      <c r="AA413" s="344" t="s">
        <v>539</v>
      </c>
      <c r="AB413" s="344">
        <v>3</v>
      </c>
      <c r="AC413" s="344" t="s">
        <v>471</v>
      </c>
      <c r="AD413" s="1058" t="s">
        <v>571</v>
      </c>
      <c r="AE413" s="1059">
        <v>421463</v>
      </c>
      <c r="AF413" s="889" t="s">
        <v>459</v>
      </c>
      <c r="AG413" s="889" t="s">
        <v>459</v>
      </c>
    </row>
    <row r="414" spans="26:33" x14ac:dyDescent="0.35">
      <c r="Z414" s="344">
        <v>2439</v>
      </c>
      <c r="AA414" s="344" t="s">
        <v>539</v>
      </c>
      <c r="AB414" s="344">
        <v>2</v>
      </c>
      <c r="AC414" s="344" t="s">
        <v>471</v>
      </c>
      <c r="AD414" s="1058" t="s">
        <v>570</v>
      </c>
      <c r="AE414" s="1059">
        <v>383917</v>
      </c>
      <c r="AF414" s="889" t="s">
        <v>459</v>
      </c>
      <c r="AG414" s="889" t="s">
        <v>459</v>
      </c>
    </row>
    <row r="415" spans="26:33" x14ac:dyDescent="0.35">
      <c r="Z415" s="344">
        <v>2440</v>
      </c>
      <c r="AA415" s="344" t="s">
        <v>539</v>
      </c>
      <c r="AB415" s="344">
        <v>3</v>
      </c>
      <c r="AC415" s="344" t="s">
        <v>464</v>
      </c>
      <c r="AD415" s="1058" t="s">
        <v>571</v>
      </c>
      <c r="AE415" s="1059">
        <v>294308</v>
      </c>
      <c r="AF415" s="889" t="s">
        <v>459</v>
      </c>
      <c r="AG415" s="889" t="s">
        <v>459</v>
      </c>
    </row>
    <row r="416" spans="26:33" x14ac:dyDescent="0.35">
      <c r="Z416" s="344">
        <v>2441</v>
      </c>
      <c r="AA416" s="344" t="s">
        <v>539</v>
      </c>
      <c r="AB416" s="344">
        <v>4</v>
      </c>
      <c r="AC416" s="344" t="s">
        <v>464</v>
      </c>
      <c r="AD416" s="1058" t="s">
        <v>569</v>
      </c>
      <c r="AE416" s="1059">
        <v>282166</v>
      </c>
      <c r="AF416" s="889" t="s">
        <v>459</v>
      </c>
      <c r="AG416" s="889" t="s">
        <v>459</v>
      </c>
    </row>
    <row r="417" spans="26:33" x14ac:dyDescent="0.35">
      <c r="Z417" s="344">
        <v>2443</v>
      </c>
      <c r="AA417" s="344" t="s">
        <v>539</v>
      </c>
      <c r="AB417" s="344">
        <v>2</v>
      </c>
      <c r="AC417" s="344" t="s">
        <v>471</v>
      </c>
      <c r="AD417" s="1058" t="s">
        <v>570</v>
      </c>
      <c r="AE417" s="1059">
        <v>394251</v>
      </c>
      <c r="AF417" s="889" t="s">
        <v>459</v>
      </c>
      <c r="AG417" s="889" t="s">
        <v>459</v>
      </c>
    </row>
    <row r="418" spans="26:33" x14ac:dyDescent="0.35">
      <c r="Z418" s="344">
        <v>2444</v>
      </c>
      <c r="AA418" s="344" t="s">
        <v>539</v>
      </c>
      <c r="AB418" s="344">
        <v>1</v>
      </c>
      <c r="AC418" s="344" t="s">
        <v>457</v>
      </c>
      <c r="AD418" s="1058" t="s">
        <v>540</v>
      </c>
      <c r="AE418" s="1059">
        <v>498545</v>
      </c>
      <c r="AF418" s="889" t="s">
        <v>459</v>
      </c>
      <c r="AG418" s="889" t="s">
        <v>459</v>
      </c>
    </row>
    <row r="419" spans="26:33" x14ac:dyDescent="0.35">
      <c r="Z419" s="344">
        <v>2445</v>
      </c>
      <c r="AA419" s="344" t="s">
        <v>539</v>
      </c>
      <c r="AB419" s="344">
        <v>1</v>
      </c>
      <c r="AC419" s="344" t="s">
        <v>471</v>
      </c>
      <c r="AD419" s="1058" t="s">
        <v>540</v>
      </c>
      <c r="AE419" s="1059">
        <v>430281</v>
      </c>
      <c r="AF419" s="889" t="s">
        <v>459</v>
      </c>
      <c r="AG419" s="889" t="s">
        <v>459</v>
      </c>
    </row>
    <row r="420" spans="26:33" x14ac:dyDescent="0.35">
      <c r="Z420" s="344">
        <v>2446</v>
      </c>
      <c r="AA420" s="344" t="s">
        <v>539</v>
      </c>
      <c r="AB420" s="344">
        <v>1</v>
      </c>
      <c r="AC420" s="344" t="s">
        <v>457</v>
      </c>
      <c r="AD420" s="1058" t="s">
        <v>540</v>
      </c>
      <c r="AE420" s="1059">
        <v>498363</v>
      </c>
      <c r="AF420" s="889" t="s">
        <v>459</v>
      </c>
      <c r="AG420" s="889" t="s">
        <v>459</v>
      </c>
    </row>
    <row r="421" spans="26:33" x14ac:dyDescent="0.35">
      <c r="Z421" s="344">
        <v>2447</v>
      </c>
      <c r="AA421" s="344" t="s">
        <v>539</v>
      </c>
      <c r="AB421" s="344">
        <v>1</v>
      </c>
      <c r="AC421" s="344" t="s">
        <v>471</v>
      </c>
      <c r="AD421" s="1058" t="s">
        <v>540</v>
      </c>
      <c r="AE421" s="1059">
        <v>343022</v>
      </c>
      <c r="AF421" s="889" t="s">
        <v>459</v>
      </c>
      <c r="AG421" s="889" t="s">
        <v>459</v>
      </c>
    </row>
    <row r="422" spans="26:33" x14ac:dyDescent="0.35">
      <c r="Z422" s="344">
        <v>2448</v>
      </c>
      <c r="AA422" s="344" t="s">
        <v>539</v>
      </c>
      <c r="AB422" s="344">
        <v>3</v>
      </c>
      <c r="AC422" s="344" t="s">
        <v>471</v>
      </c>
      <c r="AD422" s="1058" t="s">
        <v>571</v>
      </c>
      <c r="AE422" s="1059">
        <v>369915</v>
      </c>
      <c r="AF422" s="889" t="s">
        <v>459</v>
      </c>
      <c r="AG422" s="889" t="s">
        <v>459</v>
      </c>
    </row>
    <row r="423" spans="26:33" x14ac:dyDescent="0.35">
      <c r="Z423" s="344">
        <v>2449</v>
      </c>
      <c r="AA423" s="344" t="s">
        <v>539</v>
      </c>
      <c r="AB423" s="344">
        <v>4</v>
      </c>
      <c r="AC423" s="344" t="s">
        <v>464</v>
      </c>
      <c r="AD423" s="1058" t="s">
        <v>569</v>
      </c>
      <c r="AE423" s="1059">
        <v>197582</v>
      </c>
      <c r="AF423" s="889" t="s">
        <v>459</v>
      </c>
      <c r="AG423" s="889" t="s">
        <v>459</v>
      </c>
    </row>
    <row r="424" spans="26:33" x14ac:dyDescent="0.35">
      <c r="Z424" s="344">
        <v>2450</v>
      </c>
      <c r="AA424" s="344" t="s">
        <v>539</v>
      </c>
      <c r="AB424" s="344">
        <v>1</v>
      </c>
      <c r="AC424" s="344" t="s">
        <v>471</v>
      </c>
      <c r="AD424" s="1058" t="s">
        <v>540</v>
      </c>
      <c r="AE424" s="1059">
        <v>437711</v>
      </c>
      <c r="AF424" s="889" t="s">
        <v>459</v>
      </c>
      <c r="AG424" s="889" t="s">
        <v>459</v>
      </c>
    </row>
    <row r="425" spans="26:33" x14ac:dyDescent="0.35">
      <c r="Z425" s="344">
        <v>2452</v>
      </c>
      <c r="AA425" s="344" t="s">
        <v>539</v>
      </c>
      <c r="AB425" s="344">
        <v>1</v>
      </c>
      <c r="AC425" s="344" t="s">
        <v>471</v>
      </c>
      <c r="AD425" s="1058" t="s">
        <v>540</v>
      </c>
      <c r="AE425" s="1059">
        <v>420951</v>
      </c>
      <c r="AF425" s="889" t="s">
        <v>459</v>
      </c>
      <c r="AG425" s="889" t="s">
        <v>459</v>
      </c>
    </row>
    <row r="426" spans="26:33" x14ac:dyDescent="0.35">
      <c r="Z426" s="344">
        <v>2453</v>
      </c>
      <c r="AA426" s="344" t="s">
        <v>539</v>
      </c>
      <c r="AB426" s="344">
        <v>4</v>
      </c>
      <c r="AC426" s="344" t="s">
        <v>464</v>
      </c>
      <c r="AD426" s="1058" t="s">
        <v>569</v>
      </c>
      <c r="AE426" s="1059">
        <v>274705</v>
      </c>
      <c r="AF426" s="889" t="s">
        <v>459</v>
      </c>
      <c r="AG426" s="889" t="s">
        <v>459</v>
      </c>
    </row>
    <row r="427" spans="26:33" x14ac:dyDescent="0.35">
      <c r="Z427" s="344">
        <v>2454</v>
      </c>
      <c r="AA427" s="344" t="s">
        <v>539</v>
      </c>
      <c r="AB427" s="344">
        <v>1</v>
      </c>
      <c r="AC427" s="344" t="s">
        <v>471</v>
      </c>
      <c r="AD427" s="1058" t="s">
        <v>540</v>
      </c>
      <c r="AE427" s="1059">
        <v>442560</v>
      </c>
      <c r="AF427" s="889" t="s">
        <v>459</v>
      </c>
      <c r="AG427" s="889" t="s">
        <v>459</v>
      </c>
    </row>
    <row r="428" spans="26:33" x14ac:dyDescent="0.35">
      <c r="Z428" s="344">
        <v>2455</v>
      </c>
      <c r="AA428" s="344" t="s">
        <v>539</v>
      </c>
      <c r="AB428" s="344">
        <v>1</v>
      </c>
      <c r="AC428" s="344" t="s">
        <v>471</v>
      </c>
      <c r="AD428" s="1058" t="s">
        <v>540</v>
      </c>
      <c r="AE428" s="1059">
        <v>402548</v>
      </c>
      <c r="AF428" s="889" t="s">
        <v>459</v>
      </c>
      <c r="AG428" s="889" t="s">
        <v>459</v>
      </c>
    </row>
    <row r="429" spans="26:33" x14ac:dyDescent="0.35">
      <c r="Z429" s="344">
        <v>2456</v>
      </c>
      <c r="AA429" s="344" t="s">
        <v>539</v>
      </c>
      <c r="AB429" s="344">
        <v>1</v>
      </c>
      <c r="AC429" s="344" t="s">
        <v>471</v>
      </c>
      <c r="AD429" s="1058" t="s">
        <v>540</v>
      </c>
      <c r="AE429" s="1059">
        <v>442708</v>
      </c>
      <c r="AF429" s="889" t="s">
        <v>459</v>
      </c>
      <c r="AG429" s="889" t="s">
        <v>459</v>
      </c>
    </row>
    <row r="430" spans="26:33" x14ac:dyDescent="0.35">
      <c r="Z430" s="344">
        <v>2460</v>
      </c>
      <c r="AA430" s="344" t="s">
        <v>539</v>
      </c>
      <c r="AB430" s="344">
        <v>2</v>
      </c>
      <c r="AC430" s="344" t="s">
        <v>464</v>
      </c>
      <c r="AD430" s="1058" t="s">
        <v>570</v>
      </c>
      <c r="AE430" s="1059">
        <v>296322</v>
      </c>
      <c r="AF430" s="889" t="s">
        <v>459</v>
      </c>
      <c r="AG430" s="889" t="s">
        <v>459</v>
      </c>
    </row>
    <row r="431" spans="26:33" x14ac:dyDescent="0.35">
      <c r="Z431" s="344">
        <v>2462</v>
      </c>
      <c r="AA431" s="344" t="s">
        <v>539</v>
      </c>
      <c r="AB431" s="344">
        <v>4</v>
      </c>
      <c r="AC431" s="344" t="s">
        <v>471</v>
      </c>
      <c r="AD431" s="1058" t="s">
        <v>569</v>
      </c>
      <c r="AE431" s="1059">
        <v>370575</v>
      </c>
      <c r="AF431" s="889" t="s">
        <v>459</v>
      </c>
      <c r="AG431" s="889" t="s">
        <v>459</v>
      </c>
    </row>
    <row r="432" spans="26:33" x14ac:dyDescent="0.35">
      <c r="Z432" s="344">
        <v>2463</v>
      </c>
      <c r="AA432" s="344" t="s">
        <v>539</v>
      </c>
      <c r="AB432" s="344">
        <v>1</v>
      </c>
      <c r="AC432" s="344" t="s">
        <v>471</v>
      </c>
      <c r="AD432" s="1058" t="s">
        <v>540</v>
      </c>
      <c r="AE432" s="1059">
        <v>371931</v>
      </c>
      <c r="AF432" s="889" t="s">
        <v>459</v>
      </c>
      <c r="AG432" s="889" t="s">
        <v>459</v>
      </c>
    </row>
    <row r="433" spans="26:33" x14ac:dyDescent="0.35">
      <c r="Z433" s="344">
        <v>2464</v>
      </c>
      <c r="AA433" s="344" t="s">
        <v>539</v>
      </c>
      <c r="AB433" s="344">
        <v>1</v>
      </c>
      <c r="AC433" s="344" t="s">
        <v>457</v>
      </c>
      <c r="AD433" s="1058" t="s">
        <v>540</v>
      </c>
      <c r="AE433" s="1059">
        <v>640038</v>
      </c>
      <c r="AF433" s="889" t="s">
        <v>459</v>
      </c>
      <c r="AG433" s="889" t="s">
        <v>459</v>
      </c>
    </row>
    <row r="434" spans="26:33" x14ac:dyDescent="0.35">
      <c r="Z434" s="344">
        <v>2465</v>
      </c>
      <c r="AA434" s="344" t="s">
        <v>539</v>
      </c>
      <c r="AB434" s="344">
        <v>4</v>
      </c>
      <c r="AC434" s="344" t="s">
        <v>464</v>
      </c>
      <c r="AD434" s="1058" t="s">
        <v>569</v>
      </c>
      <c r="AE434" s="1059">
        <v>217672</v>
      </c>
      <c r="AF434" s="889" t="s">
        <v>459</v>
      </c>
      <c r="AG434" s="889" t="s">
        <v>459</v>
      </c>
    </row>
    <row r="435" spans="26:33" x14ac:dyDescent="0.35">
      <c r="Z435" s="344">
        <v>2466</v>
      </c>
      <c r="AA435" s="344" t="s">
        <v>539</v>
      </c>
      <c r="AB435" s="344">
        <v>3</v>
      </c>
      <c r="AC435" s="344" t="s">
        <v>471</v>
      </c>
      <c r="AD435" s="1058" t="s">
        <v>571</v>
      </c>
      <c r="AE435" s="1059">
        <v>362510</v>
      </c>
      <c r="AF435" s="889" t="s">
        <v>459</v>
      </c>
      <c r="AG435" s="889" t="s">
        <v>459</v>
      </c>
    </row>
    <row r="436" spans="26:33" x14ac:dyDescent="0.35">
      <c r="Z436" s="344">
        <v>2469</v>
      </c>
      <c r="AA436" s="344" t="s">
        <v>539</v>
      </c>
      <c r="AB436" s="344">
        <v>4</v>
      </c>
      <c r="AC436" s="344" t="s">
        <v>464</v>
      </c>
      <c r="AD436" s="1058" t="s">
        <v>569</v>
      </c>
      <c r="AE436" s="1059">
        <v>192311</v>
      </c>
      <c r="AF436" s="889" t="s">
        <v>459</v>
      </c>
      <c r="AG436" s="889" t="s">
        <v>459</v>
      </c>
    </row>
    <row r="437" spans="26:33" x14ac:dyDescent="0.35">
      <c r="Z437" s="344">
        <v>2470</v>
      </c>
      <c r="AA437" s="344" t="s">
        <v>539</v>
      </c>
      <c r="AB437" s="344">
        <v>3</v>
      </c>
      <c r="AC437" s="344" t="s">
        <v>471</v>
      </c>
      <c r="AD437" s="1058" t="s">
        <v>571</v>
      </c>
      <c r="AE437" s="1059">
        <v>333527</v>
      </c>
      <c r="AF437" s="889" t="s">
        <v>459</v>
      </c>
      <c r="AG437" s="889" t="s">
        <v>459</v>
      </c>
    </row>
    <row r="438" spans="26:33" x14ac:dyDescent="0.35">
      <c r="Z438" s="344">
        <v>2471</v>
      </c>
      <c r="AA438" s="344" t="s">
        <v>539</v>
      </c>
      <c r="AB438" s="344">
        <v>1</v>
      </c>
      <c r="AC438" s="344" t="s">
        <v>464</v>
      </c>
      <c r="AD438" s="1058" t="s">
        <v>540</v>
      </c>
      <c r="AE438" s="1059">
        <v>283564</v>
      </c>
      <c r="AF438" s="889" t="s">
        <v>459</v>
      </c>
      <c r="AG438" s="889" t="s">
        <v>459</v>
      </c>
    </row>
    <row r="439" spans="26:33" x14ac:dyDescent="0.35">
      <c r="Z439" s="344">
        <v>2472</v>
      </c>
      <c r="AA439" s="344" t="s">
        <v>539</v>
      </c>
      <c r="AB439" s="344">
        <v>4</v>
      </c>
      <c r="AC439" s="344" t="s">
        <v>464</v>
      </c>
      <c r="AD439" s="1058" t="s">
        <v>569</v>
      </c>
      <c r="AE439" s="1059">
        <v>297292</v>
      </c>
      <c r="AF439" s="889" t="s">
        <v>459</v>
      </c>
      <c r="AG439" s="889" t="s">
        <v>459</v>
      </c>
    </row>
    <row r="440" spans="26:33" x14ac:dyDescent="0.35">
      <c r="Z440" s="344">
        <v>2473</v>
      </c>
      <c r="AA440" s="344" t="s">
        <v>539</v>
      </c>
      <c r="AB440" s="344">
        <v>4</v>
      </c>
      <c r="AC440" s="344" t="s">
        <v>457</v>
      </c>
      <c r="AD440" s="1058" t="s">
        <v>569</v>
      </c>
      <c r="AE440" s="1059">
        <v>487890</v>
      </c>
      <c r="AF440" s="889" t="s">
        <v>459</v>
      </c>
      <c r="AG440" s="889" t="s">
        <v>459</v>
      </c>
    </row>
    <row r="441" spans="26:33" x14ac:dyDescent="0.35">
      <c r="Z441" s="344">
        <v>2474</v>
      </c>
      <c r="AA441" s="344" t="s">
        <v>539</v>
      </c>
      <c r="AB441" s="344">
        <v>4</v>
      </c>
      <c r="AC441" s="344" t="s">
        <v>464</v>
      </c>
      <c r="AD441" s="1058" t="s">
        <v>569</v>
      </c>
      <c r="AE441" s="1059">
        <v>278123</v>
      </c>
      <c r="AF441" s="889" t="s">
        <v>459</v>
      </c>
      <c r="AG441" s="889" t="s">
        <v>459</v>
      </c>
    </row>
    <row r="442" spans="26:33" x14ac:dyDescent="0.35">
      <c r="Z442" s="344">
        <v>2475</v>
      </c>
      <c r="AA442" s="344" t="s">
        <v>539</v>
      </c>
      <c r="AB442" s="344">
        <v>4</v>
      </c>
      <c r="AC442" s="344" t="s">
        <v>464</v>
      </c>
      <c r="AD442" s="1058" t="s">
        <v>569</v>
      </c>
      <c r="AE442" s="1059">
        <v>150969</v>
      </c>
      <c r="AF442" s="889" t="s">
        <v>459</v>
      </c>
      <c r="AG442" s="889" t="s">
        <v>459</v>
      </c>
    </row>
    <row r="443" spans="26:33" x14ac:dyDescent="0.35">
      <c r="Z443" s="344">
        <v>2476</v>
      </c>
      <c r="AA443" s="344" t="s">
        <v>539</v>
      </c>
      <c r="AB443" s="344">
        <v>4</v>
      </c>
      <c r="AC443" s="344" t="s">
        <v>464</v>
      </c>
      <c r="AD443" s="1058" t="s">
        <v>569</v>
      </c>
      <c r="AE443" s="1059">
        <v>201508</v>
      </c>
      <c r="AF443" s="889" t="s">
        <v>459</v>
      </c>
      <c r="AG443" s="889" t="s">
        <v>459</v>
      </c>
    </row>
    <row r="444" spans="26:33" x14ac:dyDescent="0.35">
      <c r="Z444" s="344">
        <v>2477</v>
      </c>
      <c r="AA444" s="344" t="s">
        <v>539</v>
      </c>
      <c r="AB444" s="344">
        <v>1</v>
      </c>
      <c r="AC444" s="344" t="s">
        <v>457</v>
      </c>
      <c r="AD444" s="1058" t="s">
        <v>540</v>
      </c>
      <c r="AE444" s="1059">
        <v>508953</v>
      </c>
      <c r="AF444" s="889" t="s">
        <v>459</v>
      </c>
      <c r="AG444" s="889" t="s">
        <v>459</v>
      </c>
    </row>
    <row r="445" spans="26:33" x14ac:dyDescent="0.35">
      <c r="Z445" s="344">
        <v>2478</v>
      </c>
      <c r="AA445" s="344" t="s">
        <v>539</v>
      </c>
      <c r="AB445" s="344">
        <v>1</v>
      </c>
      <c r="AC445" s="344" t="s">
        <v>457</v>
      </c>
      <c r="AD445" s="1058" t="s">
        <v>540</v>
      </c>
      <c r="AE445" s="1059">
        <v>595216</v>
      </c>
      <c r="AF445" s="889" t="s">
        <v>459</v>
      </c>
      <c r="AG445" s="889" t="s">
        <v>459</v>
      </c>
    </row>
    <row r="446" spans="26:33" x14ac:dyDescent="0.35">
      <c r="Z446" s="344">
        <v>2479</v>
      </c>
      <c r="AA446" s="344" t="s">
        <v>539</v>
      </c>
      <c r="AB446" s="344">
        <v>1</v>
      </c>
      <c r="AC446" s="344" t="s">
        <v>482</v>
      </c>
      <c r="AD446" s="1058" t="s">
        <v>540</v>
      </c>
      <c r="AE446" s="1059">
        <v>920635</v>
      </c>
      <c r="AF446" s="889" t="s">
        <v>459</v>
      </c>
      <c r="AG446" s="889" t="s">
        <v>459</v>
      </c>
    </row>
    <row r="447" spans="26:33" x14ac:dyDescent="0.35">
      <c r="Z447" s="344">
        <v>2480</v>
      </c>
      <c r="AA447" s="344" t="s">
        <v>539</v>
      </c>
      <c r="AB447" s="344">
        <v>1</v>
      </c>
      <c r="AC447" s="344" t="s">
        <v>471</v>
      </c>
      <c r="AD447" s="1058" t="s">
        <v>540</v>
      </c>
      <c r="AE447" s="1059">
        <v>385517</v>
      </c>
      <c r="AF447" s="889" t="s">
        <v>459</v>
      </c>
      <c r="AG447" s="889" t="s">
        <v>459</v>
      </c>
    </row>
    <row r="448" spans="26:33" x14ac:dyDescent="0.35">
      <c r="Z448" s="344">
        <v>2481</v>
      </c>
      <c r="AA448" s="344" t="s">
        <v>539</v>
      </c>
      <c r="AB448" s="344">
        <v>1</v>
      </c>
      <c r="AC448" s="344" t="s">
        <v>482</v>
      </c>
      <c r="AD448" s="1058" t="s">
        <v>540</v>
      </c>
      <c r="AE448" s="1059">
        <v>958376</v>
      </c>
      <c r="AF448" s="889" t="s">
        <v>459</v>
      </c>
      <c r="AG448" s="889" t="s">
        <v>459</v>
      </c>
    </row>
    <row r="449" spans="26:33" x14ac:dyDescent="0.35">
      <c r="Z449" s="344">
        <v>2482</v>
      </c>
      <c r="AA449" s="344" t="s">
        <v>539</v>
      </c>
      <c r="AB449" s="344">
        <v>1</v>
      </c>
      <c r="AC449" s="344" t="s">
        <v>457</v>
      </c>
      <c r="AD449" s="1058" t="s">
        <v>540</v>
      </c>
      <c r="AE449" s="1059">
        <v>674260</v>
      </c>
      <c r="AF449" s="889" t="s">
        <v>459</v>
      </c>
      <c r="AG449" s="889" t="s">
        <v>459</v>
      </c>
    </row>
    <row r="450" spans="26:33" x14ac:dyDescent="0.35">
      <c r="Z450" s="344">
        <v>2483</v>
      </c>
      <c r="AA450" s="344" t="s">
        <v>539</v>
      </c>
      <c r="AB450" s="344">
        <v>1</v>
      </c>
      <c r="AC450" s="344" t="s">
        <v>457</v>
      </c>
      <c r="AD450" s="1058" t="s">
        <v>540</v>
      </c>
      <c r="AE450" s="1059">
        <v>558665</v>
      </c>
      <c r="AF450" s="889" t="s">
        <v>459</v>
      </c>
      <c r="AG450" s="889" t="s">
        <v>459</v>
      </c>
    </row>
    <row r="451" spans="26:33" x14ac:dyDescent="0.35">
      <c r="Z451" s="344">
        <v>2484</v>
      </c>
      <c r="AA451" s="344" t="s">
        <v>539</v>
      </c>
      <c r="AB451" s="344">
        <v>1</v>
      </c>
      <c r="AC451" s="344" t="s">
        <v>471</v>
      </c>
      <c r="AD451" s="1058" t="s">
        <v>540</v>
      </c>
      <c r="AE451" s="1059">
        <v>426210</v>
      </c>
      <c r="AF451" s="889" t="s">
        <v>459</v>
      </c>
      <c r="AG451" s="889" t="s">
        <v>459</v>
      </c>
    </row>
    <row r="452" spans="26:33" x14ac:dyDescent="0.35">
      <c r="Z452" s="344">
        <v>2485</v>
      </c>
      <c r="AA452" s="344" t="s">
        <v>539</v>
      </c>
      <c r="AB452" s="344">
        <v>1</v>
      </c>
      <c r="AC452" s="344" t="s">
        <v>457</v>
      </c>
      <c r="AD452" s="1058" t="s">
        <v>540</v>
      </c>
      <c r="AE452" s="1059">
        <v>486001</v>
      </c>
      <c r="AF452" s="889" t="s">
        <v>459</v>
      </c>
      <c r="AG452" s="889" t="s">
        <v>459</v>
      </c>
    </row>
    <row r="453" spans="26:33" x14ac:dyDescent="0.35">
      <c r="Z453" s="344">
        <v>2486</v>
      </c>
      <c r="AA453" s="344" t="s">
        <v>539</v>
      </c>
      <c r="AB453" s="344">
        <v>1</v>
      </c>
      <c r="AC453" s="344" t="s">
        <v>457</v>
      </c>
      <c r="AD453" s="1058" t="s">
        <v>540</v>
      </c>
      <c r="AE453" s="1059">
        <v>454002</v>
      </c>
      <c r="AF453" s="889" t="s">
        <v>459</v>
      </c>
      <c r="AG453" s="889" t="s">
        <v>459</v>
      </c>
    </row>
    <row r="454" spans="26:33" x14ac:dyDescent="0.35">
      <c r="Z454" s="344">
        <v>2487</v>
      </c>
      <c r="AA454" s="344" t="s">
        <v>539</v>
      </c>
      <c r="AB454" s="344">
        <v>1</v>
      </c>
      <c r="AC454" s="344" t="s">
        <v>457</v>
      </c>
      <c r="AD454" s="1058" t="s">
        <v>540</v>
      </c>
      <c r="AE454" s="1059">
        <v>645627</v>
      </c>
      <c r="AF454" s="889" t="s">
        <v>459</v>
      </c>
      <c r="AG454" s="889" t="s">
        <v>459</v>
      </c>
    </row>
    <row r="455" spans="26:33" x14ac:dyDescent="0.35">
      <c r="Z455" s="344">
        <v>2488</v>
      </c>
      <c r="AA455" s="344" t="s">
        <v>539</v>
      </c>
      <c r="AB455" s="344">
        <v>1</v>
      </c>
      <c r="AC455" s="344" t="s">
        <v>457</v>
      </c>
      <c r="AD455" s="1058" t="s">
        <v>540</v>
      </c>
      <c r="AE455" s="1059">
        <v>465137</v>
      </c>
      <c r="AF455" s="889" t="s">
        <v>459</v>
      </c>
      <c r="AG455" s="889" t="s">
        <v>459</v>
      </c>
    </row>
    <row r="456" spans="26:33" x14ac:dyDescent="0.35">
      <c r="Z456" s="344">
        <v>2489</v>
      </c>
      <c r="AA456" s="344" t="s">
        <v>539</v>
      </c>
      <c r="AB456" s="344">
        <v>1</v>
      </c>
      <c r="AC456" s="344" t="s">
        <v>457</v>
      </c>
      <c r="AD456" s="1058" t="s">
        <v>540</v>
      </c>
      <c r="AE456" s="1059">
        <v>598749</v>
      </c>
      <c r="AF456" s="889" t="s">
        <v>459</v>
      </c>
      <c r="AG456" s="889" t="s">
        <v>459</v>
      </c>
    </row>
    <row r="457" spans="26:33" x14ac:dyDescent="0.35">
      <c r="Z457" s="344">
        <v>2490</v>
      </c>
      <c r="AA457" s="344" t="s">
        <v>539</v>
      </c>
      <c r="AB457" s="344">
        <v>1</v>
      </c>
      <c r="AC457" s="344" t="s">
        <v>471</v>
      </c>
      <c r="AD457" s="1058" t="s">
        <v>540</v>
      </c>
      <c r="AE457" s="1059">
        <v>446695</v>
      </c>
      <c r="AF457" s="889" t="s">
        <v>459</v>
      </c>
      <c r="AG457" s="889" t="s">
        <v>459</v>
      </c>
    </row>
    <row r="458" spans="26:33" x14ac:dyDescent="0.35">
      <c r="Z458" s="344">
        <v>2500</v>
      </c>
      <c r="AA458" s="344" t="s">
        <v>539</v>
      </c>
      <c r="AB458" s="344">
        <v>1</v>
      </c>
      <c r="AC458" s="344" t="s">
        <v>457</v>
      </c>
      <c r="AD458" s="1058" t="s">
        <v>540</v>
      </c>
      <c r="AE458" s="1059">
        <v>547501</v>
      </c>
      <c r="AF458" s="889" t="s">
        <v>459</v>
      </c>
      <c r="AG458" s="889" t="s">
        <v>459</v>
      </c>
    </row>
    <row r="459" spans="26:33" x14ac:dyDescent="0.35">
      <c r="Z459" s="344">
        <v>2501</v>
      </c>
      <c r="AA459" s="344" t="s">
        <v>539</v>
      </c>
      <c r="AB459" s="344">
        <v>1</v>
      </c>
      <c r="AC459" s="344" t="e">
        <v>#N/A</v>
      </c>
      <c r="AD459" s="1058" t="s">
        <v>540</v>
      </c>
      <c r="AE459" s="1059" t="e">
        <v>#N/A</v>
      </c>
      <c r="AF459" s="889" t="s">
        <v>459</v>
      </c>
      <c r="AG459" s="889" t="s">
        <v>459</v>
      </c>
    </row>
    <row r="460" spans="26:33" x14ac:dyDescent="0.35">
      <c r="Z460" s="344">
        <v>2502</v>
      </c>
      <c r="AA460" s="344" t="s">
        <v>539</v>
      </c>
      <c r="AB460" s="344">
        <v>1</v>
      </c>
      <c r="AC460" s="344" t="s">
        <v>471</v>
      </c>
      <c r="AD460" s="1058" t="s">
        <v>540</v>
      </c>
      <c r="AE460" s="1059">
        <v>382025</v>
      </c>
      <c r="AF460" s="889" t="s">
        <v>459</v>
      </c>
      <c r="AG460" s="889" t="s">
        <v>459</v>
      </c>
    </row>
    <row r="461" spans="26:33" x14ac:dyDescent="0.35">
      <c r="Z461" s="344">
        <v>2503</v>
      </c>
      <c r="AA461" s="344" t="s">
        <v>539</v>
      </c>
      <c r="AB461" s="344">
        <v>1</v>
      </c>
      <c r="AC461" s="344" t="e">
        <v>#N/A</v>
      </c>
      <c r="AD461" s="1058" t="s">
        <v>540</v>
      </c>
      <c r="AE461" s="1059" t="e">
        <v>#N/A</v>
      </c>
      <c r="AF461" s="889" t="s">
        <v>459</v>
      </c>
      <c r="AG461" s="889" t="s">
        <v>459</v>
      </c>
    </row>
    <row r="462" spans="26:33" x14ac:dyDescent="0.35">
      <c r="Z462" s="344">
        <v>2504</v>
      </c>
      <c r="AA462" s="344" t="s">
        <v>539</v>
      </c>
      <c r="AB462" s="344">
        <v>1</v>
      </c>
      <c r="AC462" s="344" t="e">
        <v>#N/A</v>
      </c>
      <c r="AD462" s="1058" t="s">
        <v>540</v>
      </c>
      <c r="AE462" s="1059" t="e">
        <v>#N/A</v>
      </c>
      <c r="AF462" s="889" t="s">
        <v>459</v>
      </c>
      <c r="AG462" s="889" t="s">
        <v>459</v>
      </c>
    </row>
    <row r="463" spans="26:33" x14ac:dyDescent="0.35">
      <c r="Z463" s="344">
        <v>2505</v>
      </c>
      <c r="AA463" s="344" t="s">
        <v>539</v>
      </c>
      <c r="AB463" s="344">
        <v>1</v>
      </c>
      <c r="AC463" s="344" t="s">
        <v>471</v>
      </c>
      <c r="AD463" s="1058" t="s">
        <v>540</v>
      </c>
      <c r="AE463" s="1059">
        <v>411546</v>
      </c>
      <c r="AF463" s="889" t="s">
        <v>459</v>
      </c>
      <c r="AG463" s="889" t="s">
        <v>459</v>
      </c>
    </row>
    <row r="464" spans="26:33" x14ac:dyDescent="0.35">
      <c r="Z464" s="344">
        <v>2506</v>
      </c>
      <c r="AA464" s="344" t="s">
        <v>539</v>
      </c>
      <c r="AB464" s="344">
        <v>1</v>
      </c>
      <c r="AC464" s="344" t="s">
        <v>471</v>
      </c>
      <c r="AD464" s="1058" t="s">
        <v>540</v>
      </c>
      <c r="AE464" s="1059">
        <v>335402</v>
      </c>
      <c r="AF464" s="889" t="s">
        <v>459</v>
      </c>
      <c r="AG464" s="889" t="s">
        <v>459</v>
      </c>
    </row>
    <row r="465" spans="26:33" x14ac:dyDescent="0.35">
      <c r="Z465" s="344">
        <v>2507</v>
      </c>
      <c r="AA465" s="344" t="s">
        <v>539</v>
      </c>
      <c r="AB465" s="344">
        <v>1</v>
      </c>
      <c r="AC465" s="344" t="e">
        <v>#N/A</v>
      </c>
      <c r="AD465" s="1058" t="s">
        <v>540</v>
      </c>
      <c r="AE465" s="1059" t="e">
        <v>#N/A</v>
      </c>
      <c r="AF465" s="889" t="s">
        <v>459</v>
      </c>
      <c r="AG465" s="889" t="s">
        <v>459</v>
      </c>
    </row>
    <row r="466" spans="26:33" x14ac:dyDescent="0.35">
      <c r="Z466" s="344">
        <v>2508</v>
      </c>
      <c r="AA466" s="344" t="s">
        <v>539</v>
      </c>
      <c r="AB466" s="344">
        <v>1</v>
      </c>
      <c r="AC466" s="344" t="s">
        <v>479</v>
      </c>
      <c r="AD466" s="1058" t="s">
        <v>540</v>
      </c>
      <c r="AE466" s="1059">
        <v>823501</v>
      </c>
      <c r="AF466" s="889" t="s">
        <v>459</v>
      </c>
      <c r="AG466" s="889" t="s">
        <v>459</v>
      </c>
    </row>
    <row r="467" spans="26:33" x14ac:dyDescent="0.35">
      <c r="Z467" s="344">
        <v>2509</v>
      </c>
      <c r="AA467" s="344" t="s">
        <v>539</v>
      </c>
      <c r="AB467" s="344">
        <v>1</v>
      </c>
      <c r="AC467" s="344" t="e">
        <v>#N/A</v>
      </c>
      <c r="AD467" s="1058" t="s">
        <v>540</v>
      </c>
      <c r="AE467" s="1059" t="e">
        <v>#N/A</v>
      </c>
      <c r="AF467" s="889" t="s">
        <v>459</v>
      </c>
      <c r="AG467" s="889" t="s">
        <v>459</v>
      </c>
    </row>
    <row r="468" spans="26:33" x14ac:dyDescent="0.35">
      <c r="Z468" s="344">
        <v>2510</v>
      </c>
      <c r="AA468" s="344" t="s">
        <v>539</v>
      </c>
      <c r="AB468" s="344">
        <v>1</v>
      </c>
      <c r="AC468" s="344" t="e">
        <v>#N/A</v>
      </c>
      <c r="AD468" s="1058" t="s">
        <v>540</v>
      </c>
      <c r="AE468" s="1059" t="e">
        <v>#N/A</v>
      </c>
      <c r="AF468" s="889" t="s">
        <v>459</v>
      </c>
      <c r="AG468" s="889" t="s">
        <v>459</v>
      </c>
    </row>
    <row r="469" spans="26:33" x14ac:dyDescent="0.35">
      <c r="Z469" s="344">
        <v>2511</v>
      </c>
      <c r="AA469" s="344" t="s">
        <v>539</v>
      </c>
      <c r="AB469" s="344">
        <v>1</v>
      </c>
      <c r="AC469" s="344" t="e">
        <v>#N/A</v>
      </c>
      <c r="AD469" s="1058" t="s">
        <v>540</v>
      </c>
      <c r="AE469" s="1059" t="e">
        <v>#N/A</v>
      </c>
      <c r="AF469" s="889" t="s">
        <v>459</v>
      </c>
      <c r="AG469" s="889" t="s">
        <v>459</v>
      </c>
    </row>
    <row r="470" spans="26:33" x14ac:dyDescent="0.35">
      <c r="Z470" s="344">
        <v>2512</v>
      </c>
      <c r="AA470" s="344" t="s">
        <v>539</v>
      </c>
      <c r="AB470" s="344">
        <v>1</v>
      </c>
      <c r="AC470" s="344" t="e">
        <v>#N/A</v>
      </c>
      <c r="AD470" s="1058" t="s">
        <v>540</v>
      </c>
      <c r="AE470" s="1059" t="e">
        <v>#N/A</v>
      </c>
      <c r="AF470" s="889" t="s">
        <v>459</v>
      </c>
      <c r="AG470" s="889" t="s">
        <v>459</v>
      </c>
    </row>
    <row r="471" spans="26:33" x14ac:dyDescent="0.35">
      <c r="Z471" s="344">
        <v>2513</v>
      </c>
      <c r="AA471" s="344" t="s">
        <v>539</v>
      </c>
      <c r="AB471" s="344">
        <v>1</v>
      </c>
      <c r="AC471" s="344" t="e">
        <v>#N/A</v>
      </c>
      <c r="AD471" s="1058" t="s">
        <v>540</v>
      </c>
      <c r="AE471" s="1059" t="e">
        <v>#N/A</v>
      </c>
      <c r="AF471" s="889" t="s">
        <v>459</v>
      </c>
      <c r="AG471" s="889" t="s">
        <v>459</v>
      </c>
    </row>
    <row r="472" spans="26:33" x14ac:dyDescent="0.35">
      <c r="Z472" s="344">
        <v>2514</v>
      </c>
      <c r="AA472" s="344" t="s">
        <v>539</v>
      </c>
      <c r="AB472" s="344">
        <v>1</v>
      </c>
      <c r="AC472" s="344" t="e">
        <v>#N/A</v>
      </c>
      <c r="AD472" s="1058" t="s">
        <v>540</v>
      </c>
      <c r="AE472" s="1059" t="e">
        <v>#N/A</v>
      </c>
      <c r="AF472" s="889" t="s">
        <v>459</v>
      </c>
      <c r="AG472" s="889" t="s">
        <v>459</v>
      </c>
    </row>
    <row r="473" spans="26:33" x14ac:dyDescent="0.35">
      <c r="Z473" s="344">
        <v>2515</v>
      </c>
      <c r="AA473" s="344" t="s">
        <v>539</v>
      </c>
      <c r="AB473" s="344">
        <v>1</v>
      </c>
      <c r="AC473" s="344" t="s">
        <v>479</v>
      </c>
      <c r="AD473" s="1058" t="s">
        <v>540</v>
      </c>
      <c r="AE473" s="1059">
        <v>880083</v>
      </c>
      <c r="AF473" s="889" t="s">
        <v>459</v>
      </c>
      <c r="AG473" s="889" t="s">
        <v>459</v>
      </c>
    </row>
    <row r="474" spans="26:33" x14ac:dyDescent="0.35">
      <c r="Z474" s="344">
        <v>2516</v>
      </c>
      <c r="AA474" s="344" t="s">
        <v>539</v>
      </c>
      <c r="AB474" s="344">
        <v>1</v>
      </c>
      <c r="AC474" s="344" t="s">
        <v>457</v>
      </c>
      <c r="AD474" s="1058" t="s">
        <v>540</v>
      </c>
      <c r="AE474" s="1059">
        <v>671866</v>
      </c>
      <c r="AF474" s="889" t="s">
        <v>459</v>
      </c>
      <c r="AG474" s="889" t="s">
        <v>459</v>
      </c>
    </row>
    <row r="475" spans="26:33" x14ac:dyDescent="0.35">
      <c r="Z475" s="344">
        <v>2517</v>
      </c>
      <c r="AA475" s="344" t="s">
        <v>539</v>
      </c>
      <c r="AB475" s="344">
        <v>1</v>
      </c>
      <c r="AC475" s="344" t="s">
        <v>457</v>
      </c>
      <c r="AD475" s="1058" t="s">
        <v>540</v>
      </c>
      <c r="AE475" s="1059">
        <v>576233</v>
      </c>
      <c r="AF475" s="889" t="s">
        <v>459</v>
      </c>
      <c r="AG475" s="889" t="s">
        <v>459</v>
      </c>
    </row>
    <row r="476" spans="26:33" x14ac:dyDescent="0.35">
      <c r="Z476" s="344">
        <v>2518</v>
      </c>
      <c r="AA476" s="344" t="s">
        <v>539</v>
      </c>
      <c r="AB476" s="344">
        <v>1</v>
      </c>
      <c r="AC476" s="344" t="s">
        <v>457</v>
      </c>
      <c r="AD476" s="1058" t="s">
        <v>540</v>
      </c>
      <c r="AE476" s="1059">
        <v>551809</v>
      </c>
      <c r="AF476" s="889" t="s">
        <v>459</v>
      </c>
      <c r="AG476" s="889" t="s">
        <v>459</v>
      </c>
    </row>
    <row r="477" spans="26:33" x14ac:dyDescent="0.35">
      <c r="Z477" s="344">
        <v>2519</v>
      </c>
      <c r="AA477" s="344" t="s">
        <v>539</v>
      </c>
      <c r="AB477" s="344">
        <v>1</v>
      </c>
      <c r="AC477" s="344" t="s">
        <v>457</v>
      </c>
      <c r="AD477" s="1058" t="s">
        <v>540</v>
      </c>
      <c r="AE477" s="1059">
        <v>571360</v>
      </c>
      <c r="AF477" s="889" t="s">
        <v>459</v>
      </c>
      <c r="AG477" s="889" t="s">
        <v>459</v>
      </c>
    </row>
    <row r="478" spans="26:33" x14ac:dyDescent="0.35">
      <c r="Z478" s="344">
        <v>2520</v>
      </c>
      <c r="AA478" s="344" t="s">
        <v>539</v>
      </c>
      <c r="AB478" s="344">
        <v>1</v>
      </c>
      <c r="AC478" s="344" t="e">
        <v>#N/A</v>
      </c>
      <c r="AD478" s="1058" t="s">
        <v>540</v>
      </c>
      <c r="AE478" s="1059" t="e">
        <v>#N/A</v>
      </c>
      <c r="AF478" s="889" t="s">
        <v>459</v>
      </c>
      <c r="AG478" s="889" t="s">
        <v>459</v>
      </c>
    </row>
    <row r="479" spans="26:33" x14ac:dyDescent="0.35">
      <c r="Z479" s="344">
        <v>2521</v>
      </c>
      <c r="AA479" s="344" t="s">
        <v>539</v>
      </c>
      <c r="AB479" s="344">
        <v>1</v>
      </c>
      <c r="AC479" s="344" t="e">
        <v>#N/A</v>
      </c>
      <c r="AD479" s="1058" t="s">
        <v>540</v>
      </c>
      <c r="AE479" s="1059" t="e">
        <v>#N/A</v>
      </c>
      <c r="AF479" s="889" t="s">
        <v>459</v>
      </c>
      <c r="AG479" s="889" t="s">
        <v>459</v>
      </c>
    </row>
    <row r="480" spans="26:33" x14ac:dyDescent="0.35">
      <c r="Z480" s="344">
        <v>2522</v>
      </c>
      <c r="AA480" s="344" t="s">
        <v>539</v>
      </c>
      <c r="AB480" s="344">
        <v>1</v>
      </c>
      <c r="AC480" s="344" t="e">
        <v>#N/A</v>
      </c>
      <c r="AD480" s="1058" t="s">
        <v>540</v>
      </c>
      <c r="AE480" s="1059" t="e">
        <v>#N/A</v>
      </c>
      <c r="AF480" s="889" t="s">
        <v>459</v>
      </c>
      <c r="AG480" s="889" t="s">
        <v>459</v>
      </c>
    </row>
    <row r="481" spans="26:33" x14ac:dyDescent="0.35">
      <c r="Z481" s="344">
        <v>2523</v>
      </c>
      <c r="AA481" s="344" t="s">
        <v>539</v>
      </c>
      <c r="AB481" s="344">
        <v>1</v>
      </c>
      <c r="AC481" s="344" t="e">
        <v>#N/A</v>
      </c>
      <c r="AD481" s="1058" t="s">
        <v>540</v>
      </c>
      <c r="AE481" s="1059" t="e">
        <v>#N/A</v>
      </c>
      <c r="AF481" s="889" t="s">
        <v>459</v>
      </c>
      <c r="AG481" s="889" t="s">
        <v>459</v>
      </c>
    </row>
    <row r="482" spans="26:33" x14ac:dyDescent="0.35">
      <c r="Z482" s="344">
        <v>2524</v>
      </c>
      <c r="AA482" s="344" t="s">
        <v>539</v>
      </c>
      <c r="AB482" s="344">
        <v>1</v>
      </c>
      <c r="AC482" s="344" t="e">
        <v>#N/A</v>
      </c>
      <c r="AD482" s="1058" t="s">
        <v>540</v>
      </c>
      <c r="AE482" s="1059" t="e">
        <v>#N/A</v>
      </c>
      <c r="AF482" s="889" t="s">
        <v>459</v>
      </c>
      <c r="AG482" s="889" t="s">
        <v>459</v>
      </c>
    </row>
    <row r="483" spans="26:33" x14ac:dyDescent="0.35">
      <c r="Z483" s="344">
        <v>2525</v>
      </c>
      <c r="AA483" s="344" t="s">
        <v>539</v>
      </c>
      <c r="AB483" s="344">
        <v>1</v>
      </c>
      <c r="AC483" s="344" t="s">
        <v>457</v>
      </c>
      <c r="AD483" s="1058" t="s">
        <v>540</v>
      </c>
      <c r="AE483" s="1059">
        <v>519235</v>
      </c>
      <c r="AF483" s="889" t="s">
        <v>459</v>
      </c>
      <c r="AG483" s="889" t="s">
        <v>459</v>
      </c>
    </row>
    <row r="484" spans="26:33" x14ac:dyDescent="0.35">
      <c r="Z484" s="344">
        <v>2526</v>
      </c>
      <c r="AA484" s="344" t="s">
        <v>539</v>
      </c>
      <c r="AB484" s="344">
        <v>1</v>
      </c>
      <c r="AC484" s="344" t="s">
        <v>457</v>
      </c>
      <c r="AD484" s="1058" t="s">
        <v>540</v>
      </c>
      <c r="AE484" s="1059">
        <v>490710</v>
      </c>
      <c r="AF484" s="889" t="s">
        <v>459</v>
      </c>
      <c r="AG484" s="889" t="s">
        <v>459</v>
      </c>
    </row>
    <row r="485" spans="26:33" x14ac:dyDescent="0.35">
      <c r="Z485" s="344">
        <v>2527</v>
      </c>
      <c r="AA485" s="344" t="s">
        <v>539</v>
      </c>
      <c r="AB485" s="344">
        <v>1</v>
      </c>
      <c r="AC485" s="344" t="s">
        <v>471</v>
      </c>
      <c r="AD485" s="1058" t="s">
        <v>540</v>
      </c>
      <c r="AE485" s="1059">
        <v>399514</v>
      </c>
      <c r="AF485" s="889" t="s">
        <v>459</v>
      </c>
      <c r="AG485" s="889" t="s">
        <v>459</v>
      </c>
    </row>
    <row r="486" spans="26:33" x14ac:dyDescent="0.35">
      <c r="Z486" s="344">
        <v>2528</v>
      </c>
      <c r="AA486" s="344" t="s">
        <v>539</v>
      </c>
      <c r="AB486" s="344">
        <v>1</v>
      </c>
      <c r="AC486" s="344" t="s">
        <v>457</v>
      </c>
      <c r="AD486" s="1058" t="s">
        <v>540</v>
      </c>
      <c r="AE486" s="1059">
        <v>484912</v>
      </c>
      <c r="AF486" s="889" t="s">
        <v>459</v>
      </c>
      <c r="AG486" s="889" t="s">
        <v>459</v>
      </c>
    </row>
    <row r="487" spans="26:33" x14ac:dyDescent="0.35">
      <c r="Z487" s="344">
        <v>2529</v>
      </c>
      <c r="AA487" s="344" t="s">
        <v>539</v>
      </c>
      <c r="AB487" s="344">
        <v>1</v>
      </c>
      <c r="AC487" s="344" t="s">
        <v>457</v>
      </c>
      <c r="AD487" s="1058" t="s">
        <v>540</v>
      </c>
      <c r="AE487" s="1059">
        <v>540160</v>
      </c>
      <c r="AF487" s="889" t="s">
        <v>459</v>
      </c>
      <c r="AG487" s="889" t="s">
        <v>459</v>
      </c>
    </row>
    <row r="488" spans="26:33" x14ac:dyDescent="0.35">
      <c r="Z488" s="344">
        <v>2530</v>
      </c>
      <c r="AA488" s="344" t="s">
        <v>539</v>
      </c>
      <c r="AB488" s="344">
        <v>1</v>
      </c>
      <c r="AC488" s="344" t="s">
        <v>471</v>
      </c>
      <c r="AD488" s="1058" t="s">
        <v>540</v>
      </c>
      <c r="AE488" s="1059">
        <v>410595</v>
      </c>
      <c r="AF488" s="889" t="s">
        <v>459</v>
      </c>
      <c r="AG488" s="889" t="s">
        <v>459</v>
      </c>
    </row>
    <row r="489" spans="26:33" x14ac:dyDescent="0.35">
      <c r="Z489" s="344">
        <v>2531</v>
      </c>
      <c r="AA489" s="344" t="s">
        <v>539</v>
      </c>
      <c r="AB489" s="344">
        <v>1</v>
      </c>
      <c r="AC489" s="344" t="e">
        <v>#N/A</v>
      </c>
      <c r="AD489" s="1058" t="s">
        <v>540</v>
      </c>
      <c r="AE489" s="1059" t="e">
        <v>#N/A</v>
      </c>
      <c r="AF489" s="889" t="s">
        <v>459</v>
      </c>
      <c r="AG489" s="889" t="s">
        <v>459</v>
      </c>
    </row>
    <row r="490" spans="26:33" x14ac:dyDescent="0.35">
      <c r="Z490" s="344">
        <v>2532</v>
      </c>
      <c r="AA490" s="344" t="s">
        <v>539</v>
      </c>
      <c r="AB490" s="344">
        <v>1</v>
      </c>
      <c r="AC490" s="344" t="e">
        <v>#N/A</v>
      </c>
      <c r="AD490" s="1058" t="s">
        <v>540</v>
      </c>
      <c r="AE490" s="1059" t="e">
        <v>#N/A</v>
      </c>
      <c r="AF490" s="889" t="s">
        <v>459</v>
      </c>
      <c r="AG490" s="889" t="s">
        <v>459</v>
      </c>
    </row>
    <row r="491" spans="26:33" x14ac:dyDescent="0.35">
      <c r="Z491" s="344">
        <v>2533</v>
      </c>
      <c r="AA491" s="344" t="s">
        <v>539</v>
      </c>
      <c r="AB491" s="344">
        <v>1</v>
      </c>
      <c r="AC491" s="344" t="s">
        <v>457</v>
      </c>
      <c r="AD491" s="1058" t="s">
        <v>540</v>
      </c>
      <c r="AE491" s="1059">
        <v>686185</v>
      </c>
      <c r="AF491" s="889" t="s">
        <v>459</v>
      </c>
      <c r="AG491" s="889" t="s">
        <v>459</v>
      </c>
    </row>
    <row r="492" spans="26:33" x14ac:dyDescent="0.35">
      <c r="Z492" s="344">
        <v>2534</v>
      </c>
      <c r="AA492" s="344" t="s">
        <v>539</v>
      </c>
      <c r="AB492" s="344">
        <v>1</v>
      </c>
      <c r="AC492" s="344" t="s">
        <v>479</v>
      </c>
      <c r="AD492" s="1058" t="s">
        <v>540</v>
      </c>
      <c r="AE492" s="1059">
        <v>873167</v>
      </c>
      <c r="AF492" s="889" t="s">
        <v>459</v>
      </c>
      <c r="AG492" s="889" t="s">
        <v>459</v>
      </c>
    </row>
    <row r="493" spans="26:33" x14ac:dyDescent="0.35">
      <c r="Z493" s="344">
        <v>2535</v>
      </c>
      <c r="AA493" s="344" t="s">
        <v>539</v>
      </c>
      <c r="AB493" s="344">
        <v>1</v>
      </c>
      <c r="AC493" s="344" t="s">
        <v>457</v>
      </c>
      <c r="AD493" s="1058" t="s">
        <v>540</v>
      </c>
      <c r="AE493" s="1059">
        <v>634537</v>
      </c>
      <c r="AF493" s="889" t="s">
        <v>459</v>
      </c>
      <c r="AG493" s="889" t="s">
        <v>459</v>
      </c>
    </row>
    <row r="494" spans="26:33" x14ac:dyDescent="0.35">
      <c r="Z494" s="344">
        <v>2536</v>
      </c>
      <c r="AA494" s="344" t="s">
        <v>539</v>
      </c>
      <c r="AB494" s="344">
        <v>1</v>
      </c>
      <c r="AC494" s="344" t="s">
        <v>457</v>
      </c>
      <c r="AD494" s="1058" t="s">
        <v>540</v>
      </c>
      <c r="AE494" s="1059">
        <v>463413</v>
      </c>
      <c r="AF494" s="889" t="s">
        <v>459</v>
      </c>
      <c r="AG494" s="889" t="s">
        <v>459</v>
      </c>
    </row>
    <row r="495" spans="26:33" x14ac:dyDescent="0.35">
      <c r="Z495" s="344">
        <v>2537</v>
      </c>
      <c r="AA495" s="344" t="s">
        <v>539</v>
      </c>
      <c r="AB495" s="344">
        <v>1</v>
      </c>
      <c r="AC495" s="344" t="s">
        <v>471</v>
      </c>
      <c r="AD495" s="1058" t="s">
        <v>540</v>
      </c>
      <c r="AE495" s="1059">
        <v>386183</v>
      </c>
      <c r="AF495" s="889" t="s">
        <v>459</v>
      </c>
      <c r="AG495" s="889" t="s">
        <v>459</v>
      </c>
    </row>
    <row r="496" spans="26:33" x14ac:dyDescent="0.35">
      <c r="Z496" s="344">
        <v>2538</v>
      </c>
      <c r="AA496" s="344" t="s">
        <v>539</v>
      </c>
      <c r="AB496" s="344">
        <v>4</v>
      </c>
      <c r="AC496" s="344" t="s">
        <v>471</v>
      </c>
      <c r="AD496" s="1058" t="s">
        <v>569</v>
      </c>
      <c r="AE496" s="1059">
        <v>438754</v>
      </c>
      <c r="AF496" s="889" t="s">
        <v>459</v>
      </c>
      <c r="AG496" s="889" t="s">
        <v>459</v>
      </c>
    </row>
    <row r="497" spans="26:33" x14ac:dyDescent="0.35">
      <c r="Z497" s="344">
        <v>2539</v>
      </c>
      <c r="AA497" s="344" t="s">
        <v>539</v>
      </c>
      <c r="AB497" s="344">
        <v>1</v>
      </c>
      <c r="AC497" s="344" t="s">
        <v>471</v>
      </c>
      <c r="AD497" s="1058" t="s">
        <v>540</v>
      </c>
      <c r="AE497" s="1059">
        <v>411117</v>
      </c>
      <c r="AF497" s="889" t="s">
        <v>459</v>
      </c>
      <c r="AG497" s="889" t="s">
        <v>459</v>
      </c>
    </row>
    <row r="498" spans="26:33" x14ac:dyDescent="0.35">
      <c r="Z498" s="344">
        <v>2540</v>
      </c>
      <c r="AA498" s="344" t="s">
        <v>539</v>
      </c>
      <c r="AB498" s="344">
        <v>1</v>
      </c>
      <c r="AC498" s="344" t="s">
        <v>457</v>
      </c>
      <c r="AD498" s="1058" t="s">
        <v>540</v>
      </c>
      <c r="AE498" s="1059">
        <v>452294</v>
      </c>
      <c r="AF498" s="889" t="s">
        <v>459</v>
      </c>
      <c r="AG498" s="889" t="s">
        <v>459</v>
      </c>
    </row>
    <row r="499" spans="26:33" x14ac:dyDescent="0.35">
      <c r="Z499" s="344">
        <v>2541</v>
      </c>
      <c r="AA499" s="344" t="s">
        <v>539</v>
      </c>
      <c r="AB499" s="344">
        <v>2</v>
      </c>
      <c r="AC499" s="344" t="s">
        <v>471</v>
      </c>
      <c r="AD499" s="1058" t="s">
        <v>570</v>
      </c>
      <c r="AE499" s="1059">
        <v>367192</v>
      </c>
      <c r="AF499" s="889" t="s">
        <v>459</v>
      </c>
      <c r="AG499" s="889" t="s">
        <v>459</v>
      </c>
    </row>
    <row r="500" spans="26:33" x14ac:dyDescent="0.35">
      <c r="Z500" s="344">
        <v>2545</v>
      </c>
      <c r="AA500" s="344" t="s">
        <v>539</v>
      </c>
      <c r="AB500" s="344">
        <v>4</v>
      </c>
      <c r="AC500" s="344" t="s">
        <v>471</v>
      </c>
      <c r="AD500" s="1058" t="s">
        <v>569</v>
      </c>
      <c r="AE500" s="1059">
        <v>334721</v>
      </c>
      <c r="AF500" s="889" t="s">
        <v>459</v>
      </c>
      <c r="AG500" s="889" t="s">
        <v>459</v>
      </c>
    </row>
    <row r="501" spans="26:33" x14ac:dyDescent="0.35">
      <c r="Z501" s="344">
        <v>2546</v>
      </c>
      <c r="AA501" s="344" t="s">
        <v>539</v>
      </c>
      <c r="AB501" s="344">
        <v>1</v>
      </c>
      <c r="AC501" s="344" t="s">
        <v>471</v>
      </c>
      <c r="AD501" s="1058" t="s">
        <v>540</v>
      </c>
      <c r="AE501" s="1059">
        <v>397506</v>
      </c>
      <c r="AF501" s="889" t="s">
        <v>459</v>
      </c>
      <c r="AG501" s="889" t="s">
        <v>459</v>
      </c>
    </row>
    <row r="502" spans="26:33" x14ac:dyDescent="0.35">
      <c r="Z502" s="344">
        <v>2548</v>
      </c>
      <c r="AA502" s="344" t="s">
        <v>539</v>
      </c>
      <c r="AB502" s="344">
        <v>1</v>
      </c>
      <c r="AC502" s="344" t="s">
        <v>471</v>
      </c>
      <c r="AD502" s="1058" t="s">
        <v>540</v>
      </c>
      <c r="AE502" s="1059">
        <v>428429</v>
      </c>
      <c r="AF502" s="889" t="s">
        <v>459</v>
      </c>
      <c r="AG502" s="889" t="s">
        <v>459</v>
      </c>
    </row>
    <row r="503" spans="26:33" x14ac:dyDescent="0.35">
      <c r="Z503" s="344">
        <v>2549</v>
      </c>
      <c r="AA503" s="344" t="s">
        <v>539</v>
      </c>
      <c r="AB503" s="344">
        <v>3</v>
      </c>
      <c r="AC503" s="344" t="s">
        <v>471</v>
      </c>
      <c r="AD503" s="1058" t="s">
        <v>571</v>
      </c>
      <c r="AE503" s="1059">
        <v>409413</v>
      </c>
      <c r="AF503" s="889" t="s">
        <v>459</v>
      </c>
      <c r="AG503" s="889" t="s">
        <v>459</v>
      </c>
    </row>
    <row r="504" spans="26:33" x14ac:dyDescent="0.35">
      <c r="Z504" s="344">
        <v>2550</v>
      </c>
      <c r="AA504" s="344" t="s">
        <v>539</v>
      </c>
      <c r="AB504" s="344">
        <v>1</v>
      </c>
      <c r="AC504" s="344" t="s">
        <v>471</v>
      </c>
      <c r="AD504" s="1058" t="s">
        <v>540</v>
      </c>
      <c r="AE504" s="1059">
        <v>320450</v>
      </c>
      <c r="AF504" s="889" t="s">
        <v>459</v>
      </c>
      <c r="AG504" s="889" t="s">
        <v>459</v>
      </c>
    </row>
    <row r="505" spans="26:33" x14ac:dyDescent="0.35">
      <c r="Z505" s="344">
        <v>2551</v>
      </c>
      <c r="AA505" s="344" t="s">
        <v>539</v>
      </c>
      <c r="AB505" s="344">
        <v>4</v>
      </c>
      <c r="AC505" s="344" t="s">
        <v>471</v>
      </c>
      <c r="AD505" s="1058" t="s">
        <v>569</v>
      </c>
      <c r="AE505" s="1059">
        <v>328227</v>
      </c>
      <c r="AF505" s="889" t="s">
        <v>459</v>
      </c>
      <c r="AG505" s="889" t="s">
        <v>459</v>
      </c>
    </row>
    <row r="506" spans="26:33" x14ac:dyDescent="0.35">
      <c r="Z506" s="344">
        <v>2555</v>
      </c>
      <c r="AA506" s="344" t="s">
        <v>539</v>
      </c>
      <c r="AB506" s="344">
        <v>1</v>
      </c>
      <c r="AC506" s="344" t="e">
        <v>#N/A</v>
      </c>
      <c r="AD506" s="1058" t="s">
        <v>540</v>
      </c>
      <c r="AE506" s="1059" t="e">
        <v>#N/A</v>
      </c>
      <c r="AF506" s="889" t="s">
        <v>459</v>
      </c>
      <c r="AG506" s="889" t="s">
        <v>459</v>
      </c>
    </row>
    <row r="507" spans="26:33" x14ac:dyDescent="0.35">
      <c r="Z507" s="344">
        <v>2556</v>
      </c>
      <c r="AA507" s="344" t="s">
        <v>539</v>
      </c>
      <c r="AB507" s="344">
        <v>1</v>
      </c>
      <c r="AC507" s="344" t="s">
        <v>482</v>
      </c>
      <c r="AD507" s="1058" t="s">
        <v>540</v>
      </c>
      <c r="AE507" s="1059">
        <v>1144722</v>
      </c>
      <c r="AF507" s="889" t="s">
        <v>459</v>
      </c>
      <c r="AG507" s="889" t="s">
        <v>459</v>
      </c>
    </row>
    <row r="508" spans="26:33" x14ac:dyDescent="0.35">
      <c r="Z508" s="344">
        <v>2557</v>
      </c>
      <c r="AA508" s="344" t="s">
        <v>539</v>
      </c>
      <c r="AB508" s="344">
        <v>1</v>
      </c>
      <c r="AC508" s="344" t="s">
        <v>482</v>
      </c>
      <c r="AD508" s="1058" t="s">
        <v>540</v>
      </c>
      <c r="AE508" s="1059">
        <v>967428</v>
      </c>
      <c r="AF508" s="889" t="s">
        <v>459</v>
      </c>
      <c r="AG508" s="889" t="s">
        <v>459</v>
      </c>
    </row>
    <row r="509" spans="26:33" x14ac:dyDescent="0.35">
      <c r="Z509" s="344">
        <v>2558</v>
      </c>
      <c r="AA509" s="344" t="s">
        <v>539</v>
      </c>
      <c r="AB509" s="344">
        <v>1</v>
      </c>
      <c r="AC509" s="344" t="s">
        <v>471</v>
      </c>
      <c r="AD509" s="1058" t="s">
        <v>540</v>
      </c>
      <c r="AE509" s="1059">
        <v>418785</v>
      </c>
      <c r="AF509" s="889" t="s">
        <v>459</v>
      </c>
      <c r="AG509" s="889" t="s">
        <v>459</v>
      </c>
    </row>
    <row r="510" spans="26:33" x14ac:dyDescent="0.35">
      <c r="Z510" s="344">
        <v>2559</v>
      </c>
      <c r="AA510" s="344" t="s">
        <v>539</v>
      </c>
      <c r="AB510" s="344">
        <v>1</v>
      </c>
      <c r="AC510" s="344" t="s">
        <v>457</v>
      </c>
      <c r="AD510" s="1058" t="s">
        <v>540</v>
      </c>
      <c r="AE510" s="1059">
        <v>450830</v>
      </c>
      <c r="AF510" s="889" t="s">
        <v>459</v>
      </c>
      <c r="AG510" s="889" t="s">
        <v>459</v>
      </c>
    </row>
    <row r="511" spans="26:33" x14ac:dyDescent="0.35">
      <c r="Z511" s="344">
        <v>2560</v>
      </c>
      <c r="AA511" s="344" t="s">
        <v>539</v>
      </c>
      <c r="AB511" s="344">
        <v>1</v>
      </c>
      <c r="AC511" s="344" t="s">
        <v>457</v>
      </c>
      <c r="AD511" s="1058" t="s">
        <v>540</v>
      </c>
      <c r="AE511" s="1059">
        <v>505963</v>
      </c>
      <c r="AF511" s="889" t="s">
        <v>459</v>
      </c>
      <c r="AG511" s="889" t="s">
        <v>459</v>
      </c>
    </row>
    <row r="512" spans="26:33" x14ac:dyDescent="0.35">
      <c r="Z512" s="344">
        <v>2561</v>
      </c>
      <c r="AA512" s="344" t="s">
        <v>539</v>
      </c>
      <c r="AB512" s="344">
        <v>1</v>
      </c>
      <c r="AC512" s="344" t="e">
        <v>#N/A</v>
      </c>
      <c r="AD512" s="1058" t="s">
        <v>540</v>
      </c>
      <c r="AE512" s="1059" t="e">
        <v>#N/A</v>
      </c>
      <c r="AF512" s="889" t="s">
        <v>459</v>
      </c>
      <c r="AG512" s="889" t="s">
        <v>459</v>
      </c>
    </row>
    <row r="513" spans="26:33" x14ac:dyDescent="0.35">
      <c r="Z513" s="344">
        <v>2562</v>
      </c>
      <c r="AA513" s="344" t="s">
        <v>539</v>
      </c>
      <c r="AB513" s="344">
        <v>1</v>
      </c>
      <c r="AC513" s="344" t="e">
        <v>#N/A</v>
      </c>
      <c r="AD513" s="1058" t="s">
        <v>540</v>
      </c>
      <c r="AE513" s="1059" t="e">
        <v>#N/A</v>
      </c>
      <c r="AF513" s="889" t="s">
        <v>459</v>
      </c>
      <c r="AG513" s="889" t="s">
        <v>459</v>
      </c>
    </row>
    <row r="514" spans="26:33" x14ac:dyDescent="0.35">
      <c r="Z514" s="344">
        <v>2563</v>
      </c>
      <c r="AA514" s="344" t="s">
        <v>539</v>
      </c>
      <c r="AB514" s="344">
        <v>1</v>
      </c>
      <c r="AC514" s="344" t="s">
        <v>482</v>
      </c>
      <c r="AD514" s="1058" t="s">
        <v>540</v>
      </c>
      <c r="AE514" s="1059">
        <v>973198</v>
      </c>
      <c r="AF514" s="889" t="s">
        <v>459</v>
      </c>
      <c r="AG514" s="889" t="s">
        <v>459</v>
      </c>
    </row>
    <row r="515" spans="26:33" x14ac:dyDescent="0.35">
      <c r="Z515" s="344">
        <v>2564</v>
      </c>
      <c r="AA515" s="344" t="s">
        <v>539</v>
      </c>
      <c r="AB515" s="344">
        <v>1</v>
      </c>
      <c r="AC515" s="344" t="s">
        <v>457</v>
      </c>
      <c r="AD515" s="1058" t="s">
        <v>540</v>
      </c>
      <c r="AE515" s="1059">
        <v>454255</v>
      </c>
      <c r="AF515" s="889" t="s">
        <v>459</v>
      </c>
      <c r="AG515" s="889" t="s">
        <v>459</v>
      </c>
    </row>
    <row r="516" spans="26:33" x14ac:dyDescent="0.35">
      <c r="Z516" s="344">
        <v>2565</v>
      </c>
      <c r="AA516" s="344" t="s">
        <v>539</v>
      </c>
      <c r="AB516" s="344">
        <v>1</v>
      </c>
      <c r="AC516" s="344" t="s">
        <v>479</v>
      </c>
      <c r="AD516" s="1058" t="s">
        <v>540</v>
      </c>
      <c r="AE516" s="1059">
        <v>882370</v>
      </c>
      <c r="AF516" s="889" t="s">
        <v>459</v>
      </c>
      <c r="AG516" s="889" t="s">
        <v>459</v>
      </c>
    </row>
    <row r="517" spans="26:33" x14ac:dyDescent="0.35">
      <c r="Z517" s="344">
        <v>2566</v>
      </c>
      <c r="AA517" s="344" t="s">
        <v>539</v>
      </c>
      <c r="AB517" s="344">
        <v>1</v>
      </c>
      <c r="AC517" s="344" t="s">
        <v>471</v>
      </c>
      <c r="AD517" s="1058" t="s">
        <v>540</v>
      </c>
      <c r="AE517" s="1059">
        <v>440229</v>
      </c>
      <c r="AF517" s="889" t="s">
        <v>459</v>
      </c>
      <c r="AG517" s="889" t="s">
        <v>459</v>
      </c>
    </row>
    <row r="518" spans="26:33" x14ac:dyDescent="0.35">
      <c r="Z518" s="344">
        <v>2567</v>
      </c>
      <c r="AA518" s="344" t="s">
        <v>539</v>
      </c>
      <c r="AB518" s="344">
        <v>1</v>
      </c>
      <c r="AC518" s="344" t="s">
        <v>457</v>
      </c>
      <c r="AD518" s="1058" t="s">
        <v>540</v>
      </c>
      <c r="AE518" s="1059">
        <v>545885</v>
      </c>
      <c r="AF518" s="889" t="s">
        <v>459</v>
      </c>
      <c r="AG518" s="889" t="s">
        <v>459</v>
      </c>
    </row>
    <row r="519" spans="26:33" x14ac:dyDescent="0.35">
      <c r="Z519" s="344">
        <v>2568</v>
      </c>
      <c r="AA519" s="344" t="s">
        <v>539</v>
      </c>
      <c r="AB519" s="344">
        <v>1</v>
      </c>
      <c r="AC519" s="344" t="s">
        <v>457</v>
      </c>
      <c r="AD519" s="1058" t="s">
        <v>540</v>
      </c>
      <c r="AE519" s="1059">
        <v>665308</v>
      </c>
      <c r="AF519" s="889" t="s">
        <v>459</v>
      </c>
      <c r="AG519" s="889" t="s">
        <v>459</v>
      </c>
    </row>
    <row r="520" spans="26:33" x14ac:dyDescent="0.35">
      <c r="Z520" s="344">
        <v>2569</v>
      </c>
      <c r="AA520" s="344" t="s">
        <v>539</v>
      </c>
      <c r="AB520" s="344">
        <v>1</v>
      </c>
      <c r="AC520" s="344" t="s">
        <v>457</v>
      </c>
      <c r="AD520" s="1058" t="s">
        <v>540</v>
      </c>
      <c r="AE520" s="1059">
        <v>562917</v>
      </c>
      <c r="AF520" s="889" t="s">
        <v>459</v>
      </c>
      <c r="AG520" s="889" t="s">
        <v>459</v>
      </c>
    </row>
    <row r="521" spans="26:33" x14ac:dyDescent="0.35">
      <c r="Z521" s="344">
        <v>2570</v>
      </c>
      <c r="AA521" s="344" t="s">
        <v>539</v>
      </c>
      <c r="AB521" s="344">
        <v>1</v>
      </c>
      <c r="AC521" s="344" t="s">
        <v>457</v>
      </c>
      <c r="AD521" s="1058" t="s">
        <v>540</v>
      </c>
      <c r="AE521" s="1059">
        <v>714756</v>
      </c>
      <c r="AF521" s="889" t="s">
        <v>459</v>
      </c>
      <c r="AG521" s="889" t="s">
        <v>459</v>
      </c>
    </row>
    <row r="522" spans="26:33" x14ac:dyDescent="0.35">
      <c r="Z522" s="344">
        <v>2571</v>
      </c>
      <c r="AA522" s="344" t="s">
        <v>539</v>
      </c>
      <c r="AB522" s="344">
        <v>1</v>
      </c>
      <c r="AC522" s="344" t="s">
        <v>457</v>
      </c>
      <c r="AD522" s="1058" t="s">
        <v>540</v>
      </c>
      <c r="AE522" s="1059">
        <v>613560</v>
      </c>
      <c r="AF522" s="889" t="s">
        <v>459</v>
      </c>
      <c r="AG522" s="889" t="s">
        <v>459</v>
      </c>
    </row>
    <row r="523" spans="26:33" x14ac:dyDescent="0.35">
      <c r="Z523" s="344">
        <v>2572</v>
      </c>
      <c r="AA523" s="344" t="s">
        <v>539</v>
      </c>
      <c r="AB523" s="344">
        <v>1</v>
      </c>
      <c r="AC523" s="344" t="s">
        <v>457</v>
      </c>
      <c r="AD523" s="1058" t="s">
        <v>540</v>
      </c>
      <c r="AE523" s="1059">
        <v>631132</v>
      </c>
      <c r="AF523" s="889" t="s">
        <v>459</v>
      </c>
      <c r="AG523" s="889" t="s">
        <v>459</v>
      </c>
    </row>
    <row r="524" spans="26:33" x14ac:dyDescent="0.35">
      <c r="Z524" s="344">
        <v>2573</v>
      </c>
      <c r="AA524" s="344" t="s">
        <v>539</v>
      </c>
      <c r="AB524" s="344">
        <v>1</v>
      </c>
      <c r="AC524" s="344" t="s">
        <v>471</v>
      </c>
      <c r="AD524" s="1058" t="s">
        <v>540</v>
      </c>
      <c r="AE524" s="1059">
        <v>405397</v>
      </c>
      <c r="AF524" s="889" t="s">
        <v>459</v>
      </c>
      <c r="AG524" s="889" t="s">
        <v>459</v>
      </c>
    </row>
    <row r="525" spans="26:33" x14ac:dyDescent="0.35">
      <c r="Z525" s="344">
        <v>2574</v>
      </c>
      <c r="AA525" s="344" t="s">
        <v>539</v>
      </c>
      <c r="AB525" s="344">
        <v>1</v>
      </c>
      <c r="AC525" s="344" t="s">
        <v>457</v>
      </c>
      <c r="AD525" s="1058" t="s">
        <v>540</v>
      </c>
      <c r="AE525" s="1059">
        <v>537169</v>
      </c>
      <c r="AF525" s="889" t="s">
        <v>459</v>
      </c>
      <c r="AG525" s="889" t="s">
        <v>459</v>
      </c>
    </row>
    <row r="526" spans="26:33" x14ac:dyDescent="0.35">
      <c r="Z526" s="344">
        <v>2575</v>
      </c>
      <c r="AA526" s="344" t="s">
        <v>539</v>
      </c>
      <c r="AB526" s="344">
        <v>1</v>
      </c>
      <c r="AC526" s="344" t="s">
        <v>471</v>
      </c>
      <c r="AD526" s="1058" t="s">
        <v>540</v>
      </c>
      <c r="AE526" s="1059">
        <v>414745</v>
      </c>
      <c r="AF526" s="889" t="s">
        <v>459</v>
      </c>
      <c r="AG526" s="889" t="s">
        <v>459</v>
      </c>
    </row>
    <row r="527" spans="26:33" x14ac:dyDescent="0.35">
      <c r="Z527" s="344">
        <v>2576</v>
      </c>
      <c r="AA527" s="344" t="s">
        <v>539</v>
      </c>
      <c r="AB527" s="344">
        <v>1</v>
      </c>
      <c r="AC527" s="344" t="s">
        <v>479</v>
      </c>
      <c r="AD527" s="1058" t="s">
        <v>540</v>
      </c>
      <c r="AE527" s="1059">
        <v>750788</v>
      </c>
      <c r="AF527" s="889" t="s">
        <v>459</v>
      </c>
      <c r="AG527" s="889" t="s">
        <v>459</v>
      </c>
    </row>
    <row r="528" spans="26:33" x14ac:dyDescent="0.35">
      <c r="Z528" s="344">
        <v>2577</v>
      </c>
      <c r="AA528" s="344" t="s">
        <v>539</v>
      </c>
      <c r="AB528" s="344">
        <v>1</v>
      </c>
      <c r="AC528" s="344" t="s">
        <v>457</v>
      </c>
      <c r="AD528" s="1058" t="s">
        <v>540</v>
      </c>
      <c r="AE528" s="1059">
        <v>552566</v>
      </c>
      <c r="AF528" s="889" t="s">
        <v>459</v>
      </c>
      <c r="AG528" s="889" t="s">
        <v>459</v>
      </c>
    </row>
    <row r="529" spans="26:33" x14ac:dyDescent="0.35">
      <c r="Z529" s="344">
        <v>2578</v>
      </c>
      <c r="AA529" s="344" t="s">
        <v>539</v>
      </c>
      <c r="AB529" s="344">
        <v>1</v>
      </c>
      <c r="AC529" s="344" t="s">
        <v>457</v>
      </c>
      <c r="AD529" s="1058" t="s">
        <v>540</v>
      </c>
      <c r="AE529" s="1059">
        <v>467538</v>
      </c>
      <c r="AF529" s="889" t="s">
        <v>459</v>
      </c>
      <c r="AG529" s="889" t="s">
        <v>459</v>
      </c>
    </row>
    <row r="530" spans="26:33" x14ac:dyDescent="0.35">
      <c r="Z530" s="344">
        <v>2579</v>
      </c>
      <c r="AA530" s="344" t="s">
        <v>539</v>
      </c>
      <c r="AB530" s="344">
        <v>1</v>
      </c>
      <c r="AC530" s="344" t="s">
        <v>471</v>
      </c>
      <c r="AD530" s="1058" t="s">
        <v>540</v>
      </c>
      <c r="AE530" s="1059">
        <v>431727</v>
      </c>
      <c r="AF530" s="889" t="s">
        <v>459</v>
      </c>
      <c r="AG530" s="889" t="s">
        <v>459</v>
      </c>
    </row>
    <row r="531" spans="26:33" x14ac:dyDescent="0.35">
      <c r="Z531" s="344">
        <v>2580</v>
      </c>
      <c r="AA531" s="344" t="s">
        <v>539</v>
      </c>
      <c r="AB531" s="344">
        <v>2</v>
      </c>
      <c r="AC531" s="344" t="s">
        <v>471</v>
      </c>
      <c r="AD531" s="1058" t="s">
        <v>570</v>
      </c>
      <c r="AE531" s="1059">
        <v>301149</v>
      </c>
      <c r="AF531" s="889" t="s">
        <v>459</v>
      </c>
      <c r="AG531" s="889" t="s">
        <v>459</v>
      </c>
    </row>
    <row r="532" spans="26:33" x14ac:dyDescent="0.35">
      <c r="Z532" s="344">
        <v>2581</v>
      </c>
      <c r="AA532" s="344" t="s">
        <v>539</v>
      </c>
      <c r="AB532" s="344">
        <v>4</v>
      </c>
      <c r="AC532" s="344" t="s">
        <v>471</v>
      </c>
      <c r="AD532" s="1058" t="s">
        <v>569</v>
      </c>
      <c r="AE532" s="1059">
        <v>349300</v>
      </c>
      <c r="AF532" s="889" t="s">
        <v>459</v>
      </c>
      <c r="AG532" s="889" t="s">
        <v>459</v>
      </c>
    </row>
    <row r="533" spans="26:33" x14ac:dyDescent="0.35">
      <c r="Z533" s="344">
        <v>2582</v>
      </c>
      <c r="AA533" s="344" t="s">
        <v>539</v>
      </c>
      <c r="AB533" s="344">
        <v>1</v>
      </c>
      <c r="AC533" s="344" t="s">
        <v>457</v>
      </c>
      <c r="AD533" s="1058" t="s">
        <v>540</v>
      </c>
      <c r="AE533" s="1059">
        <v>488944</v>
      </c>
      <c r="AF533" s="889" t="s">
        <v>459</v>
      </c>
      <c r="AG533" s="889" t="s">
        <v>459</v>
      </c>
    </row>
    <row r="534" spans="26:33" x14ac:dyDescent="0.35">
      <c r="Z534" s="344">
        <v>2583</v>
      </c>
      <c r="AA534" s="344" t="s">
        <v>539</v>
      </c>
      <c r="AB534" s="344">
        <v>4</v>
      </c>
      <c r="AC534" s="344" t="s">
        <v>464</v>
      </c>
      <c r="AD534" s="1058" t="s">
        <v>569</v>
      </c>
      <c r="AE534" s="1059">
        <v>236337</v>
      </c>
      <c r="AF534" s="889" t="s">
        <v>459</v>
      </c>
      <c r="AG534" s="889" t="s">
        <v>459</v>
      </c>
    </row>
    <row r="535" spans="26:33" x14ac:dyDescent="0.35">
      <c r="Z535" s="344">
        <v>2584</v>
      </c>
      <c r="AA535" s="344" t="s">
        <v>539</v>
      </c>
      <c r="AB535" s="344">
        <v>4</v>
      </c>
      <c r="AC535" s="344" t="s">
        <v>464</v>
      </c>
      <c r="AD535" s="1058" t="s">
        <v>569</v>
      </c>
      <c r="AE535" s="1059">
        <v>274772</v>
      </c>
      <c r="AF535" s="889" t="s">
        <v>459</v>
      </c>
      <c r="AG535" s="889" t="s">
        <v>459</v>
      </c>
    </row>
    <row r="536" spans="26:33" x14ac:dyDescent="0.35">
      <c r="Z536" s="344">
        <v>2585</v>
      </c>
      <c r="AA536" s="344" t="s">
        <v>539</v>
      </c>
      <c r="AB536" s="344">
        <v>4</v>
      </c>
      <c r="AC536" s="344" t="s">
        <v>464</v>
      </c>
      <c r="AD536" s="1058" t="s">
        <v>569</v>
      </c>
      <c r="AE536" s="1059">
        <v>156425</v>
      </c>
      <c r="AF536" s="889" t="s">
        <v>459</v>
      </c>
      <c r="AG536" s="889" t="s">
        <v>459</v>
      </c>
    </row>
    <row r="537" spans="26:33" x14ac:dyDescent="0.35">
      <c r="Z537" s="344">
        <v>2586</v>
      </c>
      <c r="AA537" s="344" t="s">
        <v>539</v>
      </c>
      <c r="AB537" s="344">
        <v>4</v>
      </c>
      <c r="AC537" s="344" t="s">
        <v>464</v>
      </c>
      <c r="AD537" s="1058" t="s">
        <v>569</v>
      </c>
      <c r="AE537" s="1059">
        <v>235010</v>
      </c>
      <c r="AF537" s="889" t="s">
        <v>459</v>
      </c>
      <c r="AG537" s="889" t="s">
        <v>459</v>
      </c>
    </row>
    <row r="538" spans="26:33" x14ac:dyDescent="0.35">
      <c r="Z538" s="344">
        <v>2587</v>
      </c>
      <c r="AA538" s="344" t="s">
        <v>539</v>
      </c>
      <c r="AB538" s="344">
        <v>4</v>
      </c>
      <c r="AC538" s="344" t="s">
        <v>464</v>
      </c>
      <c r="AD538" s="1058" t="s">
        <v>569</v>
      </c>
      <c r="AE538" s="1059">
        <v>177851</v>
      </c>
      <c r="AF538" s="889" t="s">
        <v>459</v>
      </c>
      <c r="AG538" s="889" t="s">
        <v>459</v>
      </c>
    </row>
    <row r="539" spans="26:33" x14ac:dyDescent="0.35">
      <c r="Z539" s="344">
        <v>2588</v>
      </c>
      <c r="AA539" s="344" t="s">
        <v>539</v>
      </c>
      <c r="AB539" s="344">
        <v>4</v>
      </c>
      <c r="AC539" s="344" t="s">
        <v>464</v>
      </c>
      <c r="AD539" s="1058" t="s">
        <v>569</v>
      </c>
      <c r="AE539" s="1059">
        <v>187495</v>
      </c>
      <c r="AF539" s="889" t="s">
        <v>459</v>
      </c>
      <c r="AG539" s="889" t="s">
        <v>459</v>
      </c>
    </row>
    <row r="540" spans="26:33" x14ac:dyDescent="0.35">
      <c r="Z540" s="344">
        <v>2590</v>
      </c>
      <c r="AA540" s="344" t="s">
        <v>539</v>
      </c>
      <c r="AB540" s="344">
        <v>4</v>
      </c>
      <c r="AC540" s="344" t="s">
        <v>464</v>
      </c>
      <c r="AD540" s="1058" t="s">
        <v>569</v>
      </c>
      <c r="AE540" s="1059">
        <v>210338</v>
      </c>
      <c r="AF540" s="889" t="s">
        <v>459</v>
      </c>
      <c r="AG540" s="889" t="s">
        <v>459</v>
      </c>
    </row>
    <row r="541" spans="26:33" x14ac:dyDescent="0.35">
      <c r="Z541" s="344">
        <v>2594</v>
      </c>
      <c r="AA541" s="344" t="s">
        <v>539</v>
      </c>
      <c r="AB541" s="344">
        <v>3</v>
      </c>
      <c r="AC541" s="344" t="s">
        <v>464</v>
      </c>
      <c r="AD541" s="1058" t="s">
        <v>571</v>
      </c>
      <c r="AE541" s="1059">
        <v>227874</v>
      </c>
      <c r="AF541" s="889" t="s">
        <v>459</v>
      </c>
      <c r="AG541" s="889" t="s">
        <v>459</v>
      </c>
    </row>
    <row r="542" spans="26:33" x14ac:dyDescent="0.35">
      <c r="Z542" s="344">
        <v>2600</v>
      </c>
      <c r="AA542" s="344" t="s">
        <v>572</v>
      </c>
      <c r="AB542" s="344">
        <v>1</v>
      </c>
      <c r="AC542" s="344" t="s">
        <v>482</v>
      </c>
      <c r="AD542" s="1058" t="s">
        <v>573</v>
      </c>
      <c r="AE542" s="1059">
        <v>1319230</v>
      </c>
      <c r="AF542" s="889" t="s">
        <v>459</v>
      </c>
      <c r="AG542" s="889" t="s">
        <v>459</v>
      </c>
    </row>
    <row r="543" spans="26:33" x14ac:dyDescent="0.35">
      <c r="Z543" s="344">
        <v>2601</v>
      </c>
      <c r="AA543" s="344" t="s">
        <v>572</v>
      </c>
      <c r="AB543" s="344">
        <v>1</v>
      </c>
      <c r="AC543" s="344" t="s">
        <v>457</v>
      </c>
      <c r="AD543" s="1058" t="s">
        <v>573</v>
      </c>
      <c r="AE543" s="1059">
        <v>464486</v>
      </c>
      <c r="AF543" s="889" t="s">
        <v>459</v>
      </c>
      <c r="AG543" s="889" t="s">
        <v>459</v>
      </c>
    </row>
    <row r="544" spans="26:33" x14ac:dyDescent="0.35">
      <c r="Z544" s="344">
        <v>2602</v>
      </c>
      <c r="AA544" s="344" t="s">
        <v>572</v>
      </c>
      <c r="AB544" s="344">
        <v>1</v>
      </c>
      <c r="AC544" s="344" t="s">
        <v>457</v>
      </c>
      <c r="AD544" s="1058" t="s">
        <v>573</v>
      </c>
      <c r="AE544" s="1059">
        <v>659720</v>
      </c>
      <c r="AF544" s="889" t="s">
        <v>459</v>
      </c>
      <c r="AG544" s="889" t="s">
        <v>459</v>
      </c>
    </row>
    <row r="545" spans="26:33" x14ac:dyDescent="0.35">
      <c r="Z545" s="344">
        <v>2603</v>
      </c>
      <c r="AA545" s="344" t="s">
        <v>572</v>
      </c>
      <c r="AB545" s="344">
        <v>1</v>
      </c>
      <c r="AC545" s="344" t="s">
        <v>482</v>
      </c>
      <c r="AD545" s="1058" t="s">
        <v>573</v>
      </c>
      <c r="AE545" s="1059">
        <v>1451446</v>
      </c>
      <c r="AF545" s="889" t="s">
        <v>459</v>
      </c>
      <c r="AG545" s="889" t="s">
        <v>459</v>
      </c>
    </row>
    <row r="546" spans="26:33" x14ac:dyDescent="0.35">
      <c r="Z546" s="344">
        <v>2604</v>
      </c>
      <c r="AA546" s="344" t="s">
        <v>572</v>
      </c>
      <c r="AB546" s="344">
        <v>1</v>
      </c>
      <c r="AC546" s="344" t="s">
        <v>479</v>
      </c>
      <c r="AD546" s="1058" t="s">
        <v>573</v>
      </c>
      <c r="AE546" s="1059">
        <v>896143</v>
      </c>
      <c r="AF546" s="889" t="s">
        <v>459</v>
      </c>
      <c r="AG546" s="889" t="s">
        <v>459</v>
      </c>
    </row>
    <row r="547" spans="26:33" x14ac:dyDescent="0.35">
      <c r="Z547" s="344">
        <v>2605</v>
      </c>
      <c r="AA547" s="344" t="s">
        <v>572</v>
      </c>
      <c r="AB547" s="344">
        <v>1</v>
      </c>
      <c r="AC547" s="344" t="s">
        <v>479</v>
      </c>
      <c r="AD547" s="1058" t="s">
        <v>573</v>
      </c>
      <c r="AE547" s="1059">
        <v>822035</v>
      </c>
      <c r="AF547" s="889" t="s">
        <v>459</v>
      </c>
      <c r="AG547" s="889" t="s">
        <v>459</v>
      </c>
    </row>
    <row r="548" spans="26:33" x14ac:dyDescent="0.35">
      <c r="Z548" s="344">
        <v>2606</v>
      </c>
      <c r="AA548" s="344" t="s">
        <v>572</v>
      </c>
      <c r="AB548" s="344">
        <v>1</v>
      </c>
      <c r="AC548" s="344" t="s">
        <v>457</v>
      </c>
      <c r="AD548" s="1058" t="s">
        <v>573</v>
      </c>
      <c r="AE548" s="1059">
        <v>733599</v>
      </c>
      <c r="AF548" s="889" t="s">
        <v>459</v>
      </c>
      <c r="AG548" s="889" t="s">
        <v>459</v>
      </c>
    </row>
    <row r="549" spans="26:33" x14ac:dyDescent="0.35">
      <c r="Z549" s="344">
        <v>2607</v>
      </c>
      <c r="AA549" s="344" t="s">
        <v>572</v>
      </c>
      <c r="AB549" s="344">
        <v>1</v>
      </c>
      <c r="AC549" s="344" t="s">
        <v>457</v>
      </c>
      <c r="AD549" s="1058" t="s">
        <v>573</v>
      </c>
      <c r="AE549" s="1059">
        <v>684481</v>
      </c>
      <c r="AF549" s="889" t="s">
        <v>459</v>
      </c>
      <c r="AG549" s="889" t="s">
        <v>459</v>
      </c>
    </row>
    <row r="550" spans="26:33" x14ac:dyDescent="0.35">
      <c r="Z550" s="344">
        <v>2608</v>
      </c>
      <c r="AA550" s="344" t="s">
        <v>572</v>
      </c>
      <c r="AB550" s="344">
        <v>1</v>
      </c>
      <c r="AC550" s="344" t="e">
        <v>#N/A</v>
      </c>
      <c r="AD550" s="1058" t="s">
        <v>573</v>
      </c>
      <c r="AE550" s="1059" t="e">
        <v>#N/A</v>
      </c>
      <c r="AF550" s="889" t="s">
        <v>459</v>
      </c>
      <c r="AG550" s="889" t="s">
        <v>459</v>
      </c>
    </row>
    <row r="551" spans="26:33" x14ac:dyDescent="0.35">
      <c r="Z551" s="344">
        <v>2609</v>
      </c>
      <c r="AA551" s="344" t="s">
        <v>572</v>
      </c>
      <c r="AB551" s="344">
        <v>1</v>
      </c>
      <c r="AC551" s="344" t="s">
        <v>471</v>
      </c>
      <c r="AD551" s="1058" t="s">
        <v>573</v>
      </c>
      <c r="AE551" s="1059">
        <v>419490</v>
      </c>
      <c r="AF551" s="889" t="s">
        <v>459</v>
      </c>
      <c r="AG551" s="889" t="s">
        <v>459</v>
      </c>
    </row>
    <row r="552" spans="26:33" x14ac:dyDescent="0.35">
      <c r="Z552" s="344">
        <v>2610</v>
      </c>
      <c r="AA552" s="344" t="s">
        <v>572</v>
      </c>
      <c r="AB552" s="344">
        <v>1</v>
      </c>
      <c r="AC552" s="344" t="e">
        <v>#N/A</v>
      </c>
      <c r="AD552" s="1058" t="s">
        <v>573</v>
      </c>
      <c r="AE552" s="1059" t="e">
        <v>#N/A</v>
      </c>
      <c r="AF552" s="889" t="s">
        <v>459</v>
      </c>
      <c r="AG552" s="889" t="s">
        <v>459</v>
      </c>
    </row>
    <row r="553" spans="26:33" x14ac:dyDescent="0.35">
      <c r="Z553" s="344">
        <v>2611</v>
      </c>
      <c r="AA553" s="344" t="s">
        <v>572</v>
      </c>
      <c r="AB553" s="344">
        <v>1</v>
      </c>
      <c r="AC553" s="344" t="s">
        <v>457</v>
      </c>
      <c r="AD553" s="1058" t="s">
        <v>573</v>
      </c>
      <c r="AE553" s="1059">
        <v>562346</v>
      </c>
      <c r="AF553" s="889" t="s">
        <v>459</v>
      </c>
      <c r="AG553" s="889" t="s">
        <v>459</v>
      </c>
    </row>
    <row r="554" spans="26:33" x14ac:dyDescent="0.35">
      <c r="Z554" s="344">
        <v>2612</v>
      </c>
      <c r="AA554" s="344" t="s">
        <v>572</v>
      </c>
      <c r="AB554" s="344">
        <v>1</v>
      </c>
      <c r="AC554" s="344" t="s">
        <v>482</v>
      </c>
      <c r="AD554" s="1058" t="s">
        <v>573</v>
      </c>
      <c r="AE554" s="1059">
        <v>900506</v>
      </c>
      <c r="AF554" s="889" t="s">
        <v>459</v>
      </c>
      <c r="AG554" s="889" t="s">
        <v>459</v>
      </c>
    </row>
    <row r="555" spans="26:33" x14ac:dyDescent="0.35">
      <c r="Z555" s="344">
        <v>2613</v>
      </c>
      <c r="AA555" s="344" t="s">
        <v>572</v>
      </c>
      <c r="AB555" s="344">
        <v>1</v>
      </c>
      <c r="AC555" s="344" t="e">
        <v>#N/A</v>
      </c>
      <c r="AD555" s="1058" t="s">
        <v>573</v>
      </c>
      <c r="AE555" s="1059" t="e">
        <v>#N/A</v>
      </c>
      <c r="AF555" s="889" t="s">
        <v>459</v>
      </c>
      <c r="AG555" s="889" t="s">
        <v>459</v>
      </c>
    </row>
    <row r="556" spans="26:33" x14ac:dyDescent="0.35">
      <c r="Z556" s="344">
        <v>2614</v>
      </c>
      <c r="AA556" s="344" t="s">
        <v>572</v>
      </c>
      <c r="AB556" s="344">
        <v>1</v>
      </c>
      <c r="AC556" s="344" t="s">
        <v>457</v>
      </c>
      <c r="AD556" s="1058" t="s">
        <v>573</v>
      </c>
      <c r="AE556" s="1059">
        <v>604265</v>
      </c>
      <c r="AF556" s="889" t="s">
        <v>459</v>
      </c>
      <c r="AG556" s="889" t="s">
        <v>459</v>
      </c>
    </row>
    <row r="557" spans="26:33" x14ac:dyDescent="0.35">
      <c r="Z557" s="344">
        <v>2615</v>
      </c>
      <c r="AA557" s="344" t="s">
        <v>572</v>
      </c>
      <c r="AB557" s="344">
        <v>1</v>
      </c>
      <c r="AC557" s="344" t="s">
        <v>457</v>
      </c>
      <c r="AD557" s="1058" t="s">
        <v>573</v>
      </c>
      <c r="AE557" s="1059">
        <v>469051</v>
      </c>
      <c r="AF557" s="889" t="s">
        <v>459</v>
      </c>
      <c r="AG557" s="889" t="s">
        <v>459</v>
      </c>
    </row>
    <row r="558" spans="26:33" x14ac:dyDescent="0.35">
      <c r="Z558" s="344">
        <v>2616</v>
      </c>
      <c r="AA558" s="344" t="s">
        <v>572</v>
      </c>
      <c r="AB558" s="344">
        <v>1</v>
      </c>
      <c r="AC558" s="344" t="e">
        <v>#N/A</v>
      </c>
      <c r="AD558" s="1058" t="s">
        <v>573</v>
      </c>
      <c r="AE558" s="1059" t="e">
        <v>#N/A</v>
      </c>
      <c r="AF558" s="889" t="s">
        <v>459</v>
      </c>
      <c r="AG558" s="889" t="s">
        <v>459</v>
      </c>
    </row>
    <row r="559" spans="26:33" x14ac:dyDescent="0.35">
      <c r="Z559" s="344">
        <v>2617</v>
      </c>
      <c r="AA559" s="344" t="s">
        <v>572</v>
      </c>
      <c r="AB559" s="344">
        <v>1</v>
      </c>
      <c r="AC559" s="344" t="s">
        <v>457</v>
      </c>
      <c r="AD559" s="1058" t="s">
        <v>573</v>
      </c>
      <c r="AE559" s="1059">
        <v>528909</v>
      </c>
      <c r="AF559" s="889" t="s">
        <v>459</v>
      </c>
      <c r="AG559" s="889" t="s">
        <v>459</v>
      </c>
    </row>
    <row r="560" spans="26:33" x14ac:dyDescent="0.35">
      <c r="Z560" s="344">
        <v>2618</v>
      </c>
      <c r="AA560" s="344" t="s">
        <v>572</v>
      </c>
      <c r="AB560" s="344">
        <v>1</v>
      </c>
      <c r="AC560" s="344" t="s">
        <v>482</v>
      </c>
      <c r="AD560" s="1058" t="s">
        <v>573</v>
      </c>
      <c r="AE560" s="1059">
        <v>910532</v>
      </c>
      <c r="AF560" s="889" t="s">
        <v>459</v>
      </c>
      <c r="AG560" s="889" t="s">
        <v>459</v>
      </c>
    </row>
    <row r="561" spans="26:33" x14ac:dyDescent="0.35">
      <c r="Z561" s="344">
        <v>2619</v>
      </c>
      <c r="AA561" s="344" t="s">
        <v>539</v>
      </c>
      <c r="AB561" s="344">
        <v>1</v>
      </c>
      <c r="AC561" s="344" t="s">
        <v>457</v>
      </c>
      <c r="AD561" s="1058" t="s">
        <v>540</v>
      </c>
      <c r="AE561" s="1059">
        <v>684693</v>
      </c>
      <c r="AF561" s="889" t="s">
        <v>459</v>
      </c>
      <c r="AG561" s="889" t="s">
        <v>459</v>
      </c>
    </row>
    <row r="562" spans="26:33" x14ac:dyDescent="0.35">
      <c r="Z562" s="344">
        <v>2620</v>
      </c>
      <c r="AA562" s="344" t="s">
        <v>539</v>
      </c>
      <c r="AB562" s="344">
        <v>1</v>
      </c>
      <c r="AC562" s="344" t="s">
        <v>457</v>
      </c>
      <c r="AD562" s="1058" t="s">
        <v>540</v>
      </c>
      <c r="AE562" s="1059">
        <v>668535</v>
      </c>
      <c r="AF562" s="889" t="s">
        <v>459</v>
      </c>
      <c r="AG562" s="889" t="s">
        <v>459</v>
      </c>
    </row>
    <row r="563" spans="26:33" x14ac:dyDescent="0.35">
      <c r="Z563" s="344">
        <v>2621</v>
      </c>
      <c r="AA563" s="344" t="s">
        <v>539</v>
      </c>
      <c r="AB563" s="344">
        <v>1</v>
      </c>
      <c r="AC563" s="344" t="s">
        <v>457</v>
      </c>
      <c r="AD563" s="1058" t="s">
        <v>540</v>
      </c>
      <c r="AE563" s="1059">
        <v>711978</v>
      </c>
      <c r="AF563" s="889" t="s">
        <v>459</v>
      </c>
      <c r="AG563" s="889" t="s">
        <v>459</v>
      </c>
    </row>
    <row r="564" spans="26:33" x14ac:dyDescent="0.35">
      <c r="Z564" s="344">
        <v>2622</v>
      </c>
      <c r="AA564" s="344" t="s">
        <v>539</v>
      </c>
      <c r="AB564" s="344">
        <v>4</v>
      </c>
      <c r="AC564" s="344" t="s">
        <v>471</v>
      </c>
      <c r="AD564" s="1058" t="s">
        <v>569</v>
      </c>
      <c r="AE564" s="1059">
        <v>311690</v>
      </c>
      <c r="AF564" s="889" t="s">
        <v>459</v>
      </c>
      <c r="AG564" s="889" t="s">
        <v>459</v>
      </c>
    </row>
    <row r="565" spans="26:33" x14ac:dyDescent="0.35">
      <c r="Z565" s="344">
        <v>2623</v>
      </c>
      <c r="AA565" s="344" t="s">
        <v>539</v>
      </c>
      <c r="AB565" s="344">
        <v>3</v>
      </c>
      <c r="AC565" s="344" t="s">
        <v>464</v>
      </c>
      <c r="AD565" s="1058" t="s">
        <v>571</v>
      </c>
      <c r="AE565" s="1059">
        <v>267924</v>
      </c>
      <c r="AF565" s="889" t="s">
        <v>459</v>
      </c>
      <c r="AG565" s="889" t="s">
        <v>459</v>
      </c>
    </row>
    <row r="566" spans="26:33" x14ac:dyDescent="0.35">
      <c r="Z566" s="344">
        <v>2624</v>
      </c>
      <c r="AA566" s="344" t="s">
        <v>539</v>
      </c>
      <c r="AB566" s="344">
        <v>4</v>
      </c>
      <c r="AC566" s="344" t="e">
        <v>#N/A</v>
      </c>
      <c r="AD566" s="1058" t="s">
        <v>569</v>
      </c>
      <c r="AE566" s="1059" t="e">
        <v>#N/A</v>
      </c>
      <c r="AF566" s="889" t="s">
        <v>459</v>
      </c>
      <c r="AG566" s="889" t="s">
        <v>459</v>
      </c>
    </row>
    <row r="567" spans="26:33" x14ac:dyDescent="0.35">
      <c r="Z567" s="344">
        <v>2625</v>
      </c>
      <c r="AA567" s="344" t="s">
        <v>539</v>
      </c>
      <c r="AB567" s="344">
        <v>4</v>
      </c>
      <c r="AC567" s="344" t="e">
        <v>#N/A</v>
      </c>
      <c r="AD567" s="1058" t="s">
        <v>569</v>
      </c>
      <c r="AE567" s="1059" t="e">
        <v>#N/A</v>
      </c>
      <c r="AF567" s="889" t="s">
        <v>459</v>
      </c>
      <c r="AG567" s="889" t="s">
        <v>459</v>
      </c>
    </row>
    <row r="568" spans="26:33" x14ac:dyDescent="0.35">
      <c r="Z568" s="344">
        <v>2626</v>
      </c>
      <c r="AA568" s="344" t="s">
        <v>539</v>
      </c>
      <c r="AB568" s="344">
        <v>4</v>
      </c>
      <c r="AC568" s="344" t="e">
        <v>#N/A</v>
      </c>
      <c r="AD568" s="1058" t="s">
        <v>569</v>
      </c>
      <c r="AE568" s="1059" t="e">
        <v>#N/A</v>
      </c>
      <c r="AF568" s="889" t="s">
        <v>459</v>
      </c>
      <c r="AG568" s="889" t="s">
        <v>459</v>
      </c>
    </row>
    <row r="569" spans="26:33" x14ac:dyDescent="0.35">
      <c r="Z569" s="344">
        <v>2627</v>
      </c>
      <c r="AA569" s="344" t="s">
        <v>539</v>
      </c>
      <c r="AB569" s="344">
        <v>4</v>
      </c>
      <c r="AC569" s="344" t="s">
        <v>457</v>
      </c>
      <c r="AD569" s="1058" t="s">
        <v>569</v>
      </c>
      <c r="AE569" s="1059">
        <v>475190</v>
      </c>
      <c r="AF569" s="889" t="s">
        <v>459</v>
      </c>
      <c r="AG569" s="889" t="s">
        <v>459</v>
      </c>
    </row>
    <row r="570" spans="26:33" x14ac:dyDescent="0.35">
      <c r="Z570" s="344">
        <v>2628</v>
      </c>
      <c r="AA570" s="344" t="s">
        <v>539</v>
      </c>
      <c r="AB570" s="344">
        <v>4</v>
      </c>
      <c r="AC570" s="344" t="s">
        <v>464</v>
      </c>
      <c r="AD570" s="1058" t="s">
        <v>569</v>
      </c>
      <c r="AE570" s="1059">
        <v>245538</v>
      </c>
      <c r="AF570" s="889" t="s">
        <v>459</v>
      </c>
      <c r="AG570" s="889" t="s">
        <v>459</v>
      </c>
    </row>
    <row r="571" spans="26:33" x14ac:dyDescent="0.35">
      <c r="Z571" s="344">
        <v>2629</v>
      </c>
      <c r="AA571" s="344" t="s">
        <v>539</v>
      </c>
      <c r="AB571" s="344">
        <v>4</v>
      </c>
      <c r="AC571" s="344" t="s">
        <v>464</v>
      </c>
      <c r="AD571" s="1058" t="s">
        <v>569</v>
      </c>
      <c r="AE571" s="1059">
        <v>256328</v>
      </c>
      <c r="AF571" s="889" t="s">
        <v>459</v>
      </c>
      <c r="AG571" s="889" t="s">
        <v>459</v>
      </c>
    </row>
    <row r="572" spans="26:33" x14ac:dyDescent="0.35">
      <c r="Z572" s="344">
        <v>2630</v>
      </c>
      <c r="AA572" s="344" t="s">
        <v>539</v>
      </c>
      <c r="AB572" s="344">
        <v>3</v>
      </c>
      <c r="AC572" s="344" t="s">
        <v>464</v>
      </c>
      <c r="AD572" s="1058" t="s">
        <v>571</v>
      </c>
      <c r="AE572" s="1059">
        <v>254533</v>
      </c>
      <c r="AF572" s="889" t="s">
        <v>459</v>
      </c>
      <c r="AG572" s="889" t="s">
        <v>459</v>
      </c>
    </row>
    <row r="573" spans="26:33" x14ac:dyDescent="0.35">
      <c r="Z573" s="344">
        <v>2631</v>
      </c>
      <c r="AA573" s="344" t="s">
        <v>539</v>
      </c>
      <c r="AB573" s="344">
        <v>4</v>
      </c>
      <c r="AC573" s="344" t="s">
        <v>464</v>
      </c>
      <c r="AD573" s="1058" t="s">
        <v>569</v>
      </c>
      <c r="AE573" s="1059">
        <v>135009</v>
      </c>
      <c r="AF573" s="889" t="s">
        <v>459</v>
      </c>
      <c r="AG573" s="889" t="s">
        <v>459</v>
      </c>
    </row>
    <row r="574" spans="26:33" x14ac:dyDescent="0.35">
      <c r="Z574" s="344">
        <v>2632</v>
      </c>
      <c r="AA574" s="344" t="s">
        <v>539</v>
      </c>
      <c r="AB574" s="344">
        <v>4</v>
      </c>
      <c r="AC574" s="344" t="s">
        <v>464</v>
      </c>
      <c r="AD574" s="1058" t="s">
        <v>569</v>
      </c>
      <c r="AE574" s="1059">
        <v>184869</v>
      </c>
      <c r="AF574" s="889" t="s">
        <v>459</v>
      </c>
      <c r="AG574" s="889" t="s">
        <v>459</v>
      </c>
    </row>
    <row r="575" spans="26:33" x14ac:dyDescent="0.35">
      <c r="Z575" s="344">
        <v>2633</v>
      </c>
      <c r="AA575" s="344" t="s">
        <v>539</v>
      </c>
      <c r="AB575" s="344">
        <v>4</v>
      </c>
      <c r="AC575" s="344" t="s">
        <v>464</v>
      </c>
      <c r="AD575" s="1058" t="s">
        <v>569</v>
      </c>
      <c r="AE575" s="1059">
        <v>157193</v>
      </c>
      <c r="AF575" s="889" t="s">
        <v>459</v>
      </c>
      <c r="AG575" s="889" t="s">
        <v>459</v>
      </c>
    </row>
    <row r="576" spans="26:33" x14ac:dyDescent="0.35">
      <c r="Z576" s="344">
        <v>2640</v>
      </c>
      <c r="AA576" s="344" t="s">
        <v>539</v>
      </c>
      <c r="AB576" s="344">
        <v>1</v>
      </c>
      <c r="AC576" s="344" t="s">
        <v>471</v>
      </c>
      <c r="AD576" s="1058" t="s">
        <v>540</v>
      </c>
      <c r="AE576" s="1059">
        <v>366229</v>
      </c>
      <c r="AF576" s="889" t="s">
        <v>459</v>
      </c>
      <c r="AG576" s="889" t="s">
        <v>459</v>
      </c>
    </row>
    <row r="577" spans="26:33" x14ac:dyDescent="0.35">
      <c r="Z577" s="344">
        <v>2641</v>
      </c>
      <c r="AA577" s="344" t="s">
        <v>539</v>
      </c>
      <c r="AB577" s="344">
        <v>1</v>
      </c>
      <c r="AC577" s="344" t="s">
        <v>464</v>
      </c>
      <c r="AD577" s="1058" t="s">
        <v>540</v>
      </c>
      <c r="AE577" s="1059">
        <v>266038</v>
      </c>
      <c r="AF577" s="889" t="s">
        <v>459</v>
      </c>
      <c r="AG577" s="889" t="s">
        <v>459</v>
      </c>
    </row>
    <row r="578" spans="26:33" x14ac:dyDescent="0.35">
      <c r="Z578" s="344">
        <v>2642</v>
      </c>
      <c r="AA578" s="344" t="s">
        <v>539</v>
      </c>
      <c r="AB578" s="344">
        <v>4</v>
      </c>
      <c r="AC578" s="344" t="s">
        <v>464</v>
      </c>
      <c r="AD578" s="1058" t="s">
        <v>569</v>
      </c>
      <c r="AE578" s="1059">
        <v>206819</v>
      </c>
      <c r="AF578" s="889" t="s">
        <v>459</v>
      </c>
      <c r="AG578" s="889" t="s">
        <v>459</v>
      </c>
    </row>
    <row r="579" spans="26:33" x14ac:dyDescent="0.35">
      <c r="Z579" s="344">
        <v>2643</v>
      </c>
      <c r="AA579" s="344" t="s">
        <v>539</v>
      </c>
      <c r="AB579" s="344">
        <v>2</v>
      </c>
      <c r="AC579" s="344" t="s">
        <v>464</v>
      </c>
      <c r="AD579" s="1058" t="s">
        <v>570</v>
      </c>
      <c r="AE579" s="1059">
        <v>259392</v>
      </c>
      <c r="AF579" s="889" t="s">
        <v>459</v>
      </c>
      <c r="AG579" s="889" t="s">
        <v>459</v>
      </c>
    </row>
    <row r="580" spans="26:33" x14ac:dyDescent="0.35">
      <c r="Z580" s="344">
        <v>2644</v>
      </c>
      <c r="AA580" s="344" t="s">
        <v>539</v>
      </c>
      <c r="AB580" s="344">
        <v>4</v>
      </c>
      <c r="AC580" s="344" t="s">
        <v>464</v>
      </c>
      <c r="AD580" s="1058" t="s">
        <v>569</v>
      </c>
      <c r="AE580" s="1059">
        <v>181363</v>
      </c>
      <c r="AF580" s="889" t="s">
        <v>459</v>
      </c>
      <c r="AG580" s="889" t="s">
        <v>459</v>
      </c>
    </row>
    <row r="581" spans="26:33" x14ac:dyDescent="0.35">
      <c r="Z581" s="344">
        <v>2645</v>
      </c>
      <c r="AA581" s="344" t="s">
        <v>539</v>
      </c>
      <c r="AB581" s="344">
        <v>4</v>
      </c>
      <c r="AC581" s="344" t="e">
        <v>#N/A</v>
      </c>
      <c r="AD581" s="1058" t="s">
        <v>569</v>
      </c>
      <c r="AE581" s="1059" t="e">
        <v>#N/A</v>
      </c>
      <c r="AF581" s="889" t="s">
        <v>459</v>
      </c>
      <c r="AG581" s="889" t="s">
        <v>459</v>
      </c>
    </row>
    <row r="582" spans="26:33" x14ac:dyDescent="0.35">
      <c r="Z582" s="344">
        <v>2646</v>
      </c>
      <c r="AA582" s="344" t="s">
        <v>539</v>
      </c>
      <c r="AB582" s="344">
        <v>4</v>
      </c>
      <c r="AC582" s="344" t="s">
        <v>464</v>
      </c>
      <c r="AD582" s="1058" t="s">
        <v>569</v>
      </c>
      <c r="AE582" s="1059">
        <v>223500</v>
      </c>
      <c r="AF582" s="889" t="s">
        <v>459</v>
      </c>
      <c r="AG582" s="889" t="s">
        <v>459</v>
      </c>
    </row>
    <row r="583" spans="26:33" x14ac:dyDescent="0.35">
      <c r="Z583" s="344">
        <v>2647</v>
      </c>
      <c r="AA583" s="344" t="s">
        <v>539</v>
      </c>
      <c r="AB583" s="344">
        <v>3</v>
      </c>
      <c r="AC583" s="344" t="s">
        <v>471</v>
      </c>
      <c r="AD583" s="1058" t="s">
        <v>571</v>
      </c>
      <c r="AE583" s="1059">
        <v>320900</v>
      </c>
      <c r="AF583" s="889" t="s">
        <v>459</v>
      </c>
      <c r="AG583" s="889" t="s">
        <v>459</v>
      </c>
    </row>
    <row r="584" spans="26:33" x14ac:dyDescent="0.35">
      <c r="Z584" s="344">
        <v>2648</v>
      </c>
      <c r="AA584" s="344" t="s">
        <v>539</v>
      </c>
      <c r="AB584" s="344">
        <v>4</v>
      </c>
      <c r="AC584" s="344" t="s">
        <v>464</v>
      </c>
      <c r="AD584" s="1058" t="s">
        <v>569</v>
      </c>
      <c r="AE584" s="1059">
        <v>169314</v>
      </c>
      <c r="AF584" s="889" t="s">
        <v>459</v>
      </c>
      <c r="AG584" s="889" t="s">
        <v>459</v>
      </c>
    </row>
    <row r="585" spans="26:33" x14ac:dyDescent="0.35">
      <c r="Z585" s="344">
        <v>2649</v>
      </c>
      <c r="AA585" s="344" t="s">
        <v>539</v>
      </c>
      <c r="AB585" s="344">
        <v>4</v>
      </c>
      <c r="AC585" s="344" t="e">
        <v>#N/A</v>
      </c>
      <c r="AD585" s="1058" t="s">
        <v>569</v>
      </c>
      <c r="AE585" s="1059" t="e">
        <v>#N/A</v>
      </c>
      <c r="AF585" s="889" t="s">
        <v>459</v>
      </c>
      <c r="AG585" s="889" t="s">
        <v>459</v>
      </c>
    </row>
    <row r="586" spans="26:33" x14ac:dyDescent="0.35">
      <c r="Z586" s="344">
        <v>2650</v>
      </c>
      <c r="AA586" s="344" t="s">
        <v>539</v>
      </c>
      <c r="AB586" s="344">
        <v>1</v>
      </c>
      <c r="AC586" s="344" t="s">
        <v>471</v>
      </c>
      <c r="AD586" s="1058" t="s">
        <v>540</v>
      </c>
      <c r="AE586" s="1059">
        <v>340835</v>
      </c>
      <c r="AF586" s="889" t="s">
        <v>459</v>
      </c>
      <c r="AG586" s="889" t="s">
        <v>459</v>
      </c>
    </row>
    <row r="587" spans="26:33" x14ac:dyDescent="0.35">
      <c r="Z587" s="344">
        <v>2651</v>
      </c>
      <c r="AA587" s="344" t="s">
        <v>539</v>
      </c>
      <c r="AB587" s="344">
        <v>1</v>
      </c>
      <c r="AC587" s="344" t="s">
        <v>464</v>
      </c>
      <c r="AD587" s="1058" t="s">
        <v>540</v>
      </c>
      <c r="AE587" s="1059">
        <v>246858</v>
      </c>
      <c r="AF587" s="889" t="s">
        <v>459</v>
      </c>
      <c r="AG587" s="889" t="s">
        <v>459</v>
      </c>
    </row>
    <row r="588" spans="26:33" x14ac:dyDescent="0.35">
      <c r="Z588" s="344">
        <v>2652</v>
      </c>
      <c r="AA588" s="344" t="s">
        <v>539</v>
      </c>
      <c r="AB588" s="344">
        <v>4</v>
      </c>
      <c r="AC588" s="344" t="s">
        <v>464</v>
      </c>
      <c r="AD588" s="1058" t="s">
        <v>569</v>
      </c>
      <c r="AE588" s="1059">
        <v>153840</v>
      </c>
      <c r="AF588" s="889" t="s">
        <v>459</v>
      </c>
      <c r="AG588" s="889" t="s">
        <v>459</v>
      </c>
    </row>
    <row r="589" spans="26:33" x14ac:dyDescent="0.35">
      <c r="Z589" s="344">
        <v>2653</v>
      </c>
      <c r="AA589" s="344" t="s">
        <v>539</v>
      </c>
      <c r="AB589" s="344">
        <v>4</v>
      </c>
      <c r="AC589" s="344" t="s">
        <v>464</v>
      </c>
      <c r="AD589" s="1058" t="s">
        <v>569</v>
      </c>
      <c r="AE589" s="1059">
        <v>203624</v>
      </c>
      <c r="AF589" s="889" t="s">
        <v>459</v>
      </c>
      <c r="AG589" s="889" t="s">
        <v>459</v>
      </c>
    </row>
    <row r="590" spans="26:33" x14ac:dyDescent="0.35">
      <c r="Z590" s="344">
        <v>2655</v>
      </c>
      <c r="AA590" s="344" t="s">
        <v>539</v>
      </c>
      <c r="AB590" s="344">
        <v>4</v>
      </c>
      <c r="AC590" s="344" t="s">
        <v>464</v>
      </c>
      <c r="AD590" s="1058" t="s">
        <v>569</v>
      </c>
      <c r="AE590" s="1059">
        <v>226038</v>
      </c>
      <c r="AF590" s="889" t="s">
        <v>459</v>
      </c>
      <c r="AG590" s="889" t="s">
        <v>459</v>
      </c>
    </row>
    <row r="591" spans="26:33" x14ac:dyDescent="0.35">
      <c r="Z591" s="344">
        <v>2656</v>
      </c>
      <c r="AA591" s="344" t="s">
        <v>539</v>
      </c>
      <c r="AB591" s="344">
        <v>4</v>
      </c>
      <c r="AC591" s="344" t="s">
        <v>464</v>
      </c>
      <c r="AD591" s="1058" t="s">
        <v>569</v>
      </c>
      <c r="AE591" s="1059">
        <v>164859</v>
      </c>
      <c r="AF591" s="889" t="s">
        <v>459</v>
      </c>
      <c r="AG591" s="889" t="s">
        <v>459</v>
      </c>
    </row>
    <row r="592" spans="26:33" x14ac:dyDescent="0.35">
      <c r="Z592" s="344">
        <v>2658</v>
      </c>
      <c r="AA592" s="344" t="s">
        <v>539</v>
      </c>
      <c r="AB592" s="344">
        <v>4</v>
      </c>
      <c r="AC592" s="344" t="s">
        <v>464</v>
      </c>
      <c r="AD592" s="1058" t="s">
        <v>569</v>
      </c>
      <c r="AE592" s="1059">
        <v>165114</v>
      </c>
      <c r="AF592" s="889" t="s">
        <v>459</v>
      </c>
      <c r="AG592" s="889" t="s">
        <v>459</v>
      </c>
    </row>
    <row r="593" spans="26:33" x14ac:dyDescent="0.35">
      <c r="Z593" s="344">
        <v>2659</v>
      </c>
      <c r="AA593" s="344" t="s">
        <v>539</v>
      </c>
      <c r="AB593" s="344">
        <v>4</v>
      </c>
      <c r="AC593" s="344" t="s">
        <v>464</v>
      </c>
      <c r="AD593" s="1058" t="s">
        <v>569</v>
      </c>
      <c r="AE593" s="1059">
        <v>189037</v>
      </c>
      <c r="AF593" s="889" t="s">
        <v>459</v>
      </c>
      <c r="AG593" s="889" t="s">
        <v>459</v>
      </c>
    </row>
    <row r="594" spans="26:33" x14ac:dyDescent="0.35">
      <c r="Z594" s="344">
        <v>2660</v>
      </c>
      <c r="AA594" s="344" t="s">
        <v>539</v>
      </c>
      <c r="AB594" s="344">
        <v>4</v>
      </c>
      <c r="AC594" s="344" t="s">
        <v>464</v>
      </c>
      <c r="AD594" s="1058" t="s">
        <v>569</v>
      </c>
      <c r="AE594" s="1059">
        <v>179203</v>
      </c>
      <c r="AF594" s="889" t="s">
        <v>459</v>
      </c>
      <c r="AG594" s="889" t="s">
        <v>459</v>
      </c>
    </row>
    <row r="595" spans="26:33" x14ac:dyDescent="0.35">
      <c r="Z595" s="344">
        <v>2661</v>
      </c>
      <c r="AA595" s="344" t="s">
        <v>539</v>
      </c>
      <c r="AB595" s="344">
        <v>4</v>
      </c>
      <c r="AC595" s="344" t="s">
        <v>464</v>
      </c>
      <c r="AD595" s="1058" t="s">
        <v>569</v>
      </c>
      <c r="AE595" s="1059" t="e">
        <v>#N/A</v>
      </c>
      <c r="AF595" s="889" t="s">
        <v>459</v>
      </c>
      <c r="AG595" s="889" t="s">
        <v>459</v>
      </c>
    </row>
    <row r="596" spans="26:33" x14ac:dyDescent="0.35">
      <c r="Z596" s="344">
        <v>2663</v>
      </c>
      <c r="AA596" s="344" t="s">
        <v>539</v>
      </c>
      <c r="AB596" s="344">
        <v>4</v>
      </c>
      <c r="AC596" s="344" t="s">
        <v>464</v>
      </c>
      <c r="AD596" s="1058" t="s">
        <v>569</v>
      </c>
      <c r="AE596" s="1059">
        <v>212933</v>
      </c>
      <c r="AF596" s="889" t="s">
        <v>459</v>
      </c>
      <c r="AG596" s="889" t="s">
        <v>459</v>
      </c>
    </row>
    <row r="597" spans="26:33" x14ac:dyDescent="0.35">
      <c r="Z597" s="344">
        <v>2665</v>
      </c>
      <c r="AA597" s="344" t="s">
        <v>539</v>
      </c>
      <c r="AB597" s="344">
        <v>4</v>
      </c>
      <c r="AC597" s="344" t="s">
        <v>464</v>
      </c>
      <c r="AD597" s="1058" t="s">
        <v>569</v>
      </c>
      <c r="AE597" s="1059">
        <v>150048</v>
      </c>
      <c r="AF597" s="889" t="s">
        <v>459</v>
      </c>
      <c r="AG597" s="889" t="s">
        <v>459</v>
      </c>
    </row>
    <row r="598" spans="26:33" x14ac:dyDescent="0.35">
      <c r="Z598" s="344">
        <v>2666</v>
      </c>
      <c r="AA598" s="344" t="s">
        <v>539</v>
      </c>
      <c r="AB598" s="344">
        <v>4</v>
      </c>
      <c r="AC598" s="344" t="s">
        <v>464</v>
      </c>
      <c r="AD598" s="1058" t="s">
        <v>569</v>
      </c>
      <c r="AE598" s="1059">
        <v>218771</v>
      </c>
      <c r="AF598" s="889" t="s">
        <v>459</v>
      </c>
      <c r="AG598" s="889" t="s">
        <v>459</v>
      </c>
    </row>
    <row r="599" spans="26:33" x14ac:dyDescent="0.35">
      <c r="Z599" s="344">
        <v>2668</v>
      </c>
      <c r="AA599" s="344" t="s">
        <v>539</v>
      </c>
      <c r="AB599" s="344">
        <v>4</v>
      </c>
      <c r="AC599" s="344" t="s">
        <v>464</v>
      </c>
      <c r="AD599" s="1058" t="s">
        <v>569</v>
      </c>
      <c r="AE599" s="1059">
        <v>106394</v>
      </c>
      <c r="AF599" s="889" t="s">
        <v>459</v>
      </c>
      <c r="AG599" s="889" t="s">
        <v>459</v>
      </c>
    </row>
    <row r="600" spans="26:33" x14ac:dyDescent="0.35">
      <c r="Z600" s="344">
        <v>2669</v>
      </c>
      <c r="AA600" s="344" t="s">
        <v>539</v>
      </c>
      <c r="AB600" s="344">
        <v>4</v>
      </c>
      <c r="AC600" s="344" t="s">
        <v>464</v>
      </c>
      <c r="AD600" s="1058" t="s">
        <v>569</v>
      </c>
      <c r="AE600" s="1059">
        <v>81959</v>
      </c>
      <c r="AF600" s="889" t="s">
        <v>459</v>
      </c>
      <c r="AG600" s="889" t="s">
        <v>459</v>
      </c>
    </row>
    <row r="601" spans="26:33" x14ac:dyDescent="0.35">
      <c r="Z601" s="344">
        <v>2671</v>
      </c>
      <c r="AA601" s="344" t="s">
        <v>539</v>
      </c>
      <c r="AB601" s="344">
        <v>4</v>
      </c>
      <c r="AC601" s="344" t="s">
        <v>464</v>
      </c>
      <c r="AD601" s="1058" t="s">
        <v>569</v>
      </c>
      <c r="AE601" s="1059">
        <v>184745</v>
      </c>
      <c r="AF601" s="889" t="s">
        <v>459</v>
      </c>
      <c r="AG601" s="889" t="s">
        <v>459</v>
      </c>
    </row>
    <row r="602" spans="26:33" x14ac:dyDescent="0.35">
      <c r="Z602" s="344">
        <v>2672</v>
      </c>
      <c r="AA602" s="344" t="s">
        <v>539</v>
      </c>
      <c r="AB602" s="344">
        <v>4</v>
      </c>
      <c r="AC602" s="344" t="s">
        <v>464</v>
      </c>
      <c r="AD602" s="1058" t="s">
        <v>569</v>
      </c>
      <c r="AE602" s="1059">
        <v>116667</v>
      </c>
      <c r="AF602" s="889" t="s">
        <v>459</v>
      </c>
      <c r="AG602" s="889" t="s">
        <v>459</v>
      </c>
    </row>
    <row r="603" spans="26:33" x14ac:dyDescent="0.35">
      <c r="Z603" s="344">
        <v>2675</v>
      </c>
      <c r="AA603" s="344" t="s">
        <v>539</v>
      </c>
      <c r="AB603" s="344">
        <v>4</v>
      </c>
      <c r="AC603" s="344" t="s">
        <v>464</v>
      </c>
      <c r="AD603" s="1058" t="s">
        <v>569</v>
      </c>
      <c r="AE603" s="1059">
        <v>124664</v>
      </c>
      <c r="AF603" s="889" t="s">
        <v>459</v>
      </c>
      <c r="AG603" s="889" t="s">
        <v>459</v>
      </c>
    </row>
    <row r="604" spans="26:33" x14ac:dyDescent="0.35">
      <c r="Z604" s="344">
        <v>2680</v>
      </c>
      <c r="AA604" s="344" t="s">
        <v>539</v>
      </c>
      <c r="AB604" s="344">
        <v>2</v>
      </c>
      <c r="AC604" s="344" t="s">
        <v>464</v>
      </c>
      <c r="AD604" s="1058" t="s">
        <v>570</v>
      </c>
      <c r="AE604" s="1059">
        <v>279000</v>
      </c>
      <c r="AF604" s="889" t="s">
        <v>459</v>
      </c>
      <c r="AG604" s="889" t="s">
        <v>459</v>
      </c>
    </row>
    <row r="605" spans="26:33" x14ac:dyDescent="0.35">
      <c r="Z605" s="344">
        <v>2681</v>
      </c>
      <c r="AA605" s="344" t="s">
        <v>539</v>
      </c>
      <c r="AB605" s="344">
        <v>4</v>
      </c>
      <c r="AC605" s="344" t="s">
        <v>464</v>
      </c>
      <c r="AD605" s="1058" t="s">
        <v>569</v>
      </c>
      <c r="AE605" s="1059">
        <v>195182</v>
      </c>
      <c r="AF605" s="889" t="s">
        <v>459</v>
      </c>
      <c r="AG605" s="889" t="s">
        <v>459</v>
      </c>
    </row>
    <row r="606" spans="26:33" x14ac:dyDescent="0.35">
      <c r="Z606" s="344">
        <v>2700</v>
      </c>
      <c r="AA606" s="344" t="s">
        <v>539</v>
      </c>
      <c r="AB606" s="344">
        <v>4</v>
      </c>
      <c r="AC606" s="344" t="s">
        <v>464</v>
      </c>
      <c r="AD606" s="1058" t="s">
        <v>569</v>
      </c>
      <c r="AE606" s="1059">
        <v>188446</v>
      </c>
      <c r="AF606" s="889" t="s">
        <v>459</v>
      </c>
      <c r="AG606" s="889" t="s">
        <v>459</v>
      </c>
    </row>
    <row r="607" spans="26:33" x14ac:dyDescent="0.35">
      <c r="Z607" s="344">
        <v>2701</v>
      </c>
      <c r="AA607" s="344" t="s">
        <v>539</v>
      </c>
      <c r="AB607" s="344">
        <v>4</v>
      </c>
      <c r="AC607" s="344" t="s">
        <v>464</v>
      </c>
      <c r="AD607" s="1058" t="s">
        <v>569</v>
      </c>
      <c r="AE607" s="1059">
        <v>260131</v>
      </c>
      <c r="AF607" s="889" t="s">
        <v>459</v>
      </c>
      <c r="AG607" s="889" t="s">
        <v>459</v>
      </c>
    </row>
    <row r="608" spans="26:33" x14ac:dyDescent="0.35">
      <c r="Z608" s="344">
        <v>2702</v>
      </c>
      <c r="AA608" s="344" t="s">
        <v>539</v>
      </c>
      <c r="AB608" s="344">
        <v>4</v>
      </c>
      <c r="AC608" s="344" t="s">
        <v>464</v>
      </c>
      <c r="AD608" s="1058" t="s">
        <v>569</v>
      </c>
      <c r="AE608" s="1059">
        <v>141675</v>
      </c>
      <c r="AF608" s="889" t="s">
        <v>459</v>
      </c>
      <c r="AG608" s="889" t="s">
        <v>459</v>
      </c>
    </row>
    <row r="609" spans="26:33" x14ac:dyDescent="0.35">
      <c r="Z609" s="344">
        <v>2703</v>
      </c>
      <c r="AA609" s="344" t="s">
        <v>539</v>
      </c>
      <c r="AB609" s="344">
        <v>4</v>
      </c>
      <c r="AC609" s="344" t="s">
        <v>464</v>
      </c>
      <c r="AD609" s="1058" t="s">
        <v>569</v>
      </c>
      <c r="AE609" s="1059">
        <v>147698</v>
      </c>
      <c r="AF609" s="889" t="s">
        <v>459</v>
      </c>
      <c r="AG609" s="889" t="s">
        <v>459</v>
      </c>
    </row>
    <row r="610" spans="26:33" x14ac:dyDescent="0.35">
      <c r="Z610" s="344">
        <v>2705</v>
      </c>
      <c r="AA610" s="344" t="s">
        <v>539</v>
      </c>
      <c r="AB610" s="344">
        <v>3</v>
      </c>
      <c r="AC610" s="344" t="s">
        <v>464</v>
      </c>
      <c r="AD610" s="1058" t="s">
        <v>571</v>
      </c>
      <c r="AE610" s="1059">
        <v>165685</v>
      </c>
      <c r="AF610" s="889" t="s">
        <v>459</v>
      </c>
      <c r="AG610" s="889" t="s">
        <v>459</v>
      </c>
    </row>
    <row r="611" spans="26:33" x14ac:dyDescent="0.35">
      <c r="Z611" s="344">
        <v>2706</v>
      </c>
      <c r="AA611" s="344" t="s">
        <v>539</v>
      </c>
      <c r="AB611" s="344">
        <v>4</v>
      </c>
      <c r="AC611" s="344" t="s">
        <v>464</v>
      </c>
      <c r="AD611" s="1058" t="s">
        <v>569</v>
      </c>
      <c r="AE611" s="1059">
        <v>160697</v>
      </c>
      <c r="AF611" s="889" t="s">
        <v>459</v>
      </c>
      <c r="AG611" s="889" t="s">
        <v>459</v>
      </c>
    </row>
    <row r="612" spans="26:33" x14ac:dyDescent="0.35">
      <c r="Z612" s="344">
        <v>2707</v>
      </c>
      <c r="AA612" s="344" t="s">
        <v>539</v>
      </c>
      <c r="AB612" s="344">
        <v>4</v>
      </c>
      <c r="AC612" s="344" t="s">
        <v>464</v>
      </c>
      <c r="AD612" s="1058" t="s">
        <v>569</v>
      </c>
      <c r="AE612" s="1059">
        <v>167678</v>
      </c>
      <c r="AF612" s="889" t="s">
        <v>459</v>
      </c>
      <c r="AG612" s="889" t="s">
        <v>459</v>
      </c>
    </row>
    <row r="613" spans="26:33" x14ac:dyDescent="0.35">
      <c r="Z613" s="344">
        <v>2710</v>
      </c>
      <c r="AA613" s="344" t="s">
        <v>539</v>
      </c>
      <c r="AB613" s="344">
        <v>3</v>
      </c>
      <c r="AC613" s="344" t="s">
        <v>464</v>
      </c>
      <c r="AD613" s="1058" t="s">
        <v>571</v>
      </c>
      <c r="AE613" s="1059">
        <v>161020</v>
      </c>
      <c r="AF613" s="889" t="s">
        <v>459</v>
      </c>
      <c r="AG613" s="889" t="s">
        <v>459</v>
      </c>
    </row>
    <row r="614" spans="26:33" x14ac:dyDescent="0.35">
      <c r="Z614" s="344">
        <v>2711</v>
      </c>
      <c r="AA614" s="344" t="s">
        <v>539</v>
      </c>
      <c r="AB614" s="344">
        <v>4</v>
      </c>
      <c r="AC614" s="344" t="s">
        <v>464</v>
      </c>
      <c r="AD614" s="1058" t="s">
        <v>569</v>
      </c>
      <c r="AE614" s="1059">
        <v>231338</v>
      </c>
      <c r="AF614" s="889" t="s">
        <v>459</v>
      </c>
      <c r="AG614" s="889" t="s">
        <v>459</v>
      </c>
    </row>
    <row r="615" spans="26:33" x14ac:dyDescent="0.35">
      <c r="Z615" s="344">
        <v>2712</v>
      </c>
      <c r="AA615" s="344" t="s">
        <v>539</v>
      </c>
      <c r="AB615" s="344">
        <v>4</v>
      </c>
      <c r="AC615" s="344" t="s">
        <v>464</v>
      </c>
      <c r="AD615" s="1058" t="s">
        <v>569</v>
      </c>
      <c r="AE615" s="1059">
        <v>146391</v>
      </c>
      <c r="AF615" s="889" t="s">
        <v>459</v>
      </c>
      <c r="AG615" s="889" t="s">
        <v>459</v>
      </c>
    </row>
    <row r="616" spans="26:33" x14ac:dyDescent="0.35">
      <c r="Z616" s="344">
        <v>2713</v>
      </c>
      <c r="AA616" s="344" t="s">
        <v>539</v>
      </c>
      <c r="AB616" s="344">
        <v>4</v>
      </c>
      <c r="AC616" s="344" t="s">
        <v>464</v>
      </c>
      <c r="AD616" s="1058" t="s">
        <v>569</v>
      </c>
      <c r="AE616" s="1059">
        <v>169557</v>
      </c>
      <c r="AF616" s="889" t="s">
        <v>459</v>
      </c>
      <c r="AG616" s="889" t="s">
        <v>459</v>
      </c>
    </row>
    <row r="617" spans="26:33" x14ac:dyDescent="0.35">
      <c r="Z617" s="344">
        <v>2714</v>
      </c>
      <c r="AA617" s="344" t="s">
        <v>539</v>
      </c>
      <c r="AB617" s="344">
        <v>4</v>
      </c>
      <c r="AC617" s="344" t="s">
        <v>464</v>
      </c>
      <c r="AD617" s="1058" t="s">
        <v>569</v>
      </c>
      <c r="AE617" s="1059">
        <v>257331</v>
      </c>
      <c r="AF617" s="889" t="s">
        <v>459</v>
      </c>
      <c r="AG617" s="889" t="s">
        <v>459</v>
      </c>
    </row>
    <row r="618" spans="26:33" x14ac:dyDescent="0.35">
      <c r="Z618" s="344">
        <v>2715</v>
      </c>
      <c r="AA618" s="344" t="s">
        <v>539</v>
      </c>
      <c r="AB618" s="344">
        <v>4</v>
      </c>
      <c r="AC618" s="344" t="s">
        <v>464</v>
      </c>
      <c r="AD618" s="1058" t="s">
        <v>569</v>
      </c>
      <c r="AE618" s="1059">
        <v>168464</v>
      </c>
      <c r="AF618" s="889" t="s">
        <v>459</v>
      </c>
      <c r="AG618" s="889" t="s">
        <v>459</v>
      </c>
    </row>
    <row r="619" spans="26:33" x14ac:dyDescent="0.35">
      <c r="Z619" s="344">
        <v>2716</v>
      </c>
      <c r="AA619" s="344" t="s">
        <v>539</v>
      </c>
      <c r="AB619" s="344">
        <v>4</v>
      </c>
      <c r="AC619" s="344" t="s">
        <v>464</v>
      </c>
      <c r="AD619" s="1058" t="s">
        <v>569</v>
      </c>
      <c r="AE619" s="1059">
        <v>152052</v>
      </c>
      <c r="AF619" s="889" t="s">
        <v>459</v>
      </c>
      <c r="AG619" s="889" t="s">
        <v>459</v>
      </c>
    </row>
    <row r="620" spans="26:33" x14ac:dyDescent="0.35">
      <c r="Z620" s="344">
        <v>2717</v>
      </c>
      <c r="AA620" s="344" t="s">
        <v>539</v>
      </c>
      <c r="AB620" s="344">
        <v>4</v>
      </c>
      <c r="AC620" s="344" t="s">
        <v>464</v>
      </c>
      <c r="AD620" s="1058" t="s">
        <v>569</v>
      </c>
      <c r="AE620" s="1059">
        <v>112726</v>
      </c>
      <c r="AF620" s="889" t="s">
        <v>459</v>
      </c>
      <c r="AG620" s="889" t="s">
        <v>459</v>
      </c>
    </row>
    <row r="621" spans="26:33" x14ac:dyDescent="0.35">
      <c r="Z621" s="344">
        <v>2720</v>
      </c>
      <c r="AA621" s="344" t="s">
        <v>539</v>
      </c>
      <c r="AB621" s="344">
        <v>3</v>
      </c>
      <c r="AC621" s="344" t="s">
        <v>464</v>
      </c>
      <c r="AD621" s="1058" t="s">
        <v>571</v>
      </c>
      <c r="AE621" s="1059">
        <v>218913</v>
      </c>
      <c r="AF621" s="889" t="s">
        <v>459</v>
      </c>
      <c r="AG621" s="889" t="s">
        <v>459</v>
      </c>
    </row>
    <row r="622" spans="26:33" x14ac:dyDescent="0.35">
      <c r="Z622" s="344">
        <v>2721</v>
      </c>
      <c r="AA622" s="344" t="s">
        <v>539</v>
      </c>
      <c r="AB622" s="344">
        <v>4</v>
      </c>
      <c r="AC622" s="344" t="s">
        <v>464</v>
      </c>
      <c r="AD622" s="1058" t="s">
        <v>569</v>
      </c>
      <c r="AE622" s="1059">
        <v>92845</v>
      </c>
      <c r="AF622" s="889" t="s">
        <v>459</v>
      </c>
      <c r="AG622" s="889" t="s">
        <v>459</v>
      </c>
    </row>
    <row r="623" spans="26:33" x14ac:dyDescent="0.35">
      <c r="Z623" s="344">
        <v>2722</v>
      </c>
      <c r="AA623" s="344" t="s">
        <v>539</v>
      </c>
      <c r="AB623" s="344">
        <v>4</v>
      </c>
      <c r="AC623" s="344" t="s">
        <v>464</v>
      </c>
      <c r="AD623" s="1058" t="s">
        <v>569</v>
      </c>
      <c r="AE623" s="1059">
        <v>216893</v>
      </c>
      <c r="AF623" s="889" t="s">
        <v>459</v>
      </c>
      <c r="AG623" s="889" t="s">
        <v>459</v>
      </c>
    </row>
    <row r="624" spans="26:33" x14ac:dyDescent="0.35">
      <c r="Z624" s="344">
        <v>2725</v>
      </c>
      <c r="AA624" s="344" t="s">
        <v>539</v>
      </c>
      <c r="AB624" s="344">
        <v>4</v>
      </c>
      <c r="AC624" s="344" t="s">
        <v>464</v>
      </c>
      <c r="AD624" s="1058" t="s">
        <v>569</v>
      </c>
      <c r="AE624" s="1059">
        <v>163432</v>
      </c>
      <c r="AF624" s="889" t="s">
        <v>459</v>
      </c>
      <c r="AG624" s="889" t="s">
        <v>459</v>
      </c>
    </row>
    <row r="625" spans="26:33" x14ac:dyDescent="0.35">
      <c r="Z625" s="344">
        <v>2726</v>
      </c>
      <c r="AA625" s="344" t="s">
        <v>539</v>
      </c>
      <c r="AB625" s="344">
        <v>4</v>
      </c>
      <c r="AC625" s="344" t="e">
        <v>#N/A</v>
      </c>
      <c r="AD625" s="1058" t="s">
        <v>569</v>
      </c>
      <c r="AE625" s="1059" t="e">
        <v>#N/A</v>
      </c>
      <c r="AF625" s="889" t="s">
        <v>459</v>
      </c>
      <c r="AG625" s="889" t="s">
        <v>459</v>
      </c>
    </row>
    <row r="626" spans="26:33" x14ac:dyDescent="0.35">
      <c r="Z626" s="344">
        <v>2727</v>
      </c>
      <c r="AA626" s="344" t="s">
        <v>539</v>
      </c>
      <c r="AB626" s="344">
        <v>4</v>
      </c>
      <c r="AC626" s="344" t="e">
        <v>#N/A</v>
      </c>
      <c r="AD626" s="1058" t="s">
        <v>569</v>
      </c>
      <c r="AE626" s="1059" t="e">
        <v>#N/A</v>
      </c>
      <c r="AF626" s="889" t="s">
        <v>459</v>
      </c>
      <c r="AG626" s="889" t="s">
        <v>459</v>
      </c>
    </row>
    <row r="627" spans="26:33" x14ac:dyDescent="0.35">
      <c r="Z627" s="344">
        <v>2729</v>
      </c>
      <c r="AA627" s="344" t="s">
        <v>539</v>
      </c>
      <c r="AB627" s="344">
        <v>4</v>
      </c>
      <c r="AC627" s="344" t="s">
        <v>464</v>
      </c>
      <c r="AD627" s="1058" t="s">
        <v>569</v>
      </c>
      <c r="AE627" s="1059">
        <v>196001</v>
      </c>
      <c r="AF627" s="889" t="s">
        <v>459</v>
      </c>
      <c r="AG627" s="889" t="s">
        <v>459</v>
      </c>
    </row>
    <row r="628" spans="26:33" x14ac:dyDescent="0.35">
      <c r="Z628" s="344">
        <v>2730</v>
      </c>
      <c r="AA628" s="344" t="s">
        <v>539</v>
      </c>
      <c r="AB628" s="344">
        <v>4</v>
      </c>
      <c r="AC628" s="344" t="s">
        <v>464</v>
      </c>
      <c r="AD628" s="1058" t="s">
        <v>569</v>
      </c>
      <c r="AE628" s="1059">
        <v>149241</v>
      </c>
      <c r="AF628" s="889" t="s">
        <v>459</v>
      </c>
      <c r="AG628" s="889" t="s">
        <v>459</v>
      </c>
    </row>
    <row r="629" spans="26:33" x14ac:dyDescent="0.35">
      <c r="Z629" s="344">
        <v>2731</v>
      </c>
      <c r="AA629" s="344" t="s">
        <v>539</v>
      </c>
      <c r="AB629" s="344">
        <v>1</v>
      </c>
      <c r="AC629" s="344" t="s">
        <v>471</v>
      </c>
      <c r="AD629" s="1058" t="s">
        <v>540</v>
      </c>
      <c r="AE629" s="1059">
        <v>320451</v>
      </c>
      <c r="AF629" s="889" t="s">
        <v>459</v>
      </c>
      <c r="AG629" s="889" t="s">
        <v>459</v>
      </c>
    </row>
    <row r="630" spans="26:33" x14ac:dyDescent="0.35">
      <c r="Z630" s="344">
        <v>2732</v>
      </c>
      <c r="AA630" s="344" t="s">
        <v>539</v>
      </c>
      <c r="AB630" s="344">
        <v>4</v>
      </c>
      <c r="AC630" s="344" t="s">
        <v>464</v>
      </c>
      <c r="AD630" s="1058" t="s">
        <v>569</v>
      </c>
      <c r="AE630" s="1059">
        <v>221484</v>
      </c>
      <c r="AF630" s="889" t="s">
        <v>459</v>
      </c>
      <c r="AG630" s="889" t="s">
        <v>459</v>
      </c>
    </row>
    <row r="631" spans="26:33" x14ac:dyDescent="0.35">
      <c r="Z631" s="344">
        <v>2733</v>
      </c>
      <c r="AA631" s="344" t="s">
        <v>539</v>
      </c>
      <c r="AB631" s="344">
        <v>4</v>
      </c>
      <c r="AC631" s="344" t="s">
        <v>464</v>
      </c>
      <c r="AD631" s="1058" t="s">
        <v>569</v>
      </c>
      <c r="AE631" s="1059">
        <v>115426</v>
      </c>
      <c r="AF631" s="889" t="s">
        <v>459</v>
      </c>
      <c r="AG631" s="889" t="s">
        <v>459</v>
      </c>
    </row>
    <row r="632" spans="26:33" x14ac:dyDescent="0.35">
      <c r="Z632" s="344">
        <v>2734</v>
      </c>
      <c r="AA632" s="344" t="s">
        <v>539</v>
      </c>
      <c r="AB632" s="344">
        <v>4</v>
      </c>
      <c r="AC632" s="344" t="s">
        <v>471</v>
      </c>
      <c r="AD632" s="1058" t="s">
        <v>569</v>
      </c>
      <c r="AE632" s="1059">
        <v>410547</v>
      </c>
      <c r="AF632" s="889" t="s">
        <v>459</v>
      </c>
      <c r="AG632" s="889" t="s">
        <v>459</v>
      </c>
    </row>
    <row r="633" spans="26:33" x14ac:dyDescent="0.35">
      <c r="Z633" s="344">
        <v>2735</v>
      </c>
      <c r="AA633" s="344" t="s">
        <v>539</v>
      </c>
      <c r="AB633" s="344">
        <v>4</v>
      </c>
      <c r="AC633" s="344" t="e">
        <v>#N/A</v>
      </c>
      <c r="AD633" s="1058" t="s">
        <v>569</v>
      </c>
      <c r="AE633" s="1059" t="e">
        <v>#N/A</v>
      </c>
      <c r="AF633" s="889" t="s">
        <v>459</v>
      </c>
      <c r="AG633" s="889" t="s">
        <v>459</v>
      </c>
    </row>
    <row r="634" spans="26:33" x14ac:dyDescent="0.35">
      <c r="Z634" s="344">
        <v>2736</v>
      </c>
      <c r="AA634" s="344" t="s">
        <v>539</v>
      </c>
      <c r="AB634" s="344">
        <v>4</v>
      </c>
      <c r="AC634" s="344" t="s">
        <v>464</v>
      </c>
      <c r="AD634" s="1058" t="s">
        <v>569</v>
      </c>
      <c r="AE634" s="1059">
        <v>154956</v>
      </c>
      <c r="AF634" s="889" t="s">
        <v>459</v>
      </c>
      <c r="AG634" s="889" t="s">
        <v>459</v>
      </c>
    </row>
    <row r="635" spans="26:33" x14ac:dyDescent="0.35">
      <c r="Z635" s="344">
        <v>2737</v>
      </c>
      <c r="AA635" s="344" t="s">
        <v>539</v>
      </c>
      <c r="AB635" s="344">
        <v>4</v>
      </c>
      <c r="AC635" s="344" t="s">
        <v>464</v>
      </c>
      <c r="AD635" s="1058" t="s">
        <v>569</v>
      </c>
      <c r="AE635" s="1059">
        <v>173795</v>
      </c>
      <c r="AF635" s="889" t="s">
        <v>459</v>
      </c>
      <c r="AG635" s="889" t="s">
        <v>459</v>
      </c>
    </row>
    <row r="636" spans="26:33" x14ac:dyDescent="0.35">
      <c r="Z636" s="344">
        <v>2738</v>
      </c>
      <c r="AA636" s="344" t="s">
        <v>539</v>
      </c>
      <c r="AB636" s="344">
        <v>3</v>
      </c>
      <c r="AC636" s="344" t="s">
        <v>471</v>
      </c>
      <c r="AD636" s="1058" t="s">
        <v>571</v>
      </c>
      <c r="AE636" s="1059">
        <v>304461</v>
      </c>
      <c r="AF636" s="889" t="s">
        <v>459</v>
      </c>
      <c r="AG636" s="889" t="s">
        <v>459</v>
      </c>
    </row>
    <row r="637" spans="26:33" x14ac:dyDescent="0.35">
      <c r="Z637" s="344">
        <v>2739</v>
      </c>
      <c r="AA637" s="344" t="s">
        <v>539</v>
      </c>
      <c r="AB637" s="344">
        <v>3</v>
      </c>
      <c r="AC637" s="344" t="s">
        <v>464</v>
      </c>
      <c r="AD637" s="1058" t="s">
        <v>571</v>
      </c>
      <c r="AE637" s="1059">
        <v>222064</v>
      </c>
      <c r="AF637" s="889" t="s">
        <v>459</v>
      </c>
      <c r="AG637" s="889" t="s">
        <v>459</v>
      </c>
    </row>
    <row r="638" spans="26:33" x14ac:dyDescent="0.35">
      <c r="Z638" s="344">
        <v>2745</v>
      </c>
      <c r="AA638" s="344" t="s">
        <v>539</v>
      </c>
      <c r="AB638" s="344">
        <v>1</v>
      </c>
      <c r="AC638" s="344" t="s">
        <v>457</v>
      </c>
      <c r="AD638" s="1058" t="s">
        <v>540</v>
      </c>
      <c r="AE638" s="1059">
        <v>597118</v>
      </c>
      <c r="AF638" s="889" t="s">
        <v>459</v>
      </c>
      <c r="AG638" s="889" t="s">
        <v>459</v>
      </c>
    </row>
    <row r="639" spans="26:33" x14ac:dyDescent="0.35">
      <c r="Z639" s="344">
        <v>2746</v>
      </c>
      <c r="AA639" s="344" t="s">
        <v>539</v>
      </c>
      <c r="AB639" s="344">
        <v>1</v>
      </c>
      <c r="AC639" s="344" t="e">
        <v>#N/A</v>
      </c>
      <c r="AD639" s="1058" t="s">
        <v>540</v>
      </c>
      <c r="AE639" s="1059" t="e">
        <v>#N/A</v>
      </c>
      <c r="AF639" s="889" t="s">
        <v>459</v>
      </c>
      <c r="AG639" s="889" t="s">
        <v>459</v>
      </c>
    </row>
    <row r="640" spans="26:33" x14ac:dyDescent="0.35">
      <c r="Z640" s="344">
        <v>2747</v>
      </c>
      <c r="AA640" s="344" t="s">
        <v>539</v>
      </c>
      <c r="AB640" s="344">
        <v>1</v>
      </c>
      <c r="AC640" s="344" t="s">
        <v>457</v>
      </c>
      <c r="AD640" s="1058" t="s">
        <v>540</v>
      </c>
      <c r="AE640" s="1059">
        <v>528456</v>
      </c>
      <c r="AF640" s="889" t="s">
        <v>459</v>
      </c>
      <c r="AG640" s="889" t="s">
        <v>459</v>
      </c>
    </row>
    <row r="641" spans="26:33" x14ac:dyDescent="0.35">
      <c r="Z641" s="344">
        <v>2748</v>
      </c>
      <c r="AA641" s="344" t="s">
        <v>539</v>
      </c>
      <c r="AB641" s="344">
        <v>1</v>
      </c>
      <c r="AC641" s="344" t="s">
        <v>482</v>
      </c>
      <c r="AD641" s="1058" t="s">
        <v>540</v>
      </c>
      <c r="AE641" s="1059">
        <v>1241260</v>
      </c>
      <c r="AF641" s="889" t="s">
        <v>459</v>
      </c>
      <c r="AG641" s="889" t="s">
        <v>459</v>
      </c>
    </row>
    <row r="642" spans="26:33" x14ac:dyDescent="0.35">
      <c r="Z642" s="344">
        <v>2749</v>
      </c>
      <c r="AA642" s="344" t="s">
        <v>539</v>
      </c>
      <c r="AB642" s="344">
        <v>1</v>
      </c>
      <c r="AC642" s="344" t="s">
        <v>479</v>
      </c>
      <c r="AD642" s="1058" t="s">
        <v>540</v>
      </c>
      <c r="AE642" s="1059">
        <v>809468</v>
      </c>
      <c r="AF642" s="889" t="s">
        <v>459</v>
      </c>
      <c r="AG642" s="889" t="s">
        <v>459</v>
      </c>
    </row>
    <row r="643" spans="26:33" x14ac:dyDescent="0.35">
      <c r="Z643" s="344">
        <v>2750</v>
      </c>
      <c r="AA643" s="344" t="s">
        <v>539</v>
      </c>
      <c r="AB643" s="344">
        <v>1</v>
      </c>
      <c r="AC643" s="344" t="s">
        <v>457</v>
      </c>
      <c r="AD643" s="1058" t="s">
        <v>540</v>
      </c>
      <c r="AE643" s="1059">
        <v>539818</v>
      </c>
      <c r="AF643" s="889" t="s">
        <v>459</v>
      </c>
      <c r="AG643" s="889" t="s">
        <v>459</v>
      </c>
    </row>
    <row r="644" spans="26:33" x14ac:dyDescent="0.35">
      <c r="Z644" s="344">
        <v>2751</v>
      </c>
      <c r="AA644" s="344" t="s">
        <v>539</v>
      </c>
      <c r="AB644" s="344">
        <v>1</v>
      </c>
      <c r="AC644" s="344" t="e">
        <v>#N/A</v>
      </c>
      <c r="AD644" s="1058" t="s">
        <v>540</v>
      </c>
      <c r="AE644" s="1059" t="e">
        <v>#N/A</v>
      </c>
      <c r="AF644" s="889" t="s">
        <v>459</v>
      </c>
      <c r="AG644" s="889" t="s">
        <v>459</v>
      </c>
    </row>
    <row r="645" spans="26:33" x14ac:dyDescent="0.35">
      <c r="Z645" s="344">
        <v>2752</v>
      </c>
      <c r="AA645" s="344" t="s">
        <v>539</v>
      </c>
      <c r="AB645" s="344">
        <v>1</v>
      </c>
      <c r="AC645" s="344" t="s">
        <v>457</v>
      </c>
      <c r="AD645" s="1058" t="s">
        <v>540</v>
      </c>
      <c r="AE645" s="1059">
        <v>450790</v>
      </c>
      <c r="AF645" s="889" t="s">
        <v>459</v>
      </c>
      <c r="AG645" s="889" t="s">
        <v>459</v>
      </c>
    </row>
    <row r="646" spans="26:33" x14ac:dyDescent="0.35">
      <c r="Z646" s="344">
        <v>2753</v>
      </c>
      <c r="AA646" s="344" t="s">
        <v>539</v>
      </c>
      <c r="AB646" s="344">
        <v>1</v>
      </c>
      <c r="AC646" s="344" t="s">
        <v>457</v>
      </c>
      <c r="AD646" s="1058" t="s">
        <v>540</v>
      </c>
      <c r="AE646" s="1059">
        <v>648411</v>
      </c>
      <c r="AF646" s="889" t="s">
        <v>459</v>
      </c>
      <c r="AG646" s="889" t="s">
        <v>459</v>
      </c>
    </row>
    <row r="647" spans="26:33" x14ac:dyDescent="0.35">
      <c r="Z647" s="344">
        <v>2754</v>
      </c>
      <c r="AA647" s="344" t="s">
        <v>539</v>
      </c>
      <c r="AB647" s="344">
        <v>1</v>
      </c>
      <c r="AC647" s="344" t="s">
        <v>457</v>
      </c>
      <c r="AD647" s="1058" t="s">
        <v>540</v>
      </c>
      <c r="AE647" s="1059">
        <v>515137</v>
      </c>
      <c r="AF647" s="889" t="s">
        <v>459</v>
      </c>
      <c r="AG647" s="889" t="s">
        <v>459</v>
      </c>
    </row>
    <row r="648" spans="26:33" x14ac:dyDescent="0.35">
      <c r="Z648" s="344">
        <v>2755</v>
      </c>
      <c r="AA648" s="344" t="s">
        <v>539</v>
      </c>
      <c r="AB648" s="344">
        <v>1</v>
      </c>
      <c r="AC648" s="344" t="e">
        <v>#N/A</v>
      </c>
      <c r="AD648" s="1058" t="s">
        <v>540</v>
      </c>
      <c r="AE648" s="1059" t="e">
        <v>#N/A</v>
      </c>
      <c r="AF648" s="889" t="s">
        <v>459</v>
      </c>
      <c r="AG648" s="889" t="s">
        <v>459</v>
      </c>
    </row>
    <row r="649" spans="26:33" x14ac:dyDescent="0.35">
      <c r="Z649" s="344">
        <v>2756</v>
      </c>
      <c r="AA649" s="344" t="s">
        <v>539</v>
      </c>
      <c r="AB649" s="344">
        <v>1</v>
      </c>
      <c r="AC649" s="344" t="s">
        <v>457</v>
      </c>
      <c r="AD649" s="1058" t="s">
        <v>540</v>
      </c>
      <c r="AE649" s="1059">
        <v>676465</v>
      </c>
      <c r="AF649" s="889" t="s">
        <v>269</v>
      </c>
      <c r="AG649" s="889" t="s">
        <v>459</v>
      </c>
    </row>
    <row r="650" spans="26:33" x14ac:dyDescent="0.35">
      <c r="Z650" s="344">
        <v>2757</v>
      </c>
      <c r="AA650" s="344" t="s">
        <v>539</v>
      </c>
      <c r="AB650" s="344">
        <v>1</v>
      </c>
      <c r="AC650" s="344" t="s">
        <v>457</v>
      </c>
      <c r="AD650" s="1058" t="s">
        <v>540</v>
      </c>
      <c r="AE650" s="1059">
        <v>658165</v>
      </c>
      <c r="AF650" s="889" t="s">
        <v>459</v>
      </c>
      <c r="AG650" s="889" t="s">
        <v>459</v>
      </c>
    </row>
    <row r="651" spans="26:33" x14ac:dyDescent="0.35">
      <c r="Z651" s="344">
        <v>2758</v>
      </c>
      <c r="AA651" s="344" t="s">
        <v>539</v>
      </c>
      <c r="AB651" s="344">
        <v>1</v>
      </c>
      <c r="AC651" s="344" t="s">
        <v>457</v>
      </c>
      <c r="AD651" s="1058" t="s">
        <v>540</v>
      </c>
      <c r="AE651" s="1059">
        <v>728567</v>
      </c>
      <c r="AF651" s="889" t="s">
        <v>269</v>
      </c>
      <c r="AG651" s="889" t="s">
        <v>459</v>
      </c>
    </row>
    <row r="652" spans="26:33" x14ac:dyDescent="0.35">
      <c r="Z652" s="344">
        <v>2759</v>
      </c>
      <c r="AA652" s="344" t="s">
        <v>539</v>
      </c>
      <c r="AB652" s="344">
        <v>1</v>
      </c>
      <c r="AC652" s="344" t="s">
        <v>457</v>
      </c>
      <c r="AD652" s="1058" t="s">
        <v>540</v>
      </c>
      <c r="AE652" s="1059">
        <v>513535</v>
      </c>
      <c r="AF652" s="889" t="s">
        <v>459</v>
      </c>
      <c r="AG652" s="889" t="s">
        <v>459</v>
      </c>
    </row>
    <row r="653" spans="26:33" x14ac:dyDescent="0.35">
      <c r="Z653" s="344">
        <v>2760</v>
      </c>
      <c r="AA653" s="344" t="s">
        <v>539</v>
      </c>
      <c r="AB653" s="344">
        <v>1</v>
      </c>
      <c r="AC653" s="344" t="s">
        <v>471</v>
      </c>
      <c r="AD653" s="1058" t="s">
        <v>540</v>
      </c>
      <c r="AE653" s="1059">
        <v>447491</v>
      </c>
      <c r="AF653" s="889" t="s">
        <v>459</v>
      </c>
      <c r="AG653" s="889" t="s">
        <v>459</v>
      </c>
    </row>
    <row r="654" spans="26:33" x14ac:dyDescent="0.35">
      <c r="Z654" s="344">
        <v>2761</v>
      </c>
      <c r="AA654" s="344" t="s">
        <v>539</v>
      </c>
      <c r="AB654" s="344">
        <v>1</v>
      </c>
      <c r="AC654" s="344" t="s">
        <v>457</v>
      </c>
      <c r="AD654" s="1058" t="s">
        <v>540</v>
      </c>
      <c r="AE654" s="1059">
        <v>465174</v>
      </c>
      <c r="AF654" s="889" t="s">
        <v>459</v>
      </c>
      <c r="AG654" s="889" t="s">
        <v>459</v>
      </c>
    </row>
    <row r="655" spans="26:33" x14ac:dyDescent="0.35">
      <c r="Z655" s="344">
        <v>2762</v>
      </c>
      <c r="AA655" s="344" t="s">
        <v>539</v>
      </c>
      <c r="AB655" s="344">
        <v>1</v>
      </c>
      <c r="AC655" s="344" t="s">
        <v>457</v>
      </c>
      <c r="AD655" s="1058" t="s">
        <v>540</v>
      </c>
      <c r="AE655" s="1059">
        <v>580187</v>
      </c>
      <c r="AF655" s="889" t="s">
        <v>459</v>
      </c>
      <c r="AG655" s="889" t="s">
        <v>459</v>
      </c>
    </row>
    <row r="656" spans="26:33" x14ac:dyDescent="0.35">
      <c r="Z656" s="344">
        <v>2763</v>
      </c>
      <c r="AA656" s="344" t="s">
        <v>539</v>
      </c>
      <c r="AB656" s="344">
        <v>1</v>
      </c>
      <c r="AC656" s="344" t="s">
        <v>457</v>
      </c>
      <c r="AD656" s="1058" t="s">
        <v>540</v>
      </c>
      <c r="AE656" s="1059">
        <v>633855</v>
      </c>
      <c r="AF656" s="889" t="s">
        <v>459</v>
      </c>
      <c r="AG656" s="889" t="s">
        <v>459</v>
      </c>
    </row>
    <row r="657" spans="26:33" x14ac:dyDescent="0.35">
      <c r="Z657" s="344">
        <v>2764</v>
      </c>
      <c r="AA657" s="344" t="s">
        <v>539</v>
      </c>
      <c r="AB657" s="344">
        <v>1</v>
      </c>
      <c r="AC657" s="344" t="e">
        <v>#N/A</v>
      </c>
      <c r="AD657" s="1058" t="s">
        <v>540</v>
      </c>
      <c r="AE657" s="1059" t="e">
        <v>#N/A</v>
      </c>
      <c r="AF657" s="889" t="s">
        <v>459</v>
      </c>
      <c r="AG657" s="889" t="s">
        <v>459</v>
      </c>
    </row>
    <row r="658" spans="26:33" x14ac:dyDescent="0.35">
      <c r="Z658" s="344">
        <v>2765</v>
      </c>
      <c r="AA658" s="344" t="s">
        <v>539</v>
      </c>
      <c r="AB658" s="344">
        <v>1</v>
      </c>
      <c r="AC658" s="344" t="s">
        <v>482</v>
      </c>
      <c r="AD658" s="1058" t="s">
        <v>540</v>
      </c>
      <c r="AE658" s="1059">
        <v>1076915</v>
      </c>
      <c r="AF658" s="889" t="s">
        <v>459</v>
      </c>
      <c r="AG658" s="889" t="s">
        <v>459</v>
      </c>
    </row>
    <row r="659" spans="26:33" x14ac:dyDescent="0.35">
      <c r="Z659" s="344">
        <v>2766</v>
      </c>
      <c r="AA659" s="344" t="s">
        <v>539</v>
      </c>
      <c r="AB659" s="344">
        <v>1</v>
      </c>
      <c r="AC659" s="344" t="s">
        <v>457</v>
      </c>
      <c r="AD659" s="1058" t="s">
        <v>540</v>
      </c>
      <c r="AE659" s="1059">
        <v>488378</v>
      </c>
      <c r="AF659" s="889" t="s">
        <v>459</v>
      </c>
      <c r="AG659" s="889" t="s">
        <v>459</v>
      </c>
    </row>
    <row r="660" spans="26:33" x14ac:dyDescent="0.35">
      <c r="Z660" s="344">
        <v>2767</v>
      </c>
      <c r="AA660" s="344" t="s">
        <v>539</v>
      </c>
      <c r="AB660" s="344">
        <v>1</v>
      </c>
      <c r="AC660" s="344" t="s">
        <v>457</v>
      </c>
      <c r="AD660" s="1058" t="s">
        <v>540</v>
      </c>
      <c r="AE660" s="1059">
        <v>524526</v>
      </c>
      <c r="AF660" s="889" t="s">
        <v>459</v>
      </c>
      <c r="AG660" s="889" t="s">
        <v>459</v>
      </c>
    </row>
    <row r="661" spans="26:33" x14ac:dyDescent="0.35">
      <c r="Z661" s="344">
        <v>2768</v>
      </c>
      <c r="AA661" s="344" t="s">
        <v>539</v>
      </c>
      <c r="AB661" s="344">
        <v>1</v>
      </c>
      <c r="AC661" s="344" t="s">
        <v>479</v>
      </c>
      <c r="AD661" s="1058" t="s">
        <v>540</v>
      </c>
      <c r="AE661" s="1059">
        <v>762059</v>
      </c>
      <c r="AF661" s="889" t="s">
        <v>459</v>
      </c>
      <c r="AG661" s="889" t="s">
        <v>459</v>
      </c>
    </row>
    <row r="662" spans="26:33" x14ac:dyDescent="0.35">
      <c r="Z662" s="344">
        <v>2769</v>
      </c>
      <c r="AA662" s="344" t="s">
        <v>539</v>
      </c>
      <c r="AB662" s="344">
        <v>1</v>
      </c>
      <c r="AC662" s="344" t="s">
        <v>479</v>
      </c>
      <c r="AD662" s="1058" t="s">
        <v>540</v>
      </c>
      <c r="AE662" s="1059">
        <v>790210</v>
      </c>
      <c r="AF662" s="889" t="s">
        <v>459</v>
      </c>
      <c r="AG662" s="889" t="s">
        <v>459</v>
      </c>
    </row>
    <row r="663" spans="26:33" x14ac:dyDescent="0.35">
      <c r="Z663" s="344">
        <v>2770</v>
      </c>
      <c r="AA663" s="344" t="s">
        <v>539</v>
      </c>
      <c r="AB663" s="344">
        <v>1</v>
      </c>
      <c r="AC663" s="344" t="s">
        <v>471</v>
      </c>
      <c r="AD663" s="1058" t="s">
        <v>540</v>
      </c>
      <c r="AE663" s="1059">
        <v>390059</v>
      </c>
      <c r="AF663" s="889" t="s">
        <v>459</v>
      </c>
      <c r="AG663" s="889" t="s">
        <v>459</v>
      </c>
    </row>
    <row r="664" spans="26:33" x14ac:dyDescent="0.35">
      <c r="Z664" s="344">
        <v>2771</v>
      </c>
      <c r="AA664" s="344" t="s">
        <v>539</v>
      </c>
      <c r="AB664" s="344">
        <v>1</v>
      </c>
      <c r="AC664" s="344" t="e">
        <v>#N/A</v>
      </c>
      <c r="AD664" s="1058" t="s">
        <v>540</v>
      </c>
      <c r="AE664" s="1059" t="e">
        <v>#N/A</v>
      </c>
      <c r="AF664" s="889" t="s">
        <v>459</v>
      </c>
      <c r="AG664" s="889" t="s">
        <v>459</v>
      </c>
    </row>
    <row r="665" spans="26:33" x14ac:dyDescent="0.35">
      <c r="Z665" s="344">
        <v>2772</v>
      </c>
      <c r="AA665" s="344" t="s">
        <v>539</v>
      </c>
      <c r="AB665" s="344">
        <v>1</v>
      </c>
      <c r="AC665" s="344" t="e">
        <v>#N/A</v>
      </c>
      <c r="AD665" s="1058" t="s">
        <v>540</v>
      </c>
      <c r="AE665" s="1059" t="e">
        <v>#N/A</v>
      </c>
      <c r="AF665" s="889" t="s">
        <v>459</v>
      </c>
      <c r="AG665" s="889" t="s">
        <v>459</v>
      </c>
    </row>
    <row r="666" spans="26:33" x14ac:dyDescent="0.35">
      <c r="Z666" s="344">
        <v>2773</v>
      </c>
      <c r="AA666" s="344" t="s">
        <v>539</v>
      </c>
      <c r="AB666" s="344">
        <v>1</v>
      </c>
      <c r="AC666" s="344" t="s">
        <v>457</v>
      </c>
      <c r="AD666" s="1058" t="s">
        <v>540</v>
      </c>
      <c r="AE666" s="1059">
        <v>637831</v>
      </c>
      <c r="AF666" s="889" t="s">
        <v>459</v>
      </c>
      <c r="AG666" s="889" t="s">
        <v>459</v>
      </c>
    </row>
    <row r="667" spans="26:33" x14ac:dyDescent="0.35">
      <c r="Z667" s="344">
        <v>2774</v>
      </c>
      <c r="AA667" s="344" t="s">
        <v>539</v>
      </c>
      <c r="AB667" s="344">
        <v>1</v>
      </c>
      <c r="AC667" s="344" t="s">
        <v>457</v>
      </c>
      <c r="AD667" s="1058" t="s">
        <v>540</v>
      </c>
      <c r="AE667" s="1059">
        <v>486917</v>
      </c>
      <c r="AF667" s="889" t="s">
        <v>459</v>
      </c>
      <c r="AG667" s="889" t="s">
        <v>459</v>
      </c>
    </row>
    <row r="668" spans="26:33" x14ac:dyDescent="0.35">
      <c r="Z668" s="344">
        <v>2775</v>
      </c>
      <c r="AA668" s="344" t="s">
        <v>539</v>
      </c>
      <c r="AB668" s="344">
        <v>4</v>
      </c>
      <c r="AC668" s="344" t="s">
        <v>471</v>
      </c>
      <c r="AD668" s="1058" t="s">
        <v>569</v>
      </c>
      <c r="AE668" s="1059">
        <v>365779</v>
      </c>
      <c r="AF668" s="889" t="s">
        <v>459</v>
      </c>
      <c r="AG668" s="889" t="s">
        <v>459</v>
      </c>
    </row>
    <row r="669" spans="26:33" x14ac:dyDescent="0.35">
      <c r="Z669" s="344">
        <v>2776</v>
      </c>
      <c r="AA669" s="344" t="s">
        <v>539</v>
      </c>
      <c r="AB669" s="344">
        <v>1</v>
      </c>
      <c r="AC669" s="344" t="s">
        <v>457</v>
      </c>
      <c r="AD669" s="1058" t="s">
        <v>540</v>
      </c>
      <c r="AE669" s="1059">
        <v>512434</v>
      </c>
      <c r="AF669" s="889" t="s">
        <v>459</v>
      </c>
      <c r="AG669" s="889" t="s">
        <v>459</v>
      </c>
    </row>
    <row r="670" spans="26:33" x14ac:dyDescent="0.35">
      <c r="Z670" s="344">
        <v>2777</v>
      </c>
      <c r="AA670" s="344" t="s">
        <v>539</v>
      </c>
      <c r="AB670" s="344">
        <v>1</v>
      </c>
      <c r="AC670" s="344" t="s">
        <v>457</v>
      </c>
      <c r="AD670" s="1058" t="s">
        <v>540</v>
      </c>
      <c r="AE670" s="1059">
        <v>457828</v>
      </c>
      <c r="AF670" s="889" t="s">
        <v>459</v>
      </c>
      <c r="AG670" s="889" t="s">
        <v>459</v>
      </c>
    </row>
    <row r="671" spans="26:33" x14ac:dyDescent="0.35">
      <c r="Z671" s="344">
        <v>2778</v>
      </c>
      <c r="AA671" s="344" t="s">
        <v>539</v>
      </c>
      <c r="AB671" s="344">
        <v>1</v>
      </c>
      <c r="AC671" s="344" t="s">
        <v>471</v>
      </c>
      <c r="AD671" s="1058" t="s">
        <v>540</v>
      </c>
      <c r="AE671" s="1059">
        <v>439845</v>
      </c>
      <c r="AF671" s="889" t="s">
        <v>459</v>
      </c>
      <c r="AG671" s="889" t="s">
        <v>459</v>
      </c>
    </row>
    <row r="672" spans="26:33" x14ac:dyDescent="0.35">
      <c r="Z672" s="344">
        <v>2779</v>
      </c>
      <c r="AA672" s="344" t="s">
        <v>539</v>
      </c>
      <c r="AB672" s="344">
        <v>1</v>
      </c>
      <c r="AC672" s="344" t="s">
        <v>471</v>
      </c>
      <c r="AD672" s="1058" t="s">
        <v>540</v>
      </c>
      <c r="AE672" s="1059">
        <v>389062</v>
      </c>
      <c r="AF672" s="889" t="s">
        <v>459</v>
      </c>
      <c r="AG672" s="889" t="s">
        <v>459</v>
      </c>
    </row>
    <row r="673" spans="26:33" x14ac:dyDescent="0.35">
      <c r="Z673" s="344">
        <v>2780</v>
      </c>
      <c r="AA673" s="344" t="s">
        <v>539</v>
      </c>
      <c r="AB673" s="344">
        <v>1</v>
      </c>
      <c r="AC673" s="344" t="s">
        <v>471</v>
      </c>
      <c r="AD673" s="1058" t="s">
        <v>540</v>
      </c>
      <c r="AE673" s="1059">
        <v>440996</v>
      </c>
      <c r="AF673" s="889" t="s">
        <v>459</v>
      </c>
      <c r="AG673" s="889" t="s">
        <v>459</v>
      </c>
    </row>
    <row r="674" spans="26:33" x14ac:dyDescent="0.35">
      <c r="Z674" s="344">
        <v>2781</v>
      </c>
      <c r="AA674" s="344" t="s">
        <v>539</v>
      </c>
      <c r="AB674" s="344">
        <v>1</v>
      </c>
      <c r="AC674" s="344" t="e">
        <v>#N/A</v>
      </c>
      <c r="AD674" s="1058" t="s">
        <v>540</v>
      </c>
      <c r="AE674" s="1059" t="e">
        <v>#N/A</v>
      </c>
      <c r="AF674" s="889" t="s">
        <v>459</v>
      </c>
      <c r="AG674" s="889" t="s">
        <v>459</v>
      </c>
    </row>
    <row r="675" spans="26:33" x14ac:dyDescent="0.35">
      <c r="Z675" s="344">
        <v>2782</v>
      </c>
      <c r="AA675" s="344" t="s">
        <v>539</v>
      </c>
      <c r="AB675" s="344">
        <v>1</v>
      </c>
      <c r="AC675" s="344" t="s">
        <v>457</v>
      </c>
      <c r="AD675" s="1058" t="s">
        <v>540</v>
      </c>
      <c r="AE675" s="1059">
        <v>488686</v>
      </c>
      <c r="AF675" s="889" t="s">
        <v>459</v>
      </c>
      <c r="AG675" s="889" t="s">
        <v>459</v>
      </c>
    </row>
    <row r="676" spans="26:33" x14ac:dyDescent="0.35">
      <c r="Z676" s="344">
        <v>2783</v>
      </c>
      <c r="AA676" s="344" t="s">
        <v>539</v>
      </c>
      <c r="AB676" s="344">
        <v>1</v>
      </c>
      <c r="AC676" s="344" t="s">
        <v>471</v>
      </c>
      <c r="AD676" s="1058" t="s">
        <v>540</v>
      </c>
      <c r="AE676" s="1059">
        <v>398598</v>
      </c>
      <c r="AF676" s="889" t="s">
        <v>459</v>
      </c>
      <c r="AG676" s="889" t="s">
        <v>459</v>
      </c>
    </row>
    <row r="677" spans="26:33" x14ac:dyDescent="0.35">
      <c r="Z677" s="344">
        <v>2784</v>
      </c>
      <c r="AA677" s="344" t="s">
        <v>539</v>
      </c>
      <c r="AB677" s="344">
        <v>1</v>
      </c>
      <c r="AC677" s="344" t="s">
        <v>471</v>
      </c>
      <c r="AD677" s="1058" t="s">
        <v>540</v>
      </c>
      <c r="AE677" s="1059">
        <v>370546</v>
      </c>
      <c r="AF677" s="889" t="s">
        <v>459</v>
      </c>
      <c r="AG677" s="889" t="s">
        <v>459</v>
      </c>
    </row>
    <row r="678" spans="26:33" x14ac:dyDescent="0.35">
      <c r="Z678" s="344">
        <v>2785</v>
      </c>
      <c r="AA678" s="344" t="s">
        <v>539</v>
      </c>
      <c r="AB678" s="344">
        <v>1</v>
      </c>
      <c r="AC678" s="344" t="s">
        <v>471</v>
      </c>
      <c r="AD678" s="1058" t="s">
        <v>540</v>
      </c>
      <c r="AE678" s="1059">
        <v>379244</v>
      </c>
      <c r="AF678" s="889" t="s">
        <v>459</v>
      </c>
      <c r="AG678" s="889" t="s">
        <v>459</v>
      </c>
    </row>
    <row r="679" spans="26:33" x14ac:dyDescent="0.35">
      <c r="Z679" s="344">
        <v>2786</v>
      </c>
      <c r="AA679" s="344" t="s">
        <v>539</v>
      </c>
      <c r="AB679" s="344">
        <v>1</v>
      </c>
      <c r="AC679" s="344" t="s">
        <v>471</v>
      </c>
      <c r="AD679" s="1058" t="s">
        <v>540</v>
      </c>
      <c r="AE679" s="1059">
        <v>376190</v>
      </c>
      <c r="AF679" s="889" t="s">
        <v>459</v>
      </c>
      <c r="AG679" s="889" t="s">
        <v>459</v>
      </c>
    </row>
    <row r="680" spans="26:33" x14ac:dyDescent="0.35">
      <c r="Z680" s="344">
        <v>2787</v>
      </c>
      <c r="AA680" s="344" t="s">
        <v>539</v>
      </c>
      <c r="AB680" s="344">
        <v>3</v>
      </c>
      <c r="AC680" s="344" t="s">
        <v>464</v>
      </c>
      <c r="AD680" s="1058" t="s">
        <v>571</v>
      </c>
      <c r="AE680" s="1059">
        <v>254827</v>
      </c>
      <c r="AF680" s="889" t="s">
        <v>459</v>
      </c>
      <c r="AG680" s="889" t="s">
        <v>459</v>
      </c>
    </row>
    <row r="681" spans="26:33" x14ac:dyDescent="0.35">
      <c r="Z681" s="344">
        <v>2790</v>
      </c>
      <c r="AA681" s="344" t="s">
        <v>539</v>
      </c>
      <c r="AB681" s="344">
        <v>3</v>
      </c>
      <c r="AC681" s="344" t="s">
        <v>464</v>
      </c>
      <c r="AD681" s="1058" t="s">
        <v>571</v>
      </c>
      <c r="AE681" s="1059">
        <v>280063</v>
      </c>
      <c r="AF681" s="889" t="s">
        <v>269</v>
      </c>
      <c r="AG681" s="889" t="s">
        <v>459</v>
      </c>
    </row>
    <row r="682" spans="26:33" x14ac:dyDescent="0.35">
      <c r="Z682" s="344">
        <v>2791</v>
      </c>
      <c r="AA682" s="344" t="s">
        <v>539</v>
      </c>
      <c r="AB682" s="344">
        <v>4</v>
      </c>
      <c r="AC682" s="344" t="s">
        <v>471</v>
      </c>
      <c r="AD682" s="1058" t="s">
        <v>569</v>
      </c>
      <c r="AE682" s="1059">
        <v>308672</v>
      </c>
      <c r="AF682" s="889" t="s">
        <v>459</v>
      </c>
      <c r="AG682" s="889" t="s">
        <v>459</v>
      </c>
    </row>
    <row r="683" spans="26:33" x14ac:dyDescent="0.35">
      <c r="Z683" s="344">
        <v>2792</v>
      </c>
      <c r="AA683" s="344" t="s">
        <v>539</v>
      </c>
      <c r="AB683" s="344">
        <v>4</v>
      </c>
      <c r="AC683" s="344" t="s">
        <v>464</v>
      </c>
      <c r="AD683" s="1058" t="s">
        <v>569</v>
      </c>
      <c r="AE683" s="1059">
        <v>167468</v>
      </c>
      <c r="AF683" s="889" t="s">
        <v>459</v>
      </c>
      <c r="AG683" s="889" t="s">
        <v>459</v>
      </c>
    </row>
    <row r="684" spans="26:33" x14ac:dyDescent="0.35">
      <c r="Z684" s="344">
        <v>2793</v>
      </c>
      <c r="AA684" s="344" t="s">
        <v>539</v>
      </c>
      <c r="AB684" s="344">
        <v>4</v>
      </c>
      <c r="AC684" s="344" t="s">
        <v>464</v>
      </c>
      <c r="AD684" s="1058" t="s">
        <v>569</v>
      </c>
      <c r="AE684" s="1059">
        <v>132477</v>
      </c>
      <c r="AF684" s="889" t="s">
        <v>459</v>
      </c>
      <c r="AG684" s="889" t="s">
        <v>459</v>
      </c>
    </row>
    <row r="685" spans="26:33" x14ac:dyDescent="0.35">
      <c r="Z685" s="344">
        <v>2794</v>
      </c>
      <c r="AA685" s="344" t="s">
        <v>539</v>
      </c>
      <c r="AB685" s="344">
        <v>3</v>
      </c>
      <c r="AC685" s="344" t="s">
        <v>464</v>
      </c>
      <c r="AD685" s="1058" t="s">
        <v>571</v>
      </c>
      <c r="AE685" s="1059">
        <v>192784</v>
      </c>
      <c r="AF685" s="889" t="s">
        <v>459</v>
      </c>
      <c r="AG685" s="889" t="s">
        <v>459</v>
      </c>
    </row>
    <row r="686" spans="26:33" x14ac:dyDescent="0.35">
      <c r="Z686" s="344">
        <v>2795</v>
      </c>
      <c r="AA686" s="344" t="s">
        <v>539</v>
      </c>
      <c r="AB686" s="344">
        <v>1</v>
      </c>
      <c r="AC686" s="344" t="s">
        <v>471</v>
      </c>
      <c r="AD686" s="1058" t="s">
        <v>540</v>
      </c>
      <c r="AE686" s="1059">
        <v>370379</v>
      </c>
      <c r="AF686" s="889" t="s">
        <v>459</v>
      </c>
      <c r="AG686" s="889" t="s">
        <v>459</v>
      </c>
    </row>
    <row r="687" spans="26:33" x14ac:dyDescent="0.35">
      <c r="Z687" s="344">
        <v>2797</v>
      </c>
      <c r="AA687" s="344" t="s">
        <v>539</v>
      </c>
      <c r="AB687" s="344">
        <v>4</v>
      </c>
      <c r="AC687" s="344" t="s">
        <v>464</v>
      </c>
      <c r="AD687" s="1058" t="s">
        <v>569</v>
      </c>
      <c r="AE687" s="1059">
        <v>164912</v>
      </c>
      <c r="AF687" s="889" t="s">
        <v>459</v>
      </c>
      <c r="AG687" s="889" t="s">
        <v>459</v>
      </c>
    </row>
    <row r="688" spans="26:33" x14ac:dyDescent="0.35">
      <c r="Z688" s="344">
        <v>2798</v>
      </c>
      <c r="AA688" s="344" t="s">
        <v>539</v>
      </c>
      <c r="AB688" s="344">
        <v>2</v>
      </c>
      <c r="AC688" s="344" t="s">
        <v>457</v>
      </c>
      <c r="AD688" s="1058" t="s">
        <v>570</v>
      </c>
      <c r="AE688" s="1059">
        <v>479611</v>
      </c>
      <c r="AF688" s="889" t="s">
        <v>459</v>
      </c>
      <c r="AG688" s="889" t="s">
        <v>459</v>
      </c>
    </row>
    <row r="689" spans="26:33" x14ac:dyDescent="0.35">
      <c r="Z689" s="344">
        <v>2799</v>
      </c>
      <c r="AA689" s="344" t="s">
        <v>539</v>
      </c>
      <c r="AB689" s="344">
        <v>4</v>
      </c>
      <c r="AC689" s="344" t="s">
        <v>464</v>
      </c>
      <c r="AD689" s="1058" t="s">
        <v>569</v>
      </c>
      <c r="AE689" s="1059">
        <v>228392</v>
      </c>
      <c r="AF689" s="889" t="s">
        <v>459</v>
      </c>
      <c r="AG689" s="889" t="s">
        <v>459</v>
      </c>
    </row>
    <row r="690" spans="26:33" x14ac:dyDescent="0.35">
      <c r="Z690" s="344">
        <v>2800</v>
      </c>
      <c r="AA690" s="344" t="s">
        <v>539</v>
      </c>
      <c r="AB690" s="344">
        <v>1</v>
      </c>
      <c r="AC690" s="344" t="s">
        <v>471</v>
      </c>
      <c r="AD690" s="1058" t="s">
        <v>540</v>
      </c>
      <c r="AE690" s="1059">
        <v>364794</v>
      </c>
      <c r="AF690" s="889" t="s">
        <v>459</v>
      </c>
      <c r="AG690" s="889" t="s">
        <v>459</v>
      </c>
    </row>
    <row r="691" spans="26:33" x14ac:dyDescent="0.35">
      <c r="Z691" s="344">
        <v>2803</v>
      </c>
      <c r="AA691" s="344" t="s">
        <v>539</v>
      </c>
      <c r="AB691" s="344">
        <v>4</v>
      </c>
      <c r="AC691" s="344" t="e">
        <v>#N/A</v>
      </c>
      <c r="AD691" s="1058" t="s">
        <v>569</v>
      </c>
      <c r="AE691" s="1059" t="e">
        <v>#N/A</v>
      </c>
      <c r="AF691" s="889" t="s">
        <v>459</v>
      </c>
      <c r="AG691" s="889" t="s">
        <v>459</v>
      </c>
    </row>
    <row r="692" spans="26:33" x14ac:dyDescent="0.35">
      <c r="Z692" s="344">
        <v>2804</v>
      </c>
      <c r="AA692" s="344" t="s">
        <v>539</v>
      </c>
      <c r="AB692" s="344">
        <v>4</v>
      </c>
      <c r="AC692" s="344" t="s">
        <v>464</v>
      </c>
      <c r="AD692" s="1058" t="s">
        <v>569</v>
      </c>
      <c r="AE692" s="1059">
        <v>203859</v>
      </c>
      <c r="AF692" s="889" t="s">
        <v>459</v>
      </c>
      <c r="AG692" s="889" t="s">
        <v>459</v>
      </c>
    </row>
    <row r="693" spans="26:33" x14ac:dyDescent="0.35">
      <c r="Z693" s="344">
        <v>2805</v>
      </c>
      <c r="AA693" s="344" t="s">
        <v>539</v>
      </c>
      <c r="AB693" s="344">
        <v>4</v>
      </c>
      <c r="AC693" s="344" t="s">
        <v>464</v>
      </c>
      <c r="AD693" s="1058" t="s">
        <v>569</v>
      </c>
      <c r="AE693" s="1059">
        <v>147294</v>
      </c>
      <c r="AF693" s="889" t="s">
        <v>459</v>
      </c>
      <c r="AG693" s="889" t="s">
        <v>459</v>
      </c>
    </row>
    <row r="694" spans="26:33" x14ac:dyDescent="0.35">
      <c r="Z694" s="344">
        <v>2806</v>
      </c>
      <c r="AA694" s="344" t="s">
        <v>539</v>
      </c>
      <c r="AB694" s="344">
        <v>4</v>
      </c>
      <c r="AC694" s="344" t="s">
        <v>464</v>
      </c>
      <c r="AD694" s="1058" t="s">
        <v>569</v>
      </c>
      <c r="AE694" s="1059">
        <v>162079</v>
      </c>
      <c r="AF694" s="889" t="s">
        <v>459</v>
      </c>
      <c r="AG694" s="889" t="s">
        <v>459</v>
      </c>
    </row>
    <row r="695" spans="26:33" x14ac:dyDescent="0.35">
      <c r="Z695" s="344">
        <v>2807</v>
      </c>
      <c r="AA695" s="344" t="s">
        <v>539</v>
      </c>
      <c r="AB695" s="344">
        <v>4</v>
      </c>
      <c r="AC695" s="344" t="e">
        <v>#N/A</v>
      </c>
      <c r="AD695" s="1058" t="s">
        <v>569</v>
      </c>
      <c r="AE695" s="1059" t="e">
        <v>#N/A</v>
      </c>
      <c r="AF695" s="889" t="s">
        <v>459</v>
      </c>
      <c r="AG695" s="889" t="s">
        <v>459</v>
      </c>
    </row>
    <row r="696" spans="26:33" x14ac:dyDescent="0.35">
      <c r="Z696" s="344">
        <v>2808</v>
      </c>
      <c r="AA696" s="344" t="s">
        <v>539</v>
      </c>
      <c r="AB696" s="344">
        <v>4</v>
      </c>
      <c r="AC696" s="344" t="e">
        <v>#N/A</v>
      </c>
      <c r="AD696" s="1058" t="s">
        <v>569</v>
      </c>
      <c r="AE696" s="1059" t="e">
        <v>#N/A</v>
      </c>
      <c r="AF696" s="889" t="s">
        <v>459</v>
      </c>
      <c r="AG696" s="889" t="s">
        <v>459</v>
      </c>
    </row>
    <row r="697" spans="26:33" x14ac:dyDescent="0.35">
      <c r="Z697" s="344">
        <v>2809</v>
      </c>
      <c r="AA697" s="344" t="s">
        <v>539</v>
      </c>
      <c r="AB697" s="344">
        <v>4</v>
      </c>
      <c r="AC697" s="344" t="s">
        <v>464</v>
      </c>
      <c r="AD697" s="1058" t="s">
        <v>569</v>
      </c>
      <c r="AE697" s="1059">
        <v>127601</v>
      </c>
      <c r="AF697" s="889" t="s">
        <v>459</v>
      </c>
      <c r="AG697" s="889" t="s">
        <v>459</v>
      </c>
    </row>
    <row r="698" spans="26:33" x14ac:dyDescent="0.35">
      <c r="Z698" s="344">
        <v>2810</v>
      </c>
      <c r="AA698" s="344" t="s">
        <v>539</v>
      </c>
      <c r="AB698" s="344">
        <v>4</v>
      </c>
      <c r="AC698" s="344" t="s">
        <v>464</v>
      </c>
      <c r="AD698" s="1058" t="s">
        <v>569</v>
      </c>
      <c r="AE698" s="1059">
        <v>176466</v>
      </c>
      <c r="AF698" s="889" t="s">
        <v>459</v>
      </c>
      <c r="AG698" s="889" t="s">
        <v>459</v>
      </c>
    </row>
    <row r="699" spans="26:33" x14ac:dyDescent="0.35">
      <c r="Z699" s="344">
        <v>2820</v>
      </c>
      <c r="AA699" s="344" t="s">
        <v>539</v>
      </c>
      <c r="AB699" s="344">
        <v>4</v>
      </c>
      <c r="AC699" s="344" t="s">
        <v>464</v>
      </c>
      <c r="AD699" s="1058" t="s">
        <v>569</v>
      </c>
      <c r="AE699" s="1059">
        <v>181735</v>
      </c>
      <c r="AF699" s="889" t="s">
        <v>459</v>
      </c>
      <c r="AG699" s="889" t="s">
        <v>459</v>
      </c>
    </row>
    <row r="700" spans="26:33" x14ac:dyDescent="0.35">
      <c r="Z700" s="344">
        <v>2821</v>
      </c>
      <c r="AA700" s="344" t="s">
        <v>539</v>
      </c>
      <c r="AB700" s="344">
        <v>4</v>
      </c>
      <c r="AC700" s="344" t="s">
        <v>464</v>
      </c>
      <c r="AD700" s="1058" t="s">
        <v>569</v>
      </c>
      <c r="AE700" s="1059">
        <v>218347</v>
      </c>
      <c r="AF700" s="889" t="s">
        <v>459</v>
      </c>
      <c r="AG700" s="889" t="s">
        <v>459</v>
      </c>
    </row>
    <row r="701" spans="26:33" x14ac:dyDescent="0.35">
      <c r="Z701" s="344">
        <v>2823</v>
      </c>
      <c r="AA701" s="344" t="s">
        <v>539</v>
      </c>
      <c r="AB701" s="344">
        <v>4</v>
      </c>
      <c r="AC701" s="344" t="s">
        <v>464</v>
      </c>
      <c r="AD701" s="1058" t="s">
        <v>569</v>
      </c>
      <c r="AE701" s="1059">
        <v>122278</v>
      </c>
      <c r="AF701" s="889" t="s">
        <v>459</v>
      </c>
      <c r="AG701" s="889" t="s">
        <v>459</v>
      </c>
    </row>
    <row r="702" spans="26:33" x14ac:dyDescent="0.35">
      <c r="Z702" s="344">
        <v>2824</v>
      </c>
      <c r="AA702" s="344" t="s">
        <v>539</v>
      </c>
      <c r="AB702" s="344">
        <v>4</v>
      </c>
      <c r="AC702" s="344" t="s">
        <v>464</v>
      </c>
      <c r="AD702" s="1058" t="s">
        <v>569</v>
      </c>
      <c r="AE702" s="1059">
        <v>149766</v>
      </c>
      <c r="AF702" s="889" t="s">
        <v>459</v>
      </c>
      <c r="AG702" s="889" t="s">
        <v>459</v>
      </c>
    </row>
    <row r="703" spans="26:33" x14ac:dyDescent="0.35">
      <c r="Z703" s="344">
        <v>2825</v>
      </c>
      <c r="AA703" s="344" t="s">
        <v>539</v>
      </c>
      <c r="AB703" s="344">
        <v>4</v>
      </c>
      <c r="AC703" s="344" t="s">
        <v>464</v>
      </c>
      <c r="AD703" s="1058" t="s">
        <v>569</v>
      </c>
      <c r="AE703" s="1059">
        <v>159951</v>
      </c>
      <c r="AF703" s="889" t="s">
        <v>459</v>
      </c>
      <c r="AG703" s="889" t="s">
        <v>459</v>
      </c>
    </row>
    <row r="704" spans="26:33" x14ac:dyDescent="0.35">
      <c r="Z704" s="344">
        <v>2827</v>
      </c>
      <c r="AA704" s="344" t="s">
        <v>539</v>
      </c>
      <c r="AB704" s="344">
        <v>4</v>
      </c>
      <c r="AC704" s="344" t="s">
        <v>464</v>
      </c>
      <c r="AD704" s="1058" t="s">
        <v>569</v>
      </c>
      <c r="AE704" s="1059">
        <v>170057</v>
      </c>
      <c r="AF704" s="889" t="s">
        <v>459</v>
      </c>
      <c r="AG704" s="889" t="s">
        <v>459</v>
      </c>
    </row>
    <row r="705" spans="26:33" x14ac:dyDescent="0.35">
      <c r="Z705" s="344">
        <v>2828</v>
      </c>
      <c r="AA705" s="344" t="s">
        <v>539</v>
      </c>
      <c r="AB705" s="344">
        <v>4</v>
      </c>
      <c r="AC705" s="344" t="s">
        <v>464</v>
      </c>
      <c r="AD705" s="1058" t="s">
        <v>569</v>
      </c>
      <c r="AE705" s="1059">
        <v>92867</v>
      </c>
      <c r="AF705" s="889" t="s">
        <v>459</v>
      </c>
      <c r="AG705" s="889" t="s">
        <v>459</v>
      </c>
    </row>
    <row r="706" spans="26:33" x14ac:dyDescent="0.35">
      <c r="Z706" s="344">
        <v>2829</v>
      </c>
      <c r="AA706" s="344" t="s">
        <v>539</v>
      </c>
      <c r="AB706" s="344">
        <v>4</v>
      </c>
      <c r="AC706" s="344" t="s">
        <v>464</v>
      </c>
      <c r="AD706" s="1058" t="s">
        <v>569</v>
      </c>
      <c r="AE706" s="1059">
        <v>134306</v>
      </c>
      <c r="AF706" s="889" t="s">
        <v>459</v>
      </c>
      <c r="AG706" s="889" t="s">
        <v>459</v>
      </c>
    </row>
    <row r="707" spans="26:33" x14ac:dyDescent="0.35">
      <c r="Z707" s="344">
        <v>2830</v>
      </c>
      <c r="AA707" s="344" t="s">
        <v>539</v>
      </c>
      <c r="AB707" s="344">
        <v>1</v>
      </c>
      <c r="AC707" s="344" t="s">
        <v>471</v>
      </c>
      <c r="AD707" s="1058" t="s">
        <v>540</v>
      </c>
      <c r="AE707" s="1059">
        <v>429239</v>
      </c>
      <c r="AF707" s="889" t="s">
        <v>459</v>
      </c>
      <c r="AG707" s="889" t="s">
        <v>459</v>
      </c>
    </row>
    <row r="708" spans="26:33" x14ac:dyDescent="0.35">
      <c r="Z708" s="344">
        <v>2831</v>
      </c>
      <c r="AA708" s="344" t="s">
        <v>539</v>
      </c>
      <c r="AB708" s="344">
        <v>4</v>
      </c>
      <c r="AC708" s="344" t="s">
        <v>464</v>
      </c>
      <c r="AD708" s="1058" t="s">
        <v>569</v>
      </c>
      <c r="AE708" s="1059">
        <v>195324</v>
      </c>
      <c r="AF708" s="889" t="s">
        <v>459</v>
      </c>
      <c r="AG708" s="889" t="s">
        <v>459</v>
      </c>
    </row>
    <row r="709" spans="26:33" x14ac:dyDescent="0.35">
      <c r="Z709" s="344">
        <v>2832</v>
      </c>
      <c r="AA709" s="344" t="s">
        <v>539</v>
      </c>
      <c r="AB709" s="344">
        <v>4</v>
      </c>
      <c r="AC709" s="344" t="s">
        <v>464</v>
      </c>
      <c r="AD709" s="1058" t="s">
        <v>569</v>
      </c>
      <c r="AE709" s="1059">
        <v>178777</v>
      </c>
      <c r="AF709" s="889" t="s">
        <v>459</v>
      </c>
      <c r="AG709" s="889" t="s">
        <v>459</v>
      </c>
    </row>
    <row r="710" spans="26:33" x14ac:dyDescent="0.35">
      <c r="Z710" s="344">
        <v>2833</v>
      </c>
      <c r="AA710" s="344" t="s">
        <v>539</v>
      </c>
      <c r="AB710" s="344">
        <v>4</v>
      </c>
      <c r="AC710" s="344" t="e">
        <v>#N/A</v>
      </c>
      <c r="AD710" s="1058" t="s">
        <v>569</v>
      </c>
      <c r="AE710" s="1059" t="e">
        <v>#N/A</v>
      </c>
      <c r="AF710" s="889" t="s">
        <v>459</v>
      </c>
      <c r="AG710" s="889" t="s">
        <v>459</v>
      </c>
    </row>
    <row r="711" spans="26:33" x14ac:dyDescent="0.35">
      <c r="Z711" s="344">
        <v>2834</v>
      </c>
      <c r="AA711" s="344" t="s">
        <v>539</v>
      </c>
      <c r="AB711" s="344">
        <v>4</v>
      </c>
      <c r="AC711" s="344" t="s">
        <v>464</v>
      </c>
      <c r="AD711" s="1058" t="s">
        <v>569</v>
      </c>
      <c r="AE711" s="1059">
        <v>209718</v>
      </c>
      <c r="AF711" s="889" t="s">
        <v>459</v>
      </c>
      <c r="AG711" s="889" t="s">
        <v>459</v>
      </c>
    </row>
    <row r="712" spans="26:33" x14ac:dyDescent="0.35">
      <c r="Z712" s="344">
        <v>2835</v>
      </c>
      <c r="AA712" s="344" t="s">
        <v>539</v>
      </c>
      <c r="AB712" s="344">
        <v>4</v>
      </c>
      <c r="AC712" s="344" t="s">
        <v>464</v>
      </c>
      <c r="AD712" s="1058" t="s">
        <v>569</v>
      </c>
      <c r="AE712" s="1059">
        <v>209614</v>
      </c>
      <c r="AF712" s="889" t="s">
        <v>459</v>
      </c>
      <c r="AG712" s="889" t="s">
        <v>459</v>
      </c>
    </row>
    <row r="713" spans="26:33" x14ac:dyDescent="0.35">
      <c r="Z713" s="344">
        <v>2836</v>
      </c>
      <c r="AA713" s="344" t="s">
        <v>539</v>
      </c>
      <c r="AB713" s="344">
        <v>4</v>
      </c>
      <c r="AC713" s="344" t="e">
        <v>#N/A</v>
      </c>
      <c r="AD713" s="1058" t="s">
        <v>569</v>
      </c>
      <c r="AE713" s="1059" t="e">
        <v>#N/A</v>
      </c>
      <c r="AF713" s="889" t="s">
        <v>459</v>
      </c>
      <c r="AG713" s="889" t="s">
        <v>459</v>
      </c>
    </row>
    <row r="714" spans="26:33" x14ac:dyDescent="0.35">
      <c r="Z714" s="344">
        <v>2839</v>
      </c>
      <c r="AA714" s="344" t="s">
        <v>539</v>
      </c>
      <c r="AB714" s="344">
        <v>4</v>
      </c>
      <c r="AC714" s="344" t="s">
        <v>464</v>
      </c>
      <c r="AD714" s="1058" t="s">
        <v>569</v>
      </c>
      <c r="AE714" s="1059">
        <v>118278</v>
      </c>
      <c r="AF714" s="889" t="s">
        <v>459</v>
      </c>
      <c r="AG714" s="889" t="s">
        <v>459</v>
      </c>
    </row>
    <row r="715" spans="26:33" x14ac:dyDescent="0.35">
      <c r="Z715" s="344">
        <v>2840</v>
      </c>
      <c r="AA715" s="344" t="s">
        <v>539</v>
      </c>
      <c r="AB715" s="344">
        <v>4</v>
      </c>
      <c r="AC715" s="344" t="s">
        <v>464</v>
      </c>
      <c r="AD715" s="1058" t="s">
        <v>569</v>
      </c>
      <c r="AE715" s="1059">
        <v>138753</v>
      </c>
      <c r="AF715" s="889" t="s">
        <v>459</v>
      </c>
      <c r="AG715" s="889" t="s">
        <v>459</v>
      </c>
    </row>
    <row r="716" spans="26:33" x14ac:dyDescent="0.35">
      <c r="Z716" s="344">
        <v>2842</v>
      </c>
      <c r="AA716" s="344" t="s">
        <v>539</v>
      </c>
      <c r="AB716" s="344">
        <v>4</v>
      </c>
      <c r="AC716" s="344" t="s">
        <v>464</v>
      </c>
      <c r="AD716" s="1058" t="s">
        <v>569</v>
      </c>
      <c r="AE716" s="1059">
        <v>100242</v>
      </c>
      <c r="AF716" s="889" t="s">
        <v>459</v>
      </c>
      <c r="AG716" s="889" t="s">
        <v>459</v>
      </c>
    </row>
    <row r="717" spans="26:33" x14ac:dyDescent="0.35">
      <c r="Z717" s="344">
        <v>2843</v>
      </c>
      <c r="AA717" s="344" t="s">
        <v>539</v>
      </c>
      <c r="AB717" s="344">
        <v>4</v>
      </c>
      <c r="AC717" s="344" t="s">
        <v>464</v>
      </c>
      <c r="AD717" s="1058" t="s">
        <v>569</v>
      </c>
      <c r="AE717" s="1059">
        <v>177160</v>
      </c>
      <c r="AF717" s="889" t="s">
        <v>459</v>
      </c>
      <c r="AG717" s="889" t="s">
        <v>459</v>
      </c>
    </row>
    <row r="718" spans="26:33" x14ac:dyDescent="0.35">
      <c r="Z718" s="344">
        <v>2844</v>
      </c>
      <c r="AA718" s="344" t="s">
        <v>539</v>
      </c>
      <c r="AB718" s="344">
        <v>4</v>
      </c>
      <c r="AC718" s="344" t="s">
        <v>464</v>
      </c>
      <c r="AD718" s="1058" t="s">
        <v>569</v>
      </c>
      <c r="AE718" s="1059">
        <v>200176</v>
      </c>
      <c r="AF718" s="889" t="s">
        <v>459</v>
      </c>
      <c r="AG718" s="889" t="s">
        <v>459</v>
      </c>
    </row>
    <row r="719" spans="26:33" x14ac:dyDescent="0.35">
      <c r="Z719" s="344">
        <v>2845</v>
      </c>
      <c r="AA719" s="344" t="s">
        <v>539</v>
      </c>
      <c r="AB719" s="344">
        <v>4</v>
      </c>
      <c r="AC719" s="344" t="s">
        <v>464</v>
      </c>
      <c r="AD719" s="1058" t="s">
        <v>569</v>
      </c>
      <c r="AE719" s="1059">
        <v>259174</v>
      </c>
      <c r="AF719" s="889" t="s">
        <v>459</v>
      </c>
      <c r="AG719" s="889" t="s">
        <v>459</v>
      </c>
    </row>
    <row r="720" spans="26:33" x14ac:dyDescent="0.35">
      <c r="Z720" s="344">
        <v>2846</v>
      </c>
      <c r="AA720" s="344" t="s">
        <v>539</v>
      </c>
      <c r="AB720" s="344">
        <v>4</v>
      </c>
      <c r="AC720" s="344" t="s">
        <v>464</v>
      </c>
      <c r="AD720" s="1058" t="s">
        <v>569</v>
      </c>
      <c r="AE720" s="1059">
        <v>96648</v>
      </c>
      <c r="AF720" s="889" t="s">
        <v>459</v>
      </c>
      <c r="AG720" s="889" t="s">
        <v>459</v>
      </c>
    </row>
    <row r="721" spans="26:33" x14ac:dyDescent="0.35">
      <c r="Z721" s="344">
        <v>2847</v>
      </c>
      <c r="AA721" s="344" t="s">
        <v>539</v>
      </c>
      <c r="AB721" s="344">
        <v>4</v>
      </c>
      <c r="AC721" s="344" t="s">
        <v>464</v>
      </c>
      <c r="AD721" s="1058" t="s">
        <v>569</v>
      </c>
      <c r="AE721" s="1059">
        <v>215257</v>
      </c>
      <c r="AF721" s="889" t="s">
        <v>459</v>
      </c>
      <c r="AG721" s="889" t="s">
        <v>459</v>
      </c>
    </row>
    <row r="722" spans="26:33" x14ac:dyDescent="0.35">
      <c r="Z722" s="344">
        <v>2848</v>
      </c>
      <c r="AA722" s="344" t="s">
        <v>539</v>
      </c>
      <c r="AB722" s="344">
        <v>4</v>
      </c>
      <c r="AC722" s="344" t="s">
        <v>464</v>
      </c>
      <c r="AD722" s="1058" t="s">
        <v>569</v>
      </c>
      <c r="AE722" s="1059">
        <v>182926</v>
      </c>
      <c r="AF722" s="889" t="s">
        <v>459</v>
      </c>
      <c r="AG722" s="889" t="s">
        <v>459</v>
      </c>
    </row>
    <row r="723" spans="26:33" x14ac:dyDescent="0.35">
      <c r="Z723" s="344">
        <v>2849</v>
      </c>
      <c r="AA723" s="344" t="s">
        <v>539</v>
      </c>
      <c r="AB723" s="344">
        <v>4</v>
      </c>
      <c r="AC723" s="344" t="s">
        <v>464</v>
      </c>
      <c r="AD723" s="1058" t="s">
        <v>569</v>
      </c>
      <c r="AE723" s="1059">
        <v>251566</v>
      </c>
      <c r="AF723" s="889" t="s">
        <v>459</v>
      </c>
      <c r="AG723" s="889" t="s">
        <v>459</v>
      </c>
    </row>
    <row r="724" spans="26:33" x14ac:dyDescent="0.35">
      <c r="Z724" s="344">
        <v>2850</v>
      </c>
      <c r="AA724" s="344" t="s">
        <v>539</v>
      </c>
      <c r="AB724" s="344">
        <v>1</v>
      </c>
      <c r="AC724" s="344" t="s">
        <v>471</v>
      </c>
      <c r="AD724" s="1058" t="s">
        <v>540</v>
      </c>
      <c r="AE724" s="1059">
        <v>358432</v>
      </c>
      <c r="AF724" s="889" t="s">
        <v>459</v>
      </c>
      <c r="AG724" s="889" t="s">
        <v>459</v>
      </c>
    </row>
    <row r="725" spans="26:33" x14ac:dyDescent="0.35">
      <c r="Z725" s="344">
        <v>2852</v>
      </c>
      <c r="AA725" s="344" t="s">
        <v>539</v>
      </c>
      <c r="AB725" s="344">
        <v>4</v>
      </c>
      <c r="AC725" s="344" t="s">
        <v>464</v>
      </c>
      <c r="AD725" s="1058" t="s">
        <v>569</v>
      </c>
      <c r="AE725" s="1059">
        <v>284894</v>
      </c>
      <c r="AF725" s="889" t="s">
        <v>459</v>
      </c>
      <c r="AG725" s="889" t="s">
        <v>459</v>
      </c>
    </row>
    <row r="726" spans="26:33" x14ac:dyDescent="0.35">
      <c r="Z726" s="344">
        <v>2864</v>
      </c>
      <c r="AA726" s="344" t="s">
        <v>539</v>
      </c>
      <c r="AB726" s="344">
        <v>4</v>
      </c>
      <c r="AC726" s="344" t="s">
        <v>464</v>
      </c>
      <c r="AD726" s="1058" t="s">
        <v>569</v>
      </c>
      <c r="AE726" s="1059">
        <v>242621</v>
      </c>
      <c r="AF726" s="889" t="s">
        <v>459</v>
      </c>
      <c r="AG726" s="889" t="s">
        <v>459</v>
      </c>
    </row>
    <row r="727" spans="26:33" x14ac:dyDescent="0.35">
      <c r="Z727" s="344">
        <v>2865</v>
      </c>
      <c r="AA727" s="344" t="s">
        <v>539</v>
      </c>
      <c r="AB727" s="344">
        <v>4</v>
      </c>
      <c r="AC727" s="344" t="s">
        <v>464</v>
      </c>
      <c r="AD727" s="1058" t="s">
        <v>569</v>
      </c>
      <c r="AE727" s="1059">
        <v>202436</v>
      </c>
      <c r="AF727" s="889" t="s">
        <v>459</v>
      </c>
      <c r="AG727" s="889" t="s">
        <v>459</v>
      </c>
    </row>
    <row r="728" spans="26:33" x14ac:dyDescent="0.35">
      <c r="Z728" s="344">
        <v>2866</v>
      </c>
      <c r="AA728" s="344" t="s">
        <v>539</v>
      </c>
      <c r="AB728" s="344">
        <v>4</v>
      </c>
      <c r="AC728" s="344" t="s">
        <v>464</v>
      </c>
      <c r="AD728" s="1058" t="s">
        <v>569</v>
      </c>
      <c r="AE728" s="1059">
        <v>278245</v>
      </c>
      <c r="AF728" s="889" t="s">
        <v>459</v>
      </c>
      <c r="AG728" s="889" t="s">
        <v>459</v>
      </c>
    </row>
    <row r="729" spans="26:33" x14ac:dyDescent="0.35">
      <c r="Z729" s="344">
        <v>2867</v>
      </c>
      <c r="AA729" s="344" t="s">
        <v>539</v>
      </c>
      <c r="AB729" s="344">
        <v>4</v>
      </c>
      <c r="AC729" s="344" t="s">
        <v>464</v>
      </c>
      <c r="AD729" s="1058" t="s">
        <v>569</v>
      </c>
      <c r="AE729" s="1059">
        <v>152032</v>
      </c>
      <c r="AF729" s="889" t="s">
        <v>459</v>
      </c>
      <c r="AG729" s="889" t="s">
        <v>459</v>
      </c>
    </row>
    <row r="730" spans="26:33" x14ac:dyDescent="0.35">
      <c r="Z730" s="344">
        <v>2868</v>
      </c>
      <c r="AA730" s="344" t="s">
        <v>539</v>
      </c>
      <c r="AB730" s="344">
        <v>4</v>
      </c>
      <c r="AC730" s="344" t="s">
        <v>464</v>
      </c>
      <c r="AD730" s="1058" t="s">
        <v>569</v>
      </c>
      <c r="AE730" s="1059">
        <v>121483</v>
      </c>
      <c r="AF730" s="889" t="s">
        <v>459</v>
      </c>
      <c r="AG730" s="889" t="s">
        <v>459</v>
      </c>
    </row>
    <row r="731" spans="26:33" x14ac:dyDescent="0.35">
      <c r="Z731" s="344">
        <v>2869</v>
      </c>
      <c r="AA731" s="344" t="s">
        <v>539</v>
      </c>
      <c r="AB731" s="344">
        <v>4</v>
      </c>
      <c r="AC731" s="344" t="s">
        <v>464</v>
      </c>
      <c r="AD731" s="1058" t="s">
        <v>569</v>
      </c>
      <c r="AE731" s="1059">
        <v>160204</v>
      </c>
      <c r="AF731" s="889" t="s">
        <v>459</v>
      </c>
      <c r="AG731" s="889" t="s">
        <v>459</v>
      </c>
    </row>
    <row r="732" spans="26:33" x14ac:dyDescent="0.35">
      <c r="Z732" s="344">
        <v>2870</v>
      </c>
      <c r="AA732" s="344" t="s">
        <v>539</v>
      </c>
      <c r="AB732" s="344">
        <v>3</v>
      </c>
      <c r="AC732" s="344" t="s">
        <v>464</v>
      </c>
      <c r="AD732" s="1058" t="s">
        <v>571</v>
      </c>
      <c r="AE732" s="1059">
        <v>261949</v>
      </c>
      <c r="AF732" s="889" t="s">
        <v>459</v>
      </c>
      <c r="AG732" s="889" t="s">
        <v>459</v>
      </c>
    </row>
    <row r="733" spans="26:33" x14ac:dyDescent="0.35">
      <c r="Z733" s="344">
        <v>2871</v>
      </c>
      <c r="AA733" s="344" t="s">
        <v>539</v>
      </c>
      <c r="AB733" s="344">
        <v>3</v>
      </c>
      <c r="AC733" s="344" t="s">
        <v>464</v>
      </c>
      <c r="AD733" s="1058" t="s">
        <v>571</v>
      </c>
      <c r="AE733" s="1059">
        <v>211134</v>
      </c>
      <c r="AF733" s="889" t="s">
        <v>459</v>
      </c>
      <c r="AG733" s="889" t="s">
        <v>459</v>
      </c>
    </row>
    <row r="734" spans="26:33" x14ac:dyDescent="0.35">
      <c r="Z734" s="344">
        <v>2873</v>
      </c>
      <c r="AA734" s="344" t="s">
        <v>539</v>
      </c>
      <c r="AB734" s="344">
        <v>4</v>
      </c>
      <c r="AC734" s="344" t="s">
        <v>464</v>
      </c>
      <c r="AD734" s="1058" t="s">
        <v>569</v>
      </c>
      <c r="AE734" s="1059">
        <v>117089</v>
      </c>
      <c r="AF734" s="889" t="s">
        <v>459</v>
      </c>
      <c r="AG734" s="889" t="s">
        <v>459</v>
      </c>
    </row>
    <row r="735" spans="26:33" x14ac:dyDescent="0.35">
      <c r="Z735" s="344">
        <v>2874</v>
      </c>
      <c r="AA735" s="344" t="s">
        <v>539</v>
      </c>
      <c r="AB735" s="344">
        <v>4</v>
      </c>
      <c r="AC735" s="344" t="s">
        <v>464</v>
      </c>
      <c r="AD735" s="1058" t="s">
        <v>569</v>
      </c>
      <c r="AE735" s="1059">
        <v>119242</v>
      </c>
      <c r="AF735" s="889" t="s">
        <v>459</v>
      </c>
      <c r="AG735" s="889" t="s">
        <v>459</v>
      </c>
    </row>
    <row r="736" spans="26:33" x14ac:dyDescent="0.35">
      <c r="Z736" s="344">
        <v>2875</v>
      </c>
      <c r="AA736" s="344" t="s">
        <v>539</v>
      </c>
      <c r="AB736" s="344">
        <v>4</v>
      </c>
      <c r="AC736" s="344" t="s">
        <v>464</v>
      </c>
      <c r="AD736" s="1058" t="s">
        <v>569</v>
      </c>
      <c r="AE736" s="1059">
        <v>142564</v>
      </c>
      <c r="AF736" s="889" t="s">
        <v>459</v>
      </c>
      <c r="AG736" s="889" t="s">
        <v>459</v>
      </c>
    </row>
    <row r="737" spans="26:33" x14ac:dyDescent="0.35">
      <c r="Z737" s="344">
        <v>2876</v>
      </c>
      <c r="AA737" s="344" t="s">
        <v>539</v>
      </c>
      <c r="AB737" s="344">
        <v>4</v>
      </c>
      <c r="AC737" s="344" t="s">
        <v>464</v>
      </c>
      <c r="AD737" s="1058" t="s">
        <v>569</v>
      </c>
      <c r="AE737" s="1059">
        <v>63255</v>
      </c>
      <c r="AF737" s="889" t="s">
        <v>459</v>
      </c>
      <c r="AG737" s="889" t="s">
        <v>459</v>
      </c>
    </row>
    <row r="738" spans="26:33" x14ac:dyDescent="0.35">
      <c r="Z738" s="344">
        <v>2877</v>
      </c>
      <c r="AA738" s="344" t="s">
        <v>539</v>
      </c>
      <c r="AB738" s="344">
        <v>4</v>
      </c>
      <c r="AC738" s="344" t="s">
        <v>464</v>
      </c>
      <c r="AD738" s="1058" t="s">
        <v>569</v>
      </c>
      <c r="AE738" s="1059">
        <v>175094</v>
      </c>
      <c r="AF738" s="889" t="s">
        <v>459</v>
      </c>
      <c r="AG738" s="889" t="s">
        <v>459</v>
      </c>
    </row>
    <row r="739" spans="26:33" x14ac:dyDescent="0.35">
      <c r="Z739" s="344">
        <v>2878</v>
      </c>
      <c r="AA739" s="344" t="s">
        <v>539</v>
      </c>
      <c r="AB739" s="344">
        <v>4</v>
      </c>
      <c r="AC739" s="344" t="e">
        <v>#N/A</v>
      </c>
      <c r="AD739" s="1058" t="s">
        <v>569</v>
      </c>
      <c r="AE739" s="1059" t="e">
        <v>#N/A</v>
      </c>
      <c r="AF739" s="889" t="s">
        <v>459</v>
      </c>
      <c r="AG739" s="889" t="s">
        <v>459</v>
      </c>
    </row>
    <row r="740" spans="26:33" x14ac:dyDescent="0.35">
      <c r="Z740" s="344">
        <v>2879</v>
      </c>
      <c r="AA740" s="344" t="s">
        <v>539</v>
      </c>
      <c r="AB740" s="344">
        <v>4</v>
      </c>
      <c r="AC740" s="344" t="s">
        <v>464</v>
      </c>
      <c r="AD740" s="1058" t="s">
        <v>569</v>
      </c>
      <c r="AE740" s="1059">
        <v>107103</v>
      </c>
      <c r="AF740" s="889" t="s">
        <v>459</v>
      </c>
      <c r="AG740" s="889" t="s">
        <v>459</v>
      </c>
    </row>
    <row r="741" spans="26:33" x14ac:dyDescent="0.35">
      <c r="Z741" s="344">
        <v>2880</v>
      </c>
      <c r="AA741" s="344" t="s">
        <v>539</v>
      </c>
      <c r="AB741" s="344">
        <v>3</v>
      </c>
      <c r="AC741" s="344" t="s">
        <v>464</v>
      </c>
      <c r="AD741" s="1058" t="s">
        <v>571</v>
      </c>
      <c r="AE741" s="1059">
        <v>158838</v>
      </c>
      <c r="AF741" s="889" t="s">
        <v>460</v>
      </c>
      <c r="AG741" s="889" t="s">
        <v>459</v>
      </c>
    </row>
    <row r="742" spans="26:33" x14ac:dyDescent="0.35">
      <c r="Z742" s="344">
        <v>2898</v>
      </c>
      <c r="AA742" s="344" t="s">
        <v>539</v>
      </c>
      <c r="AB742" s="344">
        <v>4</v>
      </c>
      <c r="AC742" s="344" t="e">
        <v>#N/A</v>
      </c>
      <c r="AD742" s="1058" t="s">
        <v>569</v>
      </c>
      <c r="AE742" s="1059" t="e">
        <v>#N/A</v>
      </c>
      <c r="AF742" s="889" t="s">
        <v>459</v>
      </c>
      <c r="AG742" s="889" t="s">
        <v>459</v>
      </c>
    </row>
    <row r="743" spans="26:33" x14ac:dyDescent="0.35">
      <c r="Z743" s="344">
        <v>2899</v>
      </c>
      <c r="AA743" s="344" t="s">
        <v>539</v>
      </c>
      <c r="AB743" s="344">
        <v>4</v>
      </c>
      <c r="AC743" s="344" t="e">
        <v>#N/A</v>
      </c>
      <c r="AD743" s="1058" t="s">
        <v>569</v>
      </c>
      <c r="AE743" s="1059" t="e">
        <v>#N/A</v>
      </c>
      <c r="AF743" s="889" t="s">
        <v>459</v>
      </c>
      <c r="AG743" s="889" t="s">
        <v>459</v>
      </c>
    </row>
    <row r="744" spans="26:33" x14ac:dyDescent="0.35">
      <c r="Z744" s="344">
        <v>2900</v>
      </c>
      <c r="AA744" s="344" t="s">
        <v>572</v>
      </c>
      <c r="AB744" s="344">
        <v>1</v>
      </c>
      <c r="AC744" s="344" t="s">
        <v>457</v>
      </c>
      <c r="AD744" s="1058" t="s">
        <v>573</v>
      </c>
      <c r="AE744" s="1059">
        <v>541152</v>
      </c>
      <c r="AF744" s="889" t="s">
        <v>459</v>
      </c>
      <c r="AG744" s="889" t="s">
        <v>459</v>
      </c>
    </row>
    <row r="745" spans="26:33" x14ac:dyDescent="0.35">
      <c r="Z745" s="344">
        <v>2901</v>
      </c>
      <c r="AA745" s="344" t="s">
        <v>572</v>
      </c>
      <c r="AB745" s="344">
        <v>1</v>
      </c>
      <c r="AC745" s="344" t="e">
        <v>#N/A</v>
      </c>
      <c r="AD745" s="1058" t="s">
        <v>573</v>
      </c>
      <c r="AE745" s="1059" t="e">
        <v>#N/A</v>
      </c>
      <c r="AF745" s="889" t="s">
        <v>459</v>
      </c>
      <c r="AG745" s="889" t="s">
        <v>459</v>
      </c>
    </row>
    <row r="746" spans="26:33" x14ac:dyDescent="0.35">
      <c r="Z746" s="344">
        <v>2902</v>
      </c>
      <c r="AA746" s="344" t="s">
        <v>572</v>
      </c>
      <c r="AB746" s="344">
        <v>1</v>
      </c>
      <c r="AC746" s="344" t="s">
        <v>457</v>
      </c>
      <c r="AD746" s="1058" t="s">
        <v>573</v>
      </c>
      <c r="AE746" s="1059">
        <v>467967</v>
      </c>
      <c r="AF746" s="889" t="s">
        <v>459</v>
      </c>
      <c r="AG746" s="889" t="s">
        <v>459</v>
      </c>
    </row>
    <row r="747" spans="26:33" x14ac:dyDescent="0.35">
      <c r="Z747" s="344">
        <v>2903</v>
      </c>
      <c r="AA747" s="344" t="s">
        <v>572</v>
      </c>
      <c r="AB747" s="344">
        <v>1</v>
      </c>
      <c r="AC747" s="344" t="s">
        <v>457</v>
      </c>
      <c r="AD747" s="1058" t="s">
        <v>573</v>
      </c>
      <c r="AE747" s="1059">
        <v>504025</v>
      </c>
      <c r="AF747" s="889" t="s">
        <v>459</v>
      </c>
      <c r="AG747" s="889" t="s">
        <v>459</v>
      </c>
    </row>
    <row r="748" spans="26:33" x14ac:dyDescent="0.35">
      <c r="Z748" s="344">
        <v>2904</v>
      </c>
      <c r="AA748" s="344" t="s">
        <v>572</v>
      </c>
      <c r="AB748" s="344">
        <v>1</v>
      </c>
      <c r="AC748" s="344" t="s">
        <v>457</v>
      </c>
      <c r="AD748" s="1058" t="s">
        <v>573</v>
      </c>
      <c r="AE748" s="1059">
        <v>569727</v>
      </c>
      <c r="AF748" s="889" t="s">
        <v>459</v>
      </c>
      <c r="AG748" s="889" t="s">
        <v>459</v>
      </c>
    </row>
    <row r="749" spans="26:33" x14ac:dyDescent="0.35">
      <c r="Z749" s="344">
        <v>2905</v>
      </c>
      <c r="AA749" s="344" t="s">
        <v>572</v>
      </c>
      <c r="AB749" s="344">
        <v>1</v>
      </c>
      <c r="AC749" s="344" t="s">
        <v>457</v>
      </c>
      <c r="AD749" s="1058" t="s">
        <v>573</v>
      </c>
      <c r="AE749" s="1059">
        <v>471034</v>
      </c>
      <c r="AF749" s="889" t="s">
        <v>459</v>
      </c>
      <c r="AG749" s="889" t="s">
        <v>459</v>
      </c>
    </row>
    <row r="750" spans="26:33" x14ac:dyDescent="0.35">
      <c r="Z750" s="344">
        <v>2906</v>
      </c>
      <c r="AA750" s="344" t="s">
        <v>572</v>
      </c>
      <c r="AB750" s="344">
        <v>1</v>
      </c>
      <c r="AC750" s="344" t="s">
        <v>457</v>
      </c>
      <c r="AD750" s="1058" t="s">
        <v>573</v>
      </c>
      <c r="AE750" s="1059">
        <v>502916</v>
      </c>
      <c r="AF750" s="889" t="s">
        <v>459</v>
      </c>
      <c r="AG750" s="889" t="s">
        <v>459</v>
      </c>
    </row>
    <row r="751" spans="26:33" x14ac:dyDescent="0.35">
      <c r="Z751" s="344">
        <v>2907</v>
      </c>
      <c r="AA751" s="344" t="s">
        <v>572</v>
      </c>
      <c r="AB751" s="344">
        <v>1</v>
      </c>
      <c r="AC751" s="344" t="e">
        <v>#N/A</v>
      </c>
      <c r="AD751" s="1058" t="s">
        <v>573</v>
      </c>
      <c r="AE751" s="1059" t="e">
        <v>#N/A</v>
      </c>
      <c r="AF751" s="889" t="s">
        <v>459</v>
      </c>
      <c r="AG751" s="889" t="s">
        <v>459</v>
      </c>
    </row>
    <row r="752" spans="26:33" x14ac:dyDescent="0.35">
      <c r="Z752" s="344">
        <v>2908</v>
      </c>
      <c r="AA752" s="344" t="s">
        <v>572</v>
      </c>
      <c r="AB752" s="344">
        <v>1</v>
      </c>
      <c r="AC752" s="344" t="e">
        <v>#N/A</v>
      </c>
      <c r="AD752" s="1058" t="s">
        <v>573</v>
      </c>
      <c r="AE752" s="1059" t="e">
        <v>#N/A</v>
      </c>
      <c r="AF752" s="889" t="s">
        <v>459</v>
      </c>
      <c r="AG752" s="889" t="s">
        <v>459</v>
      </c>
    </row>
    <row r="753" spans="26:33" x14ac:dyDescent="0.35">
      <c r="Z753" s="344">
        <v>2909</v>
      </c>
      <c r="AA753" s="344" t="s">
        <v>572</v>
      </c>
      <c r="AB753" s="344">
        <v>1</v>
      </c>
      <c r="AC753" s="344" t="e">
        <v>#N/A</v>
      </c>
      <c r="AD753" s="1058" t="s">
        <v>573</v>
      </c>
      <c r="AE753" s="1059" t="e">
        <v>#N/A</v>
      </c>
      <c r="AF753" s="889" t="s">
        <v>459</v>
      </c>
      <c r="AG753" s="889" t="s">
        <v>459</v>
      </c>
    </row>
    <row r="754" spans="26:33" x14ac:dyDescent="0.35">
      <c r="Z754" s="344">
        <v>2910</v>
      </c>
      <c r="AA754" s="344" t="s">
        <v>572</v>
      </c>
      <c r="AB754" s="344">
        <v>1</v>
      </c>
      <c r="AC754" s="344" t="e">
        <v>#N/A</v>
      </c>
      <c r="AD754" s="1058" t="s">
        <v>573</v>
      </c>
      <c r="AE754" s="1059" t="e">
        <v>#N/A</v>
      </c>
      <c r="AF754" s="889" t="s">
        <v>459</v>
      </c>
      <c r="AG754" s="889" t="s">
        <v>459</v>
      </c>
    </row>
    <row r="755" spans="26:33" x14ac:dyDescent="0.35">
      <c r="Z755" s="344">
        <v>2911</v>
      </c>
      <c r="AA755" s="344" t="s">
        <v>572</v>
      </c>
      <c r="AB755" s="344">
        <v>1</v>
      </c>
      <c r="AC755" s="344" t="s">
        <v>457</v>
      </c>
      <c r="AD755" s="1058" t="s">
        <v>573</v>
      </c>
      <c r="AE755" s="1059">
        <v>499608</v>
      </c>
      <c r="AF755" s="889" t="s">
        <v>459</v>
      </c>
      <c r="AG755" s="889" t="s">
        <v>459</v>
      </c>
    </row>
    <row r="756" spans="26:33" x14ac:dyDescent="0.35">
      <c r="Z756" s="344">
        <v>2912</v>
      </c>
      <c r="AA756" s="344" t="s">
        <v>572</v>
      </c>
      <c r="AB756" s="344">
        <v>1</v>
      </c>
      <c r="AC756" s="344" t="s">
        <v>457</v>
      </c>
      <c r="AD756" s="1058" t="s">
        <v>573</v>
      </c>
      <c r="AE756" s="1059">
        <v>548894</v>
      </c>
      <c r="AF756" s="889" t="s">
        <v>459</v>
      </c>
      <c r="AG756" s="889" t="s">
        <v>459</v>
      </c>
    </row>
    <row r="757" spans="26:33" x14ac:dyDescent="0.35">
      <c r="Z757" s="344">
        <v>2913</v>
      </c>
      <c r="AA757" s="344" t="s">
        <v>572</v>
      </c>
      <c r="AB757" s="344">
        <v>1</v>
      </c>
      <c r="AC757" s="344" t="s">
        <v>457</v>
      </c>
      <c r="AD757" s="1058" t="s">
        <v>573</v>
      </c>
      <c r="AE757" s="1059">
        <v>517031</v>
      </c>
      <c r="AF757" s="889" t="s">
        <v>459</v>
      </c>
      <c r="AG757" s="889" t="s">
        <v>459</v>
      </c>
    </row>
    <row r="758" spans="26:33" x14ac:dyDescent="0.35">
      <c r="Z758" s="344">
        <v>2914</v>
      </c>
      <c r="AA758" s="344" t="s">
        <v>572</v>
      </c>
      <c r="AB758" s="344">
        <v>1</v>
      </c>
      <c r="AC758" s="344" t="s">
        <v>457</v>
      </c>
      <c r="AD758" s="1058" t="s">
        <v>573</v>
      </c>
      <c r="AE758" s="1059">
        <v>554953</v>
      </c>
      <c r="AF758" s="889" t="s">
        <v>459</v>
      </c>
      <c r="AG758" s="889" t="s">
        <v>459</v>
      </c>
    </row>
    <row r="759" spans="26:33" x14ac:dyDescent="0.35">
      <c r="Z759" s="344">
        <v>3000</v>
      </c>
      <c r="AA759" s="344" t="s">
        <v>574</v>
      </c>
      <c r="AB759" s="344">
        <v>1</v>
      </c>
      <c r="AC759" s="344" t="s">
        <v>457</v>
      </c>
      <c r="AD759" s="1058" t="s">
        <v>575</v>
      </c>
      <c r="AE759" s="1059">
        <v>657900</v>
      </c>
      <c r="AF759" s="889" t="s">
        <v>459</v>
      </c>
      <c r="AG759" s="889" t="s">
        <v>460</v>
      </c>
    </row>
    <row r="760" spans="26:33" x14ac:dyDescent="0.35">
      <c r="Z760" s="344">
        <v>3001</v>
      </c>
      <c r="AA760" s="344" t="s">
        <v>574</v>
      </c>
      <c r="AB760" s="344">
        <v>1</v>
      </c>
      <c r="AC760" s="344" t="e">
        <v>#N/A</v>
      </c>
      <c r="AD760" s="1058" t="s">
        <v>575</v>
      </c>
      <c r="AE760" s="1059" t="e">
        <v>#N/A</v>
      </c>
      <c r="AF760" s="889" t="s">
        <v>459</v>
      </c>
      <c r="AG760" s="889" t="s">
        <v>459</v>
      </c>
    </row>
    <row r="761" spans="26:33" x14ac:dyDescent="0.35">
      <c r="Z761" s="344">
        <v>3002</v>
      </c>
      <c r="AA761" s="344" t="s">
        <v>574</v>
      </c>
      <c r="AB761" s="344">
        <v>1</v>
      </c>
      <c r="AC761" s="344" t="s">
        <v>482</v>
      </c>
      <c r="AD761" s="1058" t="s">
        <v>575</v>
      </c>
      <c r="AE761" s="1059">
        <v>2033005</v>
      </c>
      <c r="AF761" s="889" t="s">
        <v>460</v>
      </c>
      <c r="AG761" s="889" t="s">
        <v>460</v>
      </c>
    </row>
    <row r="762" spans="26:33" x14ac:dyDescent="0.35">
      <c r="Z762" s="344">
        <v>3003</v>
      </c>
      <c r="AA762" s="344" t="s">
        <v>574</v>
      </c>
      <c r="AB762" s="344">
        <v>1</v>
      </c>
      <c r="AC762" s="344" t="s">
        <v>479</v>
      </c>
      <c r="AD762" s="1058" t="s">
        <v>575</v>
      </c>
      <c r="AE762" s="1059">
        <v>817046</v>
      </c>
      <c r="AF762" s="889" t="s">
        <v>459</v>
      </c>
      <c r="AG762" s="889" t="s">
        <v>460</v>
      </c>
    </row>
    <row r="763" spans="26:33" x14ac:dyDescent="0.35">
      <c r="Z763" s="344">
        <v>3004</v>
      </c>
      <c r="AA763" s="344" t="s">
        <v>574</v>
      </c>
      <c r="AB763" s="344">
        <v>1</v>
      </c>
      <c r="AC763" s="344" t="e">
        <v>#N/A</v>
      </c>
      <c r="AD763" s="1058" t="s">
        <v>575</v>
      </c>
      <c r="AE763" s="1059" t="e">
        <v>#N/A</v>
      </c>
      <c r="AF763" s="889" t="s">
        <v>460</v>
      </c>
      <c r="AG763" s="889" t="s">
        <v>460</v>
      </c>
    </row>
    <row r="764" spans="26:33" x14ac:dyDescent="0.35">
      <c r="Z764" s="344">
        <v>3005</v>
      </c>
      <c r="AA764" s="344" t="s">
        <v>574</v>
      </c>
      <c r="AB764" s="344">
        <v>1</v>
      </c>
      <c r="AC764" s="344" t="e">
        <v>#N/A</v>
      </c>
      <c r="AD764" s="1058" t="s">
        <v>575</v>
      </c>
      <c r="AE764" s="1059" t="e">
        <v>#N/A</v>
      </c>
      <c r="AF764" s="889" t="s">
        <v>459</v>
      </c>
      <c r="AG764" s="889" t="s">
        <v>459</v>
      </c>
    </row>
    <row r="765" spans="26:33" x14ac:dyDescent="0.35">
      <c r="Z765" s="344">
        <v>3006</v>
      </c>
      <c r="AA765" s="344" t="s">
        <v>574</v>
      </c>
      <c r="AB765" s="344">
        <v>1</v>
      </c>
      <c r="AC765" s="344" t="s">
        <v>457</v>
      </c>
      <c r="AD765" s="1058" t="s">
        <v>575</v>
      </c>
      <c r="AE765" s="1059">
        <v>569702</v>
      </c>
      <c r="AF765" s="889" t="s">
        <v>459</v>
      </c>
      <c r="AG765" s="889" t="s">
        <v>460</v>
      </c>
    </row>
    <row r="766" spans="26:33" x14ac:dyDescent="0.35">
      <c r="Z766" s="344">
        <v>3007</v>
      </c>
      <c r="AA766" s="344" t="s">
        <v>574</v>
      </c>
      <c r="AB766" s="344">
        <v>1</v>
      </c>
      <c r="AC766" s="344" t="e">
        <v>#N/A</v>
      </c>
      <c r="AD766" s="1058" t="s">
        <v>575</v>
      </c>
      <c r="AE766" s="1059" t="e">
        <v>#N/A</v>
      </c>
      <c r="AF766" s="889" t="s">
        <v>459</v>
      </c>
      <c r="AG766" s="889" t="s">
        <v>459</v>
      </c>
    </row>
    <row r="767" spans="26:33" x14ac:dyDescent="0.35">
      <c r="Z767" s="344">
        <v>3008</v>
      </c>
      <c r="AA767" s="344" t="s">
        <v>574</v>
      </c>
      <c r="AB767" s="344">
        <v>1</v>
      </c>
      <c r="AC767" s="344" t="s">
        <v>457</v>
      </c>
      <c r="AD767" s="1058" t="s">
        <v>575</v>
      </c>
      <c r="AE767" s="1059">
        <v>574103</v>
      </c>
      <c r="AF767" s="889" t="s">
        <v>459</v>
      </c>
      <c r="AG767" s="889" t="s">
        <v>460</v>
      </c>
    </row>
    <row r="768" spans="26:33" x14ac:dyDescent="0.35">
      <c r="Z768" s="344">
        <v>3009</v>
      </c>
      <c r="AA768" s="344" t="s">
        <v>574</v>
      </c>
      <c r="AB768" s="344">
        <v>1</v>
      </c>
      <c r="AC768" s="344" t="e">
        <v>#N/A</v>
      </c>
      <c r="AD768" s="1058" t="s">
        <v>575</v>
      </c>
      <c r="AE768" s="1059" t="e">
        <v>#N/A</v>
      </c>
      <c r="AF768" s="889" t="s">
        <v>459</v>
      </c>
      <c r="AG768" s="889" t="s">
        <v>459</v>
      </c>
    </row>
    <row r="769" spans="26:33" x14ac:dyDescent="0.35">
      <c r="Z769" s="344">
        <v>3010</v>
      </c>
      <c r="AA769" s="344" t="s">
        <v>574</v>
      </c>
      <c r="AB769" s="344">
        <v>1</v>
      </c>
      <c r="AC769" s="344" t="e">
        <v>#N/A</v>
      </c>
      <c r="AD769" s="1058" t="s">
        <v>575</v>
      </c>
      <c r="AE769" s="1059" t="e">
        <v>#N/A</v>
      </c>
      <c r="AF769" s="889" t="s">
        <v>459</v>
      </c>
      <c r="AG769" s="889" t="s">
        <v>459</v>
      </c>
    </row>
    <row r="770" spans="26:33" x14ac:dyDescent="0.35">
      <c r="Z770" s="344">
        <v>3011</v>
      </c>
      <c r="AA770" s="344" t="s">
        <v>574</v>
      </c>
      <c r="AB770" s="344">
        <v>1</v>
      </c>
      <c r="AC770" s="344" t="s">
        <v>457</v>
      </c>
      <c r="AD770" s="1058" t="s">
        <v>575</v>
      </c>
      <c r="AE770" s="1059">
        <v>674287</v>
      </c>
      <c r="AF770" s="889" t="s">
        <v>459</v>
      </c>
      <c r="AG770" s="889" t="s">
        <v>460</v>
      </c>
    </row>
    <row r="771" spans="26:33" x14ac:dyDescent="0.35">
      <c r="Z771" s="344">
        <v>3012</v>
      </c>
      <c r="AA771" s="344" t="s">
        <v>574</v>
      </c>
      <c r="AB771" s="344">
        <v>1</v>
      </c>
      <c r="AC771" s="344" t="s">
        <v>457</v>
      </c>
      <c r="AD771" s="1058" t="s">
        <v>575</v>
      </c>
      <c r="AE771" s="1059">
        <v>606447</v>
      </c>
      <c r="AF771" s="889" t="s">
        <v>459</v>
      </c>
      <c r="AG771" s="889" t="s">
        <v>459</v>
      </c>
    </row>
    <row r="772" spans="26:33" x14ac:dyDescent="0.35">
      <c r="Z772" s="344">
        <v>3013</v>
      </c>
      <c r="AA772" s="344" t="s">
        <v>574</v>
      </c>
      <c r="AB772" s="344">
        <v>1</v>
      </c>
      <c r="AC772" s="344" t="s">
        <v>457</v>
      </c>
      <c r="AD772" s="1058" t="s">
        <v>575</v>
      </c>
      <c r="AE772" s="1059">
        <v>704397</v>
      </c>
      <c r="AF772" s="889" t="s">
        <v>459</v>
      </c>
      <c r="AG772" s="889" t="s">
        <v>459</v>
      </c>
    </row>
    <row r="773" spans="26:33" x14ac:dyDescent="0.35">
      <c r="Z773" s="344">
        <v>3014</v>
      </c>
      <c r="AA773" s="344" t="s">
        <v>574</v>
      </c>
      <c r="AB773" s="344">
        <v>1</v>
      </c>
      <c r="AC773" s="344" t="e">
        <v>#N/A</v>
      </c>
      <c r="AD773" s="1058" t="s">
        <v>575</v>
      </c>
      <c r="AE773" s="1059" t="e">
        <v>#N/A</v>
      </c>
      <c r="AF773" s="889" t="s">
        <v>459</v>
      </c>
      <c r="AG773" s="889" t="s">
        <v>459</v>
      </c>
    </row>
    <row r="774" spans="26:33" x14ac:dyDescent="0.35">
      <c r="Z774" s="344">
        <v>3015</v>
      </c>
      <c r="AA774" s="344" t="s">
        <v>574</v>
      </c>
      <c r="AB774" s="344">
        <v>1</v>
      </c>
      <c r="AC774" s="344" t="s">
        <v>457</v>
      </c>
      <c r="AD774" s="1058" t="s">
        <v>575</v>
      </c>
      <c r="AE774" s="1059">
        <v>704172</v>
      </c>
      <c r="AF774" s="889" t="s">
        <v>459</v>
      </c>
      <c r="AG774" s="889" t="s">
        <v>459</v>
      </c>
    </row>
    <row r="775" spans="26:33" x14ac:dyDescent="0.35">
      <c r="Z775" s="344">
        <v>3016</v>
      </c>
      <c r="AA775" s="344" t="s">
        <v>574</v>
      </c>
      <c r="AB775" s="344">
        <v>1</v>
      </c>
      <c r="AC775" s="344" t="s">
        <v>482</v>
      </c>
      <c r="AD775" s="1058" t="s">
        <v>575</v>
      </c>
      <c r="AE775" s="1059">
        <v>900018</v>
      </c>
      <c r="AF775" s="889" t="s">
        <v>459</v>
      </c>
      <c r="AG775" s="889" t="s">
        <v>459</v>
      </c>
    </row>
    <row r="776" spans="26:33" x14ac:dyDescent="0.35">
      <c r="Z776" s="344">
        <v>3017</v>
      </c>
      <c r="AA776" s="344" t="s">
        <v>574</v>
      </c>
      <c r="AB776" s="344">
        <v>1</v>
      </c>
      <c r="AC776" s="344" t="e">
        <v>#N/A</v>
      </c>
      <c r="AD776" s="1058" t="s">
        <v>575</v>
      </c>
      <c r="AE776" s="1059" t="e">
        <v>#N/A</v>
      </c>
      <c r="AF776" s="889" t="s">
        <v>459</v>
      </c>
      <c r="AG776" s="889" t="s">
        <v>459</v>
      </c>
    </row>
    <row r="777" spans="26:33" x14ac:dyDescent="0.35">
      <c r="Z777" s="344">
        <v>3018</v>
      </c>
      <c r="AA777" s="344" t="s">
        <v>574</v>
      </c>
      <c r="AB777" s="344">
        <v>1</v>
      </c>
      <c r="AC777" s="344" t="s">
        <v>457</v>
      </c>
      <c r="AD777" s="1058" t="s">
        <v>575</v>
      </c>
      <c r="AE777" s="1059">
        <v>647356</v>
      </c>
      <c r="AF777" s="889" t="s">
        <v>459</v>
      </c>
      <c r="AG777" s="889" t="s">
        <v>459</v>
      </c>
    </row>
    <row r="778" spans="26:33" x14ac:dyDescent="0.35">
      <c r="Z778" s="344">
        <v>3019</v>
      </c>
      <c r="AA778" s="344" t="s">
        <v>574</v>
      </c>
      <c r="AB778" s="344">
        <v>1</v>
      </c>
      <c r="AC778" s="344" t="s">
        <v>457</v>
      </c>
      <c r="AD778" s="1058" t="s">
        <v>575</v>
      </c>
      <c r="AE778" s="1059">
        <v>475082</v>
      </c>
      <c r="AF778" s="889" t="s">
        <v>459</v>
      </c>
      <c r="AG778" s="889" t="s">
        <v>459</v>
      </c>
    </row>
    <row r="779" spans="26:33" x14ac:dyDescent="0.35">
      <c r="Z779" s="344">
        <v>3020</v>
      </c>
      <c r="AA779" s="344" t="s">
        <v>574</v>
      </c>
      <c r="AB779" s="344">
        <v>1</v>
      </c>
      <c r="AC779" s="344" t="s">
        <v>471</v>
      </c>
      <c r="AD779" s="1058" t="s">
        <v>575</v>
      </c>
      <c r="AE779" s="1059">
        <v>427838</v>
      </c>
      <c r="AF779" s="889" t="s">
        <v>459</v>
      </c>
      <c r="AG779" s="889" t="s">
        <v>459</v>
      </c>
    </row>
    <row r="780" spans="26:33" x14ac:dyDescent="0.35">
      <c r="Z780" s="344">
        <v>3021</v>
      </c>
      <c r="AA780" s="344" t="s">
        <v>574</v>
      </c>
      <c r="AB780" s="344">
        <v>1</v>
      </c>
      <c r="AC780" s="344" t="s">
        <v>471</v>
      </c>
      <c r="AD780" s="1058" t="s">
        <v>575</v>
      </c>
      <c r="AE780" s="1059">
        <v>348514</v>
      </c>
      <c r="AF780" s="889" t="s">
        <v>459</v>
      </c>
      <c r="AG780" s="889" t="s">
        <v>459</v>
      </c>
    </row>
    <row r="781" spans="26:33" x14ac:dyDescent="0.35">
      <c r="Z781" s="344">
        <v>3022</v>
      </c>
      <c r="AA781" s="344" t="s">
        <v>574</v>
      </c>
      <c r="AB781" s="344">
        <v>1</v>
      </c>
      <c r="AC781" s="344" t="s">
        <v>471</v>
      </c>
      <c r="AD781" s="1058" t="s">
        <v>575</v>
      </c>
      <c r="AE781" s="1059">
        <v>359643</v>
      </c>
      <c r="AF781" s="889" t="s">
        <v>459</v>
      </c>
      <c r="AG781" s="889" t="s">
        <v>459</v>
      </c>
    </row>
    <row r="782" spans="26:33" x14ac:dyDescent="0.35">
      <c r="Z782" s="344">
        <v>3023</v>
      </c>
      <c r="AA782" s="344" t="s">
        <v>574</v>
      </c>
      <c r="AB782" s="344">
        <v>1</v>
      </c>
      <c r="AC782" s="344" t="s">
        <v>457</v>
      </c>
      <c r="AD782" s="1058" t="s">
        <v>575</v>
      </c>
      <c r="AE782" s="1059">
        <v>452641</v>
      </c>
      <c r="AF782" s="889" t="s">
        <v>459</v>
      </c>
      <c r="AG782" s="889" t="s">
        <v>459</v>
      </c>
    </row>
    <row r="783" spans="26:33" x14ac:dyDescent="0.35">
      <c r="Z783" s="344">
        <v>3024</v>
      </c>
      <c r="AA783" s="344" t="s">
        <v>574</v>
      </c>
      <c r="AB783" s="344">
        <v>1</v>
      </c>
      <c r="AC783" s="344" t="s">
        <v>471</v>
      </c>
      <c r="AD783" s="1058" t="s">
        <v>575</v>
      </c>
      <c r="AE783" s="1059">
        <v>348239</v>
      </c>
      <c r="AF783" s="889" t="s">
        <v>459</v>
      </c>
      <c r="AG783" s="889" t="s">
        <v>459</v>
      </c>
    </row>
    <row r="784" spans="26:33" x14ac:dyDescent="0.35">
      <c r="Z784" s="344">
        <v>3025</v>
      </c>
      <c r="AA784" s="344" t="s">
        <v>574</v>
      </c>
      <c r="AB784" s="344">
        <v>1</v>
      </c>
      <c r="AC784" s="344" t="s">
        <v>457</v>
      </c>
      <c r="AD784" s="1058" t="s">
        <v>575</v>
      </c>
      <c r="AE784" s="1059">
        <v>546472</v>
      </c>
      <c r="AF784" s="889" t="s">
        <v>459</v>
      </c>
      <c r="AG784" s="889" t="s">
        <v>459</v>
      </c>
    </row>
    <row r="785" spans="26:33" x14ac:dyDescent="0.35">
      <c r="Z785" s="344">
        <v>3026</v>
      </c>
      <c r="AA785" s="344" t="s">
        <v>574</v>
      </c>
      <c r="AB785" s="344">
        <v>1</v>
      </c>
      <c r="AC785" s="344" t="e">
        <v>#N/A</v>
      </c>
      <c r="AD785" s="1058" t="s">
        <v>575</v>
      </c>
      <c r="AE785" s="1059" t="e">
        <v>#N/A</v>
      </c>
      <c r="AF785" s="889" t="s">
        <v>459</v>
      </c>
      <c r="AG785" s="889" t="s">
        <v>459</v>
      </c>
    </row>
    <row r="786" spans="26:33" x14ac:dyDescent="0.35">
      <c r="Z786" s="344">
        <v>3027</v>
      </c>
      <c r="AA786" s="344" t="s">
        <v>574</v>
      </c>
      <c r="AB786" s="344">
        <v>1</v>
      </c>
      <c r="AC786" s="344" t="s">
        <v>457</v>
      </c>
      <c r="AD786" s="1058" t="s">
        <v>575</v>
      </c>
      <c r="AE786" s="1059">
        <v>498068</v>
      </c>
      <c r="AF786" s="889" t="s">
        <v>459</v>
      </c>
      <c r="AG786" s="889" t="s">
        <v>459</v>
      </c>
    </row>
    <row r="787" spans="26:33" x14ac:dyDescent="0.35">
      <c r="Z787" s="344">
        <v>3028</v>
      </c>
      <c r="AA787" s="344" t="s">
        <v>574</v>
      </c>
      <c r="AB787" s="344">
        <v>1</v>
      </c>
      <c r="AC787" s="344" t="s">
        <v>471</v>
      </c>
      <c r="AD787" s="1058" t="s">
        <v>575</v>
      </c>
      <c r="AE787" s="1059">
        <v>391506</v>
      </c>
      <c r="AF787" s="889" t="s">
        <v>459</v>
      </c>
      <c r="AG787" s="889" t="s">
        <v>459</v>
      </c>
    </row>
    <row r="788" spans="26:33" x14ac:dyDescent="0.35">
      <c r="Z788" s="344">
        <v>3029</v>
      </c>
      <c r="AA788" s="344" t="s">
        <v>574</v>
      </c>
      <c r="AB788" s="344">
        <v>1</v>
      </c>
      <c r="AC788" s="344" t="s">
        <v>471</v>
      </c>
      <c r="AD788" s="1058" t="s">
        <v>575</v>
      </c>
      <c r="AE788" s="1059">
        <v>365108</v>
      </c>
      <c r="AF788" s="889" t="s">
        <v>459</v>
      </c>
      <c r="AG788" s="889" t="s">
        <v>459</v>
      </c>
    </row>
    <row r="789" spans="26:33" x14ac:dyDescent="0.35">
      <c r="Z789" s="344">
        <v>3030</v>
      </c>
      <c r="AA789" s="344" t="s">
        <v>574</v>
      </c>
      <c r="AB789" s="344">
        <v>1</v>
      </c>
      <c r="AC789" s="344" t="s">
        <v>457</v>
      </c>
      <c r="AD789" s="1058" t="s">
        <v>575</v>
      </c>
      <c r="AE789" s="1059">
        <v>454261</v>
      </c>
      <c r="AF789" s="889" t="s">
        <v>459</v>
      </c>
      <c r="AG789" s="889" t="s">
        <v>459</v>
      </c>
    </row>
    <row r="790" spans="26:33" x14ac:dyDescent="0.35">
      <c r="Z790" s="344">
        <v>3031</v>
      </c>
      <c r="AA790" s="344" t="s">
        <v>574</v>
      </c>
      <c r="AB790" s="344">
        <v>1</v>
      </c>
      <c r="AC790" s="344" t="s">
        <v>479</v>
      </c>
      <c r="AD790" s="1058" t="s">
        <v>575</v>
      </c>
      <c r="AE790" s="1059">
        <v>766021</v>
      </c>
      <c r="AF790" s="889" t="s">
        <v>459</v>
      </c>
      <c r="AG790" s="889" t="s">
        <v>459</v>
      </c>
    </row>
    <row r="791" spans="26:33" x14ac:dyDescent="0.35">
      <c r="Z791" s="344">
        <v>3032</v>
      </c>
      <c r="AA791" s="344" t="s">
        <v>574</v>
      </c>
      <c r="AB791" s="344">
        <v>1</v>
      </c>
      <c r="AC791" s="344" t="s">
        <v>457</v>
      </c>
      <c r="AD791" s="1058" t="s">
        <v>575</v>
      </c>
      <c r="AE791" s="1059">
        <v>685553</v>
      </c>
      <c r="AF791" s="889" t="s">
        <v>459</v>
      </c>
      <c r="AG791" s="889" t="s">
        <v>459</v>
      </c>
    </row>
    <row r="792" spans="26:33" x14ac:dyDescent="0.35">
      <c r="Z792" s="344">
        <v>3033</v>
      </c>
      <c r="AA792" s="344" t="s">
        <v>574</v>
      </c>
      <c r="AB792" s="344">
        <v>1</v>
      </c>
      <c r="AC792" s="344" t="s">
        <v>457</v>
      </c>
      <c r="AD792" s="1058" t="s">
        <v>575</v>
      </c>
      <c r="AE792" s="1059">
        <v>573355</v>
      </c>
      <c r="AF792" s="889" t="s">
        <v>459</v>
      </c>
      <c r="AG792" s="889" t="s">
        <v>459</v>
      </c>
    </row>
    <row r="793" spans="26:33" x14ac:dyDescent="0.35">
      <c r="Z793" s="344">
        <v>3034</v>
      </c>
      <c r="AA793" s="344" t="s">
        <v>574</v>
      </c>
      <c r="AB793" s="344">
        <v>1</v>
      </c>
      <c r="AC793" s="344" t="s">
        <v>457</v>
      </c>
      <c r="AD793" s="1058" t="s">
        <v>575</v>
      </c>
      <c r="AE793" s="1059">
        <v>562912</v>
      </c>
      <c r="AF793" s="889" t="s">
        <v>459</v>
      </c>
      <c r="AG793" s="889" t="s">
        <v>459</v>
      </c>
    </row>
    <row r="794" spans="26:33" x14ac:dyDescent="0.35">
      <c r="Z794" s="344">
        <v>3035</v>
      </c>
      <c r="AA794" s="344" t="s">
        <v>574</v>
      </c>
      <c r="AB794" s="344">
        <v>1</v>
      </c>
      <c r="AC794" s="344" t="e">
        <v>#N/A</v>
      </c>
      <c r="AD794" s="1058" t="s">
        <v>575</v>
      </c>
      <c r="AE794" s="1059" t="e">
        <v>#N/A</v>
      </c>
      <c r="AF794" s="889" t="s">
        <v>459</v>
      </c>
      <c r="AG794" s="889" t="s">
        <v>459</v>
      </c>
    </row>
    <row r="795" spans="26:33" x14ac:dyDescent="0.35">
      <c r="Z795" s="344">
        <v>3036</v>
      </c>
      <c r="AA795" s="344" t="s">
        <v>574</v>
      </c>
      <c r="AB795" s="344">
        <v>1</v>
      </c>
      <c r="AC795" s="344" t="s">
        <v>457</v>
      </c>
      <c r="AD795" s="1058" t="s">
        <v>575</v>
      </c>
      <c r="AE795" s="1059">
        <v>656447</v>
      </c>
      <c r="AF795" s="889" t="s">
        <v>459</v>
      </c>
      <c r="AG795" s="889" t="s">
        <v>459</v>
      </c>
    </row>
    <row r="796" spans="26:33" x14ac:dyDescent="0.35">
      <c r="Z796" s="344">
        <v>3037</v>
      </c>
      <c r="AA796" s="344" t="s">
        <v>574</v>
      </c>
      <c r="AB796" s="344">
        <v>1</v>
      </c>
      <c r="AC796" s="344" t="s">
        <v>457</v>
      </c>
      <c r="AD796" s="1058" t="s">
        <v>575</v>
      </c>
      <c r="AE796" s="1059">
        <v>452106</v>
      </c>
      <c r="AF796" s="889" t="s">
        <v>459</v>
      </c>
      <c r="AG796" s="889" t="s">
        <v>459</v>
      </c>
    </row>
    <row r="797" spans="26:33" x14ac:dyDescent="0.35">
      <c r="Z797" s="344">
        <v>3038</v>
      </c>
      <c r="AA797" s="344" t="s">
        <v>574</v>
      </c>
      <c r="AB797" s="344">
        <v>1</v>
      </c>
      <c r="AC797" s="344" t="s">
        <v>457</v>
      </c>
      <c r="AD797" s="1058" t="s">
        <v>575</v>
      </c>
      <c r="AE797" s="1059">
        <v>510715</v>
      </c>
      <c r="AF797" s="889" t="s">
        <v>459</v>
      </c>
      <c r="AG797" s="889" t="s">
        <v>459</v>
      </c>
    </row>
    <row r="798" spans="26:33" x14ac:dyDescent="0.35">
      <c r="Z798" s="344">
        <v>3039</v>
      </c>
      <c r="AA798" s="344" t="s">
        <v>574</v>
      </c>
      <c r="AB798" s="344">
        <v>1</v>
      </c>
      <c r="AC798" s="344" t="s">
        <v>479</v>
      </c>
      <c r="AD798" s="1058" t="s">
        <v>575</v>
      </c>
      <c r="AE798" s="1059">
        <v>855406</v>
      </c>
      <c r="AF798" s="889" t="s">
        <v>459</v>
      </c>
      <c r="AG798" s="889" t="s">
        <v>459</v>
      </c>
    </row>
    <row r="799" spans="26:33" x14ac:dyDescent="0.35">
      <c r="Z799" s="344">
        <v>3040</v>
      </c>
      <c r="AA799" s="344" t="s">
        <v>574</v>
      </c>
      <c r="AB799" s="344">
        <v>1</v>
      </c>
      <c r="AC799" s="344" t="s">
        <v>482</v>
      </c>
      <c r="AD799" s="1058" t="s">
        <v>575</v>
      </c>
      <c r="AE799" s="1059">
        <v>971638</v>
      </c>
      <c r="AF799" s="889" t="s">
        <v>459</v>
      </c>
      <c r="AG799" s="889" t="s">
        <v>459</v>
      </c>
    </row>
    <row r="800" spans="26:33" x14ac:dyDescent="0.35">
      <c r="Z800" s="344">
        <v>3041</v>
      </c>
      <c r="AA800" s="344" t="s">
        <v>574</v>
      </c>
      <c r="AB800" s="344">
        <v>1</v>
      </c>
      <c r="AC800" s="344" t="s">
        <v>479</v>
      </c>
      <c r="AD800" s="1058" t="s">
        <v>575</v>
      </c>
      <c r="AE800" s="1059">
        <v>776495</v>
      </c>
      <c r="AF800" s="889" t="s">
        <v>459</v>
      </c>
      <c r="AG800" s="889" t="s">
        <v>459</v>
      </c>
    </row>
    <row r="801" spans="26:33" x14ac:dyDescent="0.35">
      <c r="Z801" s="344">
        <v>3042</v>
      </c>
      <c r="AA801" s="344" t="s">
        <v>574</v>
      </c>
      <c r="AB801" s="344">
        <v>1</v>
      </c>
      <c r="AC801" s="344" t="s">
        <v>457</v>
      </c>
      <c r="AD801" s="1058" t="s">
        <v>575</v>
      </c>
      <c r="AE801" s="1059">
        <v>608669</v>
      </c>
      <c r="AF801" s="889" t="s">
        <v>459</v>
      </c>
      <c r="AG801" s="889" t="s">
        <v>459</v>
      </c>
    </row>
    <row r="802" spans="26:33" x14ac:dyDescent="0.35">
      <c r="Z802" s="344">
        <v>3043</v>
      </c>
      <c r="AA802" s="344" t="s">
        <v>574</v>
      </c>
      <c r="AB802" s="344">
        <v>1</v>
      </c>
      <c r="AC802" s="344" t="s">
        <v>457</v>
      </c>
      <c r="AD802" s="1058" t="s">
        <v>575</v>
      </c>
      <c r="AE802" s="1059">
        <v>462012</v>
      </c>
      <c r="AF802" s="889" t="s">
        <v>459</v>
      </c>
      <c r="AG802" s="889" t="s">
        <v>459</v>
      </c>
    </row>
    <row r="803" spans="26:33" x14ac:dyDescent="0.35">
      <c r="Z803" s="344">
        <v>3044</v>
      </c>
      <c r="AA803" s="344" t="s">
        <v>574</v>
      </c>
      <c r="AB803" s="344">
        <v>1</v>
      </c>
      <c r="AC803" s="344" t="s">
        <v>457</v>
      </c>
      <c r="AD803" s="1058" t="s">
        <v>575</v>
      </c>
      <c r="AE803" s="1059">
        <v>641660</v>
      </c>
      <c r="AF803" s="889" t="s">
        <v>459</v>
      </c>
      <c r="AG803" s="889" t="s">
        <v>459</v>
      </c>
    </row>
    <row r="804" spans="26:33" x14ac:dyDescent="0.35">
      <c r="Z804" s="344">
        <v>3045</v>
      </c>
      <c r="AA804" s="344" t="s">
        <v>574</v>
      </c>
      <c r="AB804" s="344">
        <v>1</v>
      </c>
      <c r="AC804" s="344" t="e">
        <v>#N/A</v>
      </c>
      <c r="AD804" s="1058" t="s">
        <v>575</v>
      </c>
      <c r="AE804" s="1059" t="e">
        <v>#N/A</v>
      </c>
      <c r="AF804" s="889" t="s">
        <v>459</v>
      </c>
      <c r="AG804" s="889" t="s">
        <v>459</v>
      </c>
    </row>
    <row r="805" spans="26:33" x14ac:dyDescent="0.35">
      <c r="Z805" s="344">
        <v>3046</v>
      </c>
      <c r="AA805" s="344" t="s">
        <v>574</v>
      </c>
      <c r="AB805" s="344">
        <v>1</v>
      </c>
      <c r="AC805" s="344" t="s">
        <v>457</v>
      </c>
      <c r="AD805" s="1058" t="s">
        <v>575</v>
      </c>
      <c r="AE805" s="1059">
        <v>537001</v>
      </c>
      <c r="AF805" s="889" t="s">
        <v>459</v>
      </c>
      <c r="AG805" s="889" t="s">
        <v>459</v>
      </c>
    </row>
    <row r="806" spans="26:33" x14ac:dyDescent="0.35">
      <c r="Z806" s="344">
        <v>3047</v>
      </c>
      <c r="AA806" s="344" t="s">
        <v>574</v>
      </c>
      <c r="AB806" s="344">
        <v>1</v>
      </c>
      <c r="AC806" s="344" t="s">
        <v>471</v>
      </c>
      <c r="AD806" s="1058" t="s">
        <v>575</v>
      </c>
      <c r="AE806" s="1059">
        <v>326783</v>
      </c>
      <c r="AF806" s="889" t="s">
        <v>459</v>
      </c>
      <c r="AG806" s="889" t="s">
        <v>459</v>
      </c>
    </row>
    <row r="807" spans="26:33" x14ac:dyDescent="0.35">
      <c r="Z807" s="344">
        <v>3048</v>
      </c>
      <c r="AA807" s="344" t="s">
        <v>574</v>
      </c>
      <c r="AB807" s="344">
        <v>1</v>
      </c>
      <c r="AC807" s="344" t="s">
        <v>471</v>
      </c>
      <c r="AD807" s="1058" t="s">
        <v>575</v>
      </c>
      <c r="AE807" s="1059">
        <v>317698</v>
      </c>
      <c r="AF807" s="889" t="s">
        <v>460</v>
      </c>
      <c r="AG807" s="889" t="s">
        <v>459</v>
      </c>
    </row>
    <row r="808" spans="26:33" x14ac:dyDescent="0.35">
      <c r="Z808" s="344">
        <v>3049</v>
      </c>
      <c r="AA808" s="344" t="s">
        <v>574</v>
      </c>
      <c r="AB808" s="344">
        <v>1</v>
      </c>
      <c r="AC808" s="344" t="s">
        <v>471</v>
      </c>
      <c r="AD808" s="1058" t="s">
        <v>575</v>
      </c>
      <c r="AE808" s="1059">
        <v>437712</v>
      </c>
      <c r="AF808" s="889" t="s">
        <v>459</v>
      </c>
      <c r="AG808" s="889" t="s">
        <v>459</v>
      </c>
    </row>
    <row r="809" spans="26:33" x14ac:dyDescent="0.35">
      <c r="Z809" s="344">
        <v>3050</v>
      </c>
      <c r="AA809" s="344" t="s">
        <v>574</v>
      </c>
      <c r="AB809" s="344">
        <v>1</v>
      </c>
      <c r="AC809" s="344" t="e">
        <v>#N/A</v>
      </c>
      <c r="AD809" s="1058" t="s">
        <v>575</v>
      </c>
      <c r="AE809" s="1059" t="e">
        <v>#N/A</v>
      </c>
      <c r="AF809" s="889" t="s">
        <v>459</v>
      </c>
      <c r="AG809" s="889" t="s">
        <v>459</v>
      </c>
    </row>
    <row r="810" spans="26:33" x14ac:dyDescent="0.35">
      <c r="Z810" s="344">
        <v>3051</v>
      </c>
      <c r="AA810" s="344" t="s">
        <v>574</v>
      </c>
      <c r="AB810" s="344">
        <v>1</v>
      </c>
      <c r="AC810" s="344" t="s">
        <v>479</v>
      </c>
      <c r="AD810" s="1058" t="s">
        <v>575</v>
      </c>
      <c r="AE810" s="1059">
        <v>816578</v>
      </c>
      <c r="AF810" s="889" t="s">
        <v>459</v>
      </c>
      <c r="AG810" s="889" t="s">
        <v>460</v>
      </c>
    </row>
    <row r="811" spans="26:33" x14ac:dyDescent="0.35">
      <c r="Z811" s="344">
        <v>3052</v>
      </c>
      <c r="AA811" s="344" t="s">
        <v>574</v>
      </c>
      <c r="AB811" s="344">
        <v>1</v>
      </c>
      <c r="AC811" s="344" t="s">
        <v>482</v>
      </c>
      <c r="AD811" s="1058" t="s">
        <v>575</v>
      </c>
      <c r="AE811" s="1059">
        <v>1385485</v>
      </c>
      <c r="AF811" s="889" t="s">
        <v>459</v>
      </c>
      <c r="AG811" s="889" t="s">
        <v>460</v>
      </c>
    </row>
    <row r="812" spans="26:33" x14ac:dyDescent="0.35">
      <c r="Z812" s="344">
        <v>3053</v>
      </c>
      <c r="AA812" s="344" t="s">
        <v>574</v>
      </c>
      <c r="AB812" s="344">
        <v>1</v>
      </c>
      <c r="AC812" s="344" t="s">
        <v>479</v>
      </c>
      <c r="AD812" s="1058" t="s">
        <v>575</v>
      </c>
      <c r="AE812" s="1059">
        <v>770130</v>
      </c>
      <c r="AF812" s="889" t="s">
        <v>459</v>
      </c>
      <c r="AG812" s="889" t="s">
        <v>460</v>
      </c>
    </row>
    <row r="813" spans="26:33" x14ac:dyDescent="0.35">
      <c r="Z813" s="344">
        <v>3054</v>
      </c>
      <c r="AA813" s="344" t="s">
        <v>574</v>
      </c>
      <c r="AB813" s="344">
        <v>1</v>
      </c>
      <c r="AC813" s="344" t="s">
        <v>482</v>
      </c>
      <c r="AD813" s="1058" t="s">
        <v>575</v>
      </c>
      <c r="AE813" s="1059">
        <v>1015265</v>
      </c>
      <c r="AF813" s="889" t="s">
        <v>459</v>
      </c>
      <c r="AG813" s="889" t="s">
        <v>459</v>
      </c>
    </row>
    <row r="814" spans="26:33" x14ac:dyDescent="0.35">
      <c r="Z814" s="344">
        <v>3055</v>
      </c>
      <c r="AA814" s="344" t="s">
        <v>574</v>
      </c>
      <c r="AB814" s="344">
        <v>1</v>
      </c>
      <c r="AC814" s="344" t="s">
        <v>479</v>
      </c>
      <c r="AD814" s="1058" t="s">
        <v>575</v>
      </c>
      <c r="AE814" s="1059">
        <v>798288</v>
      </c>
      <c r="AF814" s="889" t="s">
        <v>459</v>
      </c>
      <c r="AG814" s="889" t="s">
        <v>459</v>
      </c>
    </row>
    <row r="815" spans="26:33" x14ac:dyDescent="0.35">
      <c r="Z815" s="344">
        <v>3056</v>
      </c>
      <c r="AA815" s="344" t="s">
        <v>574</v>
      </c>
      <c r="AB815" s="344">
        <v>1</v>
      </c>
      <c r="AC815" s="344" t="s">
        <v>479</v>
      </c>
      <c r="AD815" s="1058" t="s">
        <v>575</v>
      </c>
      <c r="AE815" s="1059">
        <v>772521</v>
      </c>
      <c r="AF815" s="889" t="s">
        <v>459</v>
      </c>
      <c r="AG815" s="889" t="s">
        <v>459</v>
      </c>
    </row>
    <row r="816" spans="26:33" x14ac:dyDescent="0.35">
      <c r="Z816" s="344">
        <v>3057</v>
      </c>
      <c r="AA816" s="344" t="s">
        <v>574</v>
      </c>
      <c r="AB816" s="344">
        <v>1</v>
      </c>
      <c r="AC816" s="344" t="s">
        <v>479</v>
      </c>
      <c r="AD816" s="1058" t="s">
        <v>575</v>
      </c>
      <c r="AE816" s="1059">
        <v>797060</v>
      </c>
      <c r="AF816" s="889" t="s">
        <v>459</v>
      </c>
      <c r="AG816" s="889" t="s">
        <v>459</v>
      </c>
    </row>
    <row r="817" spans="26:33" x14ac:dyDescent="0.35">
      <c r="Z817" s="344">
        <v>3058</v>
      </c>
      <c r="AA817" s="344" t="s">
        <v>574</v>
      </c>
      <c r="AB817" s="344">
        <v>1</v>
      </c>
      <c r="AC817" s="344" t="s">
        <v>457</v>
      </c>
      <c r="AD817" s="1058" t="s">
        <v>575</v>
      </c>
      <c r="AE817" s="1059">
        <v>628761</v>
      </c>
      <c r="AF817" s="889" t="s">
        <v>459</v>
      </c>
      <c r="AG817" s="889" t="s">
        <v>459</v>
      </c>
    </row>
    <row r="818" spans="26:33" x14ac:dyDescent="0.35">
      <c r="Z818" s="344">
        <v>3059</v>
      </c>
      <c r="AA818" s="344" t="s">
        <v>574</v>
      </c>
      <c r="AB818" s="344">
        <v>1</v>
      </c>
      <c r="AC818" s="344" t="s">
        <v>457</v>
      </c>
      <c r="AD818" s="1058" t="s">
        <v>575</v>
      </c>
      <c r="AE818" s="1059">
        <v>549063</v>
      </c>
      <c r="AF818" s="889" t="s">
        <v>459</v>
      </c>
      <c r="AG818" s="889" t="s">
        <v>459</v>
      </c>
    </row>
    <row r="819" spans="26:33" x14ac:dyDescent="0.35">
      <c r="Z819" s="344">
        <v>3060</v>
      </c>
      <c r="AA819" s="344" t="s">
        <v>574</v>
      </c>
      <c r="AB819" s="344">
        <v>1</v>
      </c>
      <c r="AC819" s="344" t="s">
        <v>471</v>
      </c>
      <c r="AD819" s="1058" t="s">
        <v>575</v>
      </c>
      <c r="AE819" s="1059">
        <v>441678</v>
      </c>
      <c r="AF819" s="889" t="s">
        <v>459</v>
      </c>
      <c r="AG819" s="889" t="s">
        <v>459</v>
      </c>
    </row>
    <row r="820" spans="26:33" x14ac:dyDescent="0.35">
      <c r="Z820" s="344">
        <v>3061</v>
      </c>
      <c r="AA820" s="344" t="s">
        <v>574</v>
      </c>
      <c r="AB820" s="344">
        <v>1</v>
      </c>
      <c r="AC820" s="344" t="s">
        <v>471</v>
      </c>
      <c r="AD820" s="1058" t="s">
        <v>575</v>
      </c>
      <c r="AE820" s="1059">
        <v>356146</v>
      </c>
      <c r="AF820" s="889" t="s">
        <v>460</v>
      </c>
      <c r="AG820" s="889" t="s">
        <v>459</v>
      </c>
    </row>
    <row r="821" spans="26:33" x14ac:dyDescent="0.35">
      <c r="Z821" s="344">
        <v>3062</v>
      </c>
      <c r="AA821" s="344" t="s">
        <v>574</v>
      </c>
      <c r="AB821" s="344">
        <v>1</v>
      </c>
      <c r="AC821" s="344" t="e">
        <v>#N/A</v>
      </c>
      <c r="AD821" s="1058" t="s">
        <v>575</v>
      </c>
      <c r="AE821" s="1059" t="e">
        <v>#N/A</v>
      </c>
      <c r="AF821" s="889" t="s">
        <v>459</v>
      </c>
      <c r="AG821" s="889" t="s">
        <v>459</v>
      </c>
    </row>
    <row r="822" spans="26:33" x14ac:dyDescent="0.35">
      <c r="Z822" s="344">
        <v>3063</v>
      </c>
      <c r="AA822" s="344" t="s">
        <v>574</v>
      </c>
      <c r="AB822" s="344">
        <v>1</v>
      </c>
      <c r="AC822" s="344" t="s">
        <v>457</v>
      </c>
      <c r="AD822" s="1058" t="s">
        <v>575</v>
      </c>
      <c r="AE822" s="1059">
        <v>654219</v>
      </c>
      <c r="AF822" s="889" t="s">
        <v>459</v>
      </c>
      <c r="AG822" s="889" t="s">
        <v>459</v>
      </c>
    </row>
    <row r="823" spans="26:33" x14ac:dyDescent="0.35">
      <c r="Z823" s="344">
        <v>3064</v>
      </c>
      <c r="AA823" s="344" t="s">
        <v>574</v>
      </c>
      <c r="AB823" s="344">
        <v>1</v>
      </c>
      <c r="AC823" s="344" t="s">
        <v>457</v>
      </c>
      <c r="AD823" s="1058" t="s">
        <v>575</v>
      </c>
      <c r="AE823" s="1059">
        <v>566378</v>
      </c>
      <c r="AF823" s="889" t="s">
        <v>459</v>
      </c>
      <c r="AG823" s="889" t="s">
        <v>459</v>
      </c>
    </row>
    <row r="824" spans="26:33" x14ac:dyDescent="0.35">
      <c r="Z824" s="344">
        <v>3065</v>
      </c>
      <c r="AA824" s="344" t="s">
        <v>574</v>
      </c>
      <c r="AB824" s="344">
        <v>1</v>
      </c>
      <c r="AC824" s="344" t="s">
        <v>482</v>
      </c>
      <c r="AD824" s="1058" t="s">
        <v>575</v>
      </c>
      <c r="AE824" s="1059">
        <v>1045177</v>
      </c>
      <c r="AF824" s="889" t="s">
        <v>459</v>
      </c>
      <c r="AG824" s="889" t="s">
        <v>460</v>
      </c>
    </row>
    <row r="825" spans="26:33" x14ac:dyDescent="0.35">
      <c r="Z825" s="344">
        <v>3066</v>
      </c>
      <c r="AA825" s="344" t="s">
        <v>574</v>
      </c>
      <c r="AB825" s="344">
        <v>1</v>
      </c>
      <c r="AC825" s="344" t="s">
        <v>457</v>
      </c>
      <c r="AD825" s="1058" t="s">
        <v>575</v>
      </c>
      <c r="AE825" s="1059">
        <v>663353</v>
      </c>
      <c r="AF825" s="889" t="s">
        <v>459</v>
      </c>
      <c r="AG825" s="889" t="s">
        <v>459</v>
      </c>
    </row>
    <row r="826" spans="26:33" x14ac:dyDescent="0.35">
      <c r="Z826" s="344">
        <v>3067</v>
      </c>
      <c r="AA826" s="344" t="s">
        <v>574</v>
      </c>
      <c r="AB826" s="344">
        <v>1</v>
      </c>
      <c r="AC826" s="344" t="s">
        <v>482</v>
      </c>
      <c r="AD826" s="1058" t="s">
        <v>575</v>
      </c>
      <c r="AE826" s="1059">
        <v>916044</v>
      </c>
      <c r="AF826" s="889" t="s">
        <v>459</v>
      </c>
      <c r="AG826" s="889" t="s">
        <v>460</v>
      </c>
    </row>
    <row r="827" spans="26:33" x14ac:dyDescent="0.35">
      <c r="Z827" s="344">
        <v>3068</v>
      </c>
      <c r="AA827" s="344" t="s">
        <v>574</v>
      </c>
      <c r="AB827" s="344">
        <v>1</v>
      </c>
      <c r="AC827" s="344" t="s">
        <v>482</v>
      </c>
      <c r="AD827" s="1058" t="s">
        <v>575</v>
      </c>
      <c r="AE827" s="1059">
        <v>1014635</v>
      </c>
      <c r="AF827" s="889" t="s">
        <v>459</v>
      </c>
      <c r="AG827" s="889" t="s">
        <v>459</v>
      </c>
    </row>
    <row r="828" spans="26:33" x14ac:dyDescent="0.35">
      <c r="Z828" s="344">
        <v>3069</v>
      </c>
      <c r="AA828" s="344" t="s">
        <v>574</v>
      </c>
      <c r="AB828" s="344">
        <v>1</v>
      </c>
      <c r="AC828" s="344" t="e">
        <v>#N/A</v>
      </c>
      <c r="AD828" s="1058" t="s">
        <v>575</v>
      </c>
      <c r="AE828" s="1059" t="e">
        <v>#N/A</v>
      </c>
      <c r="AF828" s="889" t="s">
        <v>459</v>
      </c>
      <c r="AG828" s="889" t="s">
        <v>459</v>
      </c>
    </row>
    <row r="829" spans="26:33" x14ac:dyDescent="0.35">
      <c r="Z829" s="344">
        <v>3070</v>
      </c>
      <c r="AA829" s="344" t="s">
        <v>574</v>
      </c>
      <c r="AB829" s="344">
        <v>1</v>
      </c>
      <c r="AC829" s="344" t="s">
        <v>482</v>
      </c>
      <c r="AD829" s="1058" t="s">
        <v>575</v>
      </c>
      <c r="AE829" s="1059">
        <v>922430</v>
      </c>
      <c r="AF829" s="889" t="s">
        <v>459</v>
      </c>
      <c r="AG829" s="889" t="s">
        <v>459</v>
      </c>
    </row>
    <row r="830" spans="26:33" x14ac:dyDescent="0.35">
      <c r="Z830" s="344">
        <v>3071</v>
      </c>
      <c r="AA830" s="344" t="s">
        <v>574</v>
      </c>
      <c r="AB830" s="344">
        <v>1</v>
      </c>
      <c r="AC830" s="344" t="s">
        <v>479</v>
      </c>
      <c r="AD830" s="1058" t="s">
        <v>575</v>
      </c>
      <c r="AE830" s="1059">
        <v>810934</v>
      </c>
      <c r="AF830" s="889" t="s">
        <v>459</v>
      </c>
      <c r="AG830" s="889" t="s">
        <v>459</v>
      </c>
    </row>
    <row r="831" spans="26:33" x14ac:dyDescent="0.35">
      <c r="Z831" s="344">
        <v>3072</v>
      </c>
      <c r="AA831" s="344" t="s">
        <v>574</v>
      </c>
      <c r="AB831" s="344">
        <v>1</v>
      </c>
      <c r="AC831" s="344" t="s">
        <v>457</v>
      </c>
      <c r="AD831" s="1058" t="s">
        <v>575</v>
      </c>
      <c r="AE831" s="1059">
        <v>674226</v>
      </c>
      <c r="AF831" s="889" t="s">
        <v>459</v>
      </c>
      <c r="AG831" s="889" t="s">
        <v>459</v>
      </c>
    </row>
    <row r="832" spans="26:33" x14ac:dyDescent="0.35">
      <c r="Z832" s="344">
        <v>3073</v>
      </c>
      <c r="AA832" s="344" t="s">
        <v>574</v>
      </c>
      <c r="AB832" s="344">
        <v>1</v>
      </c>
      <c r="AC832" s="344" t="s">
        <v>457</v>
      </c>
      <c r="AD832" s="1058" t="s">
        <v>575</v>
      </c>
      <c r="AE832" s="1059">
        <v>529210</v>
      </c>
      <c r="AF832" s="889" t="s">
        <v>459</v>
      </c>
      <c r="AG832" s="889" t="s">
        <v>459</v>
      </c>
    </row>
    <row r="833" spans="26:33" x14ac:dyDescent="0.35">
      <c r="Z833" s="344">
        <v>3074</v>
      </c>
      <c r="AA833" s="344" t="s">
        <v>574</v>
      </c>
      <c r="AB833" s="344">
        <v>1</v>
      </c>
      <c r="AC833" s="344" t="s">
        <v>471</v>
      </c>
      <c r="AD833" s="1058" t="s">
        <v>575</v>
      </c>
      <c r="AE833" s="1059">
        <v>400966</v>
      </c>
      <c r="AF833" s="889" t="s">
        <v>459</v>
      </c>
      <c r="AG833" s="889" t="s">
        <v>459</v>
      </c>
    </row>
    <row r="834" spans="26:33" x14ac:dyDescent="0.35">
      <c r="Z834" s="344">
        <v>3075</v>
      </c>
      <c r="AA834" s="344" t="s">
        <v>574</v>
      </c>
      <c r="AB834" s="344">
        <v>1</v>
      </c>
      <c r="AC834" s="344" t="s">
        <v>471</v>
      </c>
      <c r="AD834" s="1058" t="s">
        <v>575</v>
      </c>
      <c r="AE834" s="1059">
        <v>375535</v>
      </c>
      <c r="AF834" s="889" t="s">
        <v>459</v>
      </c>
      <c r="AG834" s="889" t="s">
        <v>459</v>
      </c>
    </row>
    <row r="835" spans="26:33" x14ac:dyDescent="0.35">
      <c r="Z835" s="344">
        <v>3076</v>
      </c>
      <c r="AA835" s="344" t="s">
        <v>574</v>
      </c>
      <c r="AB835" s="344">
        <v>1</v>
      </c>
      <c r="AC835" s="344" t="s">
        <v>471</v>
      </c>
      <c r="AD835" s="1058" t="s">
        <v>575</v>
      </c>
      <c r="AE835" s="1059">
        <v>397152</v>
      </c>
      <c r="AF835" s="889" t="s">
        <v>459</v>
      </c>
      <c r="AG835" s="889" t="s">
        <v>459</v>
      </c>
    </row>
    <row r="836" spans="26:33" x14ac:dyDescent="0.35">
      <c r="Z836" s="344">
        <v>3077</v>
      </c>
      <c r="AA836" s="344" t="s">
        <v>574</v>
      </c>
      <c r="AB836" s="344">
        <v>1</v>
      </c>
      <c r="AC836" s="344" t="e">
        <v>#N/A</v>
      </c>
      <c r="AD836" s="1058" t="s">
        <v>575</v>
      </c>
      <c r="AE836" s="1059" t="e">
        <v>#N/A</v>
      </c>
      <c r="AF836" s="889" t="s">
        <v>459</v>
      </c>
      <c r="AG836" s="889" t="s">
        <v>459</v>
      </c>
    </row>
    <row r="837" spans="26:33" x14ac:dyDescent="0.35">
      <c r="Z837" s="344">
        <v>3078</v>
      </c>
      <c r="AA837" s="344" t="s">
        <v>574</v>
      </c>
      <c r="AB837" s="344">
        <v>1</v>
      </c>
      <c r="AC837" s="344" t="s">
        <v>482</v>
      </c>
      <c r="AD837" s="1058" t="s">
        <v>575</v>
      </c>
      <c r="AE837" s="1059">
        <v>1084112</v>
      </c>
      <c r="AF837" s="889" t="s">
        <v>459</v>
      </c>
      <c r="AG837" s="889" t="s">
        <v>459</v>
      </c>
    </row>
    <row r="838" spans="26:33" x14ac:dyDescent="0.35">
      <c r="Z838" s="344">
        <v>3079</v>
      </c>
      <c r="AA838" s="344" t="s">
        <v>574</v>
      </c>
      <c r="AB838" s="344">
        <v>1</v>
      </c>
      <c r="AC838" s="344" t="s">
        <v>482</v>
      </c>
      <c r="AD838" s="1058" t="s">
        <v>575</v>
      </c>
      <c r="AE838" s="1059">
        <v>1329882</v>
      </c>
      <c r="AF838" s="889" t="s">
        <v>459</v>
      </c>
      <c r="AG838" s="889" t="s">
        <v>459</v>
      </c>
    </row>
    <row r="839" spans="26:33" x14ac:dyDescent="0.35">
      <c r="Z839" s="344">
        <v>3080</v>
      </c>
      <c r="AA839" s="344" t="s">
        <v>574</v>
      </c>
      <c r="AB839" s="344">
        <v>1</v>
      </c>
      <c r="AC839" s="344" t="e">
        <v>#N/A</v>
      </c>
      <c r="AD839" s="1058" t="s">
        <v>575</v>
      </c>
      <c r="AE839" s="1059" t="e">
        <v>#N/A</v>
      </c>
      <c r="AF839" s="889" t="s">
        <v>459</v>
      </c>
      <c r="AG839" s="889" t="s">
        <v>459</v>
      </c>
    </row>
    <row r="840" spans="26:33" x14ac:dyDescent="0.35">
      <c r="Z840" s="344">
        <v>3081</v>
      </c>
      <c r="AA840" s="344" t="s">
        <v>574</v>
      </c>
      <c r="AB840" s="344">
        <v>1</v>
      </c>
      <c r="AC840" s="344" t="s">
        <v>457</v>
      </c>
      <c r="AD840" s="1058" t="s">
        <v>575</v>
      </c>
      <c r="AE840" s="1059">
        <v>521380</v>
      </c>
      <c r="AF840" s="889" t="s">
        <v>459</v>
      </c>
      <c r="AG840" s="889" t="s">
        <v>459</v>
      </c>
    </row>
    <row r="841" spans="26:33" x14ac:dyDescent="0.35">
      <c r="Z841" s="344">
        <v>3082</v>
      </c>
      <c r="AA841" s="344" t="s">
        <v>574</v>
      </c>
      <c r="AB841" s="344">
        <v>1</v>
      </c>
      <c r="AC841" s="344" t="s">
        <v>471</v>
      </c>
      <c r="AD841" s="1058" t="s">
        <v>575</v>
      </c>
      <c r="AE841" s="1059">
        <v>415039</v>
      </c>
      <c r="AF841" s="889" t="s">
        <v>459</v>
      </c>
      <c r="AG841" s="889" t="s">
        <v>459</v>
      </c>
    </row>
    <row r="842" spans="26:33" x14ac:dyDescent="0.35">
      <c r="Z842" s="344">
        <v>3083</v>
      </c>
      <c r="AA842" s="344" t="s">
        <v>574</v>
      </c>
      <c r="AB842" s="344">
        <v>1</v>
      </c>
      <c r="AC842" s="344" t="s">
        <v>457</v>
      </c>
      <c r="AD842" s="1058" t="s">
        <v>575</v>
      </c>
      <c r="AE842" s="1059">
        <v>488847</v>
      </c>
      <c r="AF842" s="889" t="s">
        <v>459</v>
      </c>
      <c r="AG842" s="889" t="s">
        <v>459</v>
      </c>
    </row>
    <row r="843" spans="26:33" x14ac:dyDescent="0.35">
      <c r="Z843" s="344">
        <v>3084</v>
      </c>
      <c r="AA843" s="344" t="s">
        <v>574</v>
      </c>
      <c r="AB843" s="344">
        <v>1</v>
      </c>
      <c r="AC843" s="344" t="s">
        <v>482</v>
      </c>
      <c r="AD843" s="1058" t="s">
        <v>575</v>
      </c>
      <c r="AE843" s="1059">
        <v>953849</v>
      </c>
      <c r="AF843" s="889" t="s">
        <v>459</v>
      </c>
      <c r="AG843" s="889" t="s">
        <v>459</v>
      </c>
    </row>
    <row r="844" spans="26:33" x14ac:dyDescent="0.35">
      <c r="Z844" s="344">
        <v>3085</v>
      </c>
      <c r="AA844" s="344" t="s">
        <v>574</v>
      </c>
      <c r="AB844" s="344">
        <v>1</v>
      </c>
      <c r="AC844" s="344" t="s">
        <v>457</v>
      </c>
      <c r="AD844" s="1058" t="s">
        <v>575</v>
      </c>
      <c r="AE844" s="1059">
        <v>612201</v>
      </c>
      <c r="AF844" s="889" t="s">
        <v>459</v>
      </c>
      <c r="AG844" s="889" t="s">
        <v>459</v>
      </c>
    </row>
    <row r="845" spans="26:33" x14ac:dyDescent="0.35">
      <c r="Z845" s="344">
        <v>3086</v>
      </c>
      <c r="AA845" s="344" t="s">
        <v>574</v>
      </c>
      <c r="AB845" s="344">
        <v>1</v>
      </c>
      <c r="AC845" s="344" t="e">
        <v>#N/A</v>
      </c>
      <c r="AD845" s="1058" t="s">
        <v>575</v>
      </c>
      <c r="AE845" s="1059" t="e">
        <v>#N/A</v>
      </c>
      <c r="AF845" s="889" t="s">
        <v>459</v>
      </c>
      <c r="AG845" s="889" t="s">
        <v>459</v>
      </c>
    </row>
    <row r="846" spans="26:33" x14ac:dyDescent="0.35">
      <c r="Z846" s="344">
        <v>3087</v>
      </c>
      <c r="AA846" s="344" t="s">
        <v>574</v>
      </c>
      <c r="AB846" s="344">
        <v>1</v>
      </c>
      <c r="AC846" s="344" t="s">
        <v>457</v>
      </c>
      <c r="AD846" s="1058" t="s">
        <v>575</v>
      </c>
      <c r="AE846" s="1059">
        <v>532300</v>
      </c>
      <c r="AF846" s="889" t="s">
        <v>459</v>
      </c>
      <c r="AG846" s="889" t="s">
        <v>459</v>
      </c>
    </row>
    <row r="847" spans="26:33" x14ac:dyDescent="0.35">
      <c r="Z847" s="344">
        <v>3088</v>
      </c>
      <c r="AA847" s="344" t="s">
        <v>574</v>
      </c>
      <c r="AB847" s="344">
        <v>1</v>
      </c>
      <c r="AC847" s="344" t="s">
        <v>457</v>
      </c>
      <c r="AD847" s="1058" t="s">
        <v>575</v>
      </c>
      <c r="AE847" s="1059">
        <v>589425</v>
      </c>
      <c r="AF847" s="889" t="s">
        <v>459</v>
      </c>
      <c r="AG847" s="889" t="s">
        <v>459</v>
      </c>
    </row>
    <row r="848" spans="26:33" x14ac:dyDescent="0.35">
      <c r="Z848" s="344">
        <v>3089</v>
      </c>
      <c r="AA848" s="344" t="s">
        <v>574</v>
      </c>
      <c r="AB848" s="344">
        <v>1</v>
      </c>
      <c r="AC848" s="344" t="s">
        <v>457</v>
      </c>
      <c r="AD848" s="1058" t="s">
        <v>575</v>
      </c>
      <c r="AE848" s="1059">
        <v>555397</v>
      </c>
      <c r="AF848" s="889" t="s">
        <v>459</v>
      </c>
      <c r="AG848" s="889" t="s">
        <v>459</v>
      </c>
    </row>
    <row r="849" spans="26:33" x14ac:dyDescent="0.35">
      <c r="Z849" s="344">
        <v>3090</v>
      </c>
      <c r="AA849" s="344" t="s">
        <v>574</v>
      </c>
      <c r="AB849" s="344">
        <v>1</v>
      </c>
      <c r="AC849" s="344" t="s">
        <v>479</v>
      </c>
      <c r="AD849" s="1058" t="s">
        <v>575</v>
      </c>
      <c r="AE849" s="1059">
        <v>831073</v>
      </c>
      <c r="AF849" s="889" t="s">
        <v>460</v>
      </c>
      <c r="AG849" s="889" t="s">
        <v>459</v>
      </c>
    </row>
    <row r="850" spans="26:33" x14ac:dyDescent="0.35">
      <c r="Z850" s="344">
        <v>3091</v>
      </c>
      <c r="AA850" s="344" t="s">
        <v>574</v>
      </c>
      <c r="AB850" s="344">
        <v>1</v>
      </c>
      <c r="AC850" s="344" t="s">
        <v>482</v>
      </c>
      <c r="AD850" s="1058" t="s">
        <v>575</v>
      </c>
      <c r="AE850" s="1059">
        <v>1002802</v>
      </c>
      <c r="AF850" s="889" t="s">
        <v>459</v>
      </c>
      <c r="AG850" s="889" t="s">
        <v>459</v>
      </c>
    </row>
    <row r="851" spans="26:33" x14ac:dyDescent="0.35">
      <c r="Z851" s="344">
        <v>3092</v>
      </c>
      <c r="AA851" s="344" t="s">
        <v>574</v>
      </c>
      <c r="AB851" s="344">
        <v>1</v>
      </c>
      <c r="AC851" s="344" t="e">
        <v>#N/A</v>
      </c>
      <c r="AD851" s="1058" t="s">
        <v>575</v>
      </c>
      <c r="AE851" s="1059" t="e">
        <v>#N/A</v>
      </c>
      <c r="AF851" s="889" t="s">
        <v>459</v>
      </c>
      <c r="AG851" s="889" t="s">
        <v>459</v>
      </c>
    </row>
    <row r="852" spans="26:33" x14ac:dyDescent="0.35">
      <c r="Z852" s="344">
        <v>3093</v>
      </c>
      <c r="AA852" s="344" t="s">
        <v>574</v>
      </c>
      <c r="AB852" s="344">
        <v>1</v>
      </c>
      <c r="AC852" s="344" t="s">
        <v>457</v>
      </c>
      <c r="AD852" s="1058" t="s">
        <v>575</v>
      </c>
      <c r="AE852" s="1059">
        <v>720010</v>
      </c>
      <c r="AF852" s="889" t="s">
        <v>459</v>
      </c>
      <c r="AG852" s="889" t="s">
        <v>459</v>
      </c>
    </row>
    <row r="853" spans="26:33" x14ac:dyDescent="0.35">
      <c r="Z853" s="344">
        <v>3094</v>
      </c>
      <c r="AA853" s="344" t="s">
        <v>574</v>
      </c>
      <c r="AB853" s="344">
        <v>1</v>
      </c>
      <c r="AC853" s="344" t="s">
        <v>457</v>
      </c>
      <c r="AD853" s="1058" t="s">
        <v>575</v>
      </c>
      <c r="AE853" s="1059">
        <v>594324</v>
      </c>
      <c r="AF853" s="889" t="s">
        <v>459</v>
      </c>
      <c r="AG853" s="889" t="s">
        <v>459</v>
      </c>
    </row>
    <row r="854" spans="26:33" x14ac:dyDescent="0.35">
      <c r="Z854" s="344">
        <v>3095</v>
      </c>
      <c r="AA854" s="344" t="s">
        <v>574</v>
      </c>
      <c r="AB854" s="344">
        <v>1</v>
      </c>
      <c r="AC854" s="344" t="s">
        <v>457</v>
      </c>
      <c r="AD854" s="1058" t="s">
        <v>575</v>
      </c>
      <c r="AE854" s="1059">
        <v>705810</v>
      </c>
      <c r="AF854" s="889" t="s">
        <v>459</v>
      </c>
      <c r="AG854" s="889" t="s">
        <v>459</v>
      </c>
    </row>
    <row r="855" spans="26:33" x14ac:dyDescent="0.35">
      <c r="Z855" s="344">
        <v>3096</v>
      </c>
      <c r="AA855" s="344" t="s">
        <v>574</v>
      </c>
      <c r="AB855" s="344">
        <v>1</v>
      </c>
      <c r="AC855" s="344" t="s">
        <v>457</v>
      </c>
      <c r="AD855" s="1058" t="s">
        <v>575</v>
      </c>
      <c r="AE855" s="1059">
        <v>544788</v>
      </c>
      <c r="AF855" s="889" t="s">
        <v>459</v>
      </c>
      <c r="AG855" s="889" t="s">
        <v>459</v>
      </c>
    </row>
    <row r="856" spans="26:33" x14ac:dyDescent="0.35">
      <c r="Z856" s="344">
        <v>3097</v>
      </c>
      <c r="AA856" s="344" t="s">
        <v>574</v>
      </c>
      <c r="AB856" s="344">
        <v>1</v>
      </c>
      <c r="AC856" s="344" t="s">
        <v>482</v>
      </c>
      <c r="AD856" s="1058" t="s">
        <v>575</v>
      </c>
      <c r="AE856" s="1059">
        <v>1112020</v>
      </c>
      <c r="AF856" s="889" t="s">
        <v>459</v>
      </c>
      <c r="AG856" s="889" t="s">
        <v>459</v>
      </c>
    </row>
    <row r="857" spans="26:33" x14ac:dyDescent="0.35">
      <c r="Z857" s="344">
        <v>3098</v>
      </c>
      <c r="AA857" s="344" t="s">
        <v>574</v>
      </c>
      <c r="AB857" s="344">
        <v>1</v>
      </c>
      <c r="AC857" s="344" t="e">
        <v>#N/A</v>
      </c>
      <c r="AD857" s="1058" t="s">
        <v>575</v>
      </c>
      <c r="AE857" s="1059" t="e">
        <v>#N/A</v>
      </c>
      <c r="AF857" s="889" t="s">
        <v>459</v>
      </c>
      <c r="AG857" s="889" t="s">
        <v>459</v>
      </c>
    </row>
    <row r="858" spans="26:33" x14ac:dyDescent="0.35">
      <c r="Z858" s="344">
        <v>3099</v>
      </c>
      <c r="AA858" s="344" t="s">
        <v>574</v>
      </c>
      <c r="AB858" s="344">
        <v>1</v>
      </c>
      <c r="AC858" s="344" t="s">
        <v>482</v>
      </c>
      <c r="AD858" s="1058" t="s">
        <v>575</v>
      </c>
      <c r="AE858" s="1059">
        <v>1189785</v>
      </c>
      <c r="AF858" s="889" t="s">
        <v>459</v>
      </c>
      <c r="AG858" s="889" t="s">
        <v>459</v>
      </c>
    </row>
    <row r="859" spans="26:33" x14ac:dyDescent="0.35">
      <c r="Z859" s="344">
        <v>3100</v>
      </c>
      <c r="AA859" s="344" t="s">
        <v>574</v>
      </c>
      <c r="AB859" s="344">
        <v>1</v>
      </c>
      <c r="AC859" s="344" t="e">
        <v>#N/A</v>
      </c>
      <c r="AD859" s="1058" t="s">
        <v>575</v>
      </c>
      <c r="AE859" s="1059" t="e">
        <v>#N/A</v>
      </c>
      <c r="AF859" s="889" t="s">
        <v>459</v>
      </c>
      <c r="AG859" s="889" t="s">
        <v>459</v>
      </c>
    </row>
    <row r="860" spans="26:33" x14ac:dyDescent="0.35">
      <c r="Z860" s="344">
        <v>3101</v>
      </c>
      <c r="AA860" s="344" t="s">
        <v>574</v>
      </c>
      <c r="AB860" s="344">
        <v>1</v>
      </c>
      <c r="AC860" s="344" t="s">
        <v>482</v>
      </c>
      <c r="AD860" s="1058" t="s">
        <v>575</v>
      </c>
      <c r="AE860" s="1059">
        <v>1969244</v>
      </c>
      <c r="AF860" s="889" t="s">
        <v>459</v>
      </c>
      <c r="AG860" s="889" t="s">
        <v>459</v>
      </c>
    </row>
    <row r="861" spans="26:33" x14ac:dyDescent="0.35">
      <c r="Z861" s="344">
        <v>3102</v>
      </c>
      <c r="AA861" s="344" t="s">
        <v>574</v>
      </c>
      <c r="AB861" s="344">
        <v>1</v>
      </c>
      <c r="AC861" s="344" t="s">
        <v>482</v>
      </c>
      <c r="AD861" s="1058" t="s">
        <v>575</v>
      </c>
      <c r="AE861" s="1059">
        <v>1350198</v>
      </c>
      <c r="AF861" s="889" t="s">
        <v>459</v>
      </c>
      <c r="AG861" s="889" t="s">
        <v>459</v>
      </c>
    </row>
    <row r="862" spans="26:33" x14ac:dyDescent="0.35">
      <c r="Z862" s="344">
        <v>3103</v>
      </c>
      <c r="AA862" s="344" t="s">
        <v>574</v>
      </c>
      <c r="AB862" s="344">
        <v>1</v>
      </c>
      <c r="AC862" s="344" t="s">
        <v>482</v>
      </c>
      <c r="AD862" s="1058" t="s">
        <v>575</v>
      </c>
      <c r="AE862" s="1059">
        <v>1907868</v>
      </c>
      <c r="AF862" s="889" t="s">
        <v>459</v>
      </c>
      <c r="AG862" s="889" t="s">
        <v>459</v>
      </c>
    </row>
    <row r="863" spans="26:33" x14ac:dyDescent="0.35">
      <c r="Z863" s="344">
        <v>3104</v>
      </c>
      <c r="AA863" s="344" t="s">
        <v>574</v>
      </c>
      <c r="AB863" s="344">
        <v>1</v>
      </c>
      <c r="AC863" s="344" t="s">
        <v>482</v>
      </c>
      <c r="AD863" s="1058" t="s">
        <v>575</v>
      </c>
      <c r="AE863" s="1059">
        <v>1384048</v>
      </c>
      <c r="AF863" s="889" t="s">
        <v>459</v>
      </c>
      <c r="AG863" s="889" t="s">
        <v>459</v>
      </c>
    </row>
    <row r="864" spans="26:33" x14ac:dyDescent="0.35">
      <c r="Z864" s="344">
        <v>3105</v>
      </c>
      <c r="AA864" s="344" t="s">
        <v>574</v>
      </c>
      <c r="AB864" s="344">
        <v>1</v>
      </c>
      <c r="AC864" s="344" t="s">
        <v>479</v>
      </c>
      <c r="AD864" s="1058" t="s">
        <v>575</v>
      </c>
      <c r="AE864" s="1059">
        <v>860019</v>
      </c>
      <c r="AF864" s="889" t="s">
        <v>459</v>
      </c>
      <c r="AG864" s="889" t="s">
        <v>459</v>
      </c>
    </row>
    <row r="865" spans="26:33" x14ac:dyDescent="0.35">
      <c r="Z865" s="344">
        <v>3106</v>
      </c>
      <c r="AA865" s="344" t="s">
        <v>574</v>
      </c>
      <c r="AB865" s="344">
        <v>1</v>
      </c>
      <c r="AC865" s="344" t="s">
        <v>479</v>
      </c>
      <c r="AD865" s="1058" t="s">
        <v>575</v>
      </c>
      <c r="AE865" s="1059">
        <v>892626</v>
      </c>
      <c r="AF865" s="889" t="s">
        <v>459</v>
      </c>
      <c r="AG865" s="889" t="s">
        <v>459</v>
      </c>
    </row>
    <row r="866" spans="26:33" x14ac:dyDescent="0.35">
      <c r="Z866" s="344">
        <v>3107</v>
      </c>
      <c r="AA866" s="344" t="s">
        <v>574</v>
      </c>
      <c r="AB866" s="344">
        <v>1</v>
      </c>
      <c r="AC866" s="344" t="s">
        <v>479</v>
      </c>
      <c r="AD866" s="1058" t="s">
        <v>575</v>
      </c>
      <c r="AE866" s="1059">
        <v>793045</v>
      </c>
      <c r="AF866" s="889" t="s">
        <v>459</v>
      </c>
      <c r="AG866" s="889" t="s">
        <v>459</v>
      </c>
    </row>
    <row r="867" spans="26:33" x14ac:dyDescent="0.35">
      <c r="Z867" s="344">
        <v>3108</v>
      </c>
      <c r="AA867" s="344" t="s">
        <v>574</v>
      </c>
      <c r="AB867" s="344">
        <v>1</v>
      </c>
      <c r="AC867" s="344" t="s">
        <v>482</v>
      </c>
      <c r="AD867" s="1058" t="s">
        <v>575</v>
      </c>
      <c r="AE867" s="1059">
        <v>906760</v>
      </c>
      <c r="AF867" s="889" t="s">
        <v>459</v>
      </c>
      <c r="AG867" s="889" t="s">
        <v>460</v>
      </c>
    </row>
    <row r="868" spans="26:33" x14ac:dyDescent="0.35">
      <c r="Z868" s="344">
        <v>3109</v>
      </c>
      <c r="AA868" s="344" t="s">
        <v>574</v>
      </c>
      <c r="AB868" s="344">
        <v>1</v>
      </c>
      <c r="AC868" s="344" t="s">
        <v>479</v>
      </c>
      <c r="AD868" s="1058" t="s">
        <v>575</v>
      </c>
      <c r="AE868" s="1059">
        <v>808282</v>
      </c>
      <c r="AF868" s="889" t="s">
        <v>459</v>
      </c>
      <c r="AG868" s="889" t="s">
        <v>459</v>
      </c>
    </row>
    <row r="869" spans="26:33" x14ac:dyDescent="0.35">
      <c r="Z869" s="344">
        <v>3110</v>
      </c>
      <c r="AA869" s="344" t="s">
        <v>574</v>
      </c>
      <c r="AB869" s="344">
        <v>1</v>
      </c>
      <c r="AC869" s="344" t="e">
        <v>#N/A</v>
      </c>
      <c r="AD869" s="1058" t="s">
        <v>575</v>
      </c>
      <c r="AE869" s="1059" t="e">
        <v>#N/A</v>
      </c>
      <c r="AF869" s="889" t="s">
        <v>459</v>
      </c>
      <c r="AG869" s="889" t="s">
        <v>459</v>
      </c>
    </row>
    <row r="870" spans="26:33" x14ac:dyDescent="0.35">
      <c r="Z870" s="344">
        <v>3111</v>
      </c>
      <c r="AA870" s="344" t="s">
        <v>574</v>
      </c>
      <c r="AB870" s="344">
        <v>1</v>
      </c>
      <c r="AC870" s="344" t="s">
        <v>479</v>
      </c>
      <c r="AD870" s="1058" t="s">
        <v>575</v>
      </c>
      <c r="AE870" s="1059">
        <v>801406</v>
      </c>
      <c r="AF870" s="889" t="s">
        <v>459</v>
      </c>
      <c r="AG870" s="889" t="s">
        <v>459</v>
      </c>
    </row>
    <row r="871" spans="26:33" x14ac:dyDescent="0.35">
      <c r="Z871" s="344">
        <v>3112</v>
      </c>
      <c r="AA871" s="344" t="s">
        <v>574</v>
      </c>
      <c r="AB871" s="344">
        <v>1</v>
      </c>
      <c r="AC871" s="344" t="e">
        <v>#N/A</v>
      </c>
      <c r="AD871" s="1058" t="s">
        <v>575</v>
      </c>
      <c r="AE871" s="1059" t="e">
        <v>#N/A</v>
      </c>
      <c r="AF871" s="889" t="s">
        <v>459</v>
      </c>
      <c r="AG871" s="889" t="s">
        <v>459</v>
      </c>
    </row>
    <row r="872" spans="26:33" x14ac:dyDescent="0.35">
      <c r="Z872" s="344">
        <v>3113</v>
      </c>
      <c r="AA872" s="344" t="s">
        <v>574</v>
      </c>
      <c r="AB872" s="344">
        <v>1</v>
      </c>
      <c r="AC872" s="344" t="s">
        <v>457</v>
      </c>
      <c r="AD872" s="1058" t="s">
        <v>575</v>
      </c>
      <c r="AE872" s="1059">
        <v>694322</v>
      </c>
      <c r="AF872" s="889" t="s">
        <v>459</v>
      </c>
      <c r="AG872" s="889" t="s">
        <v>459</v>
      </c>
    </row>
    <row r="873" spans="26:33" x14ac:dyDescent="0.35">
      <c r="Z873" s="344">
        <v>3114</v>
      </c>
      <c r="AA873" s="344" t="s">
        <v>574</v>
      </c>
      <c r="AB873" s="344">
        <v>1</v>
      </c>
      <c r="AC873" s="344" t="s">
        <v>482</v>
      </c>
      <c r="AD873" s="1058" t="s">
        <v>575</v>
      </c>
      <c r="AE873" s="1059">
        <v>1097610</v>
      </c>
      <c r="AF873" s="889" t="s">
        <v>459</v>
      </c>
      <c r="AG873" s="889" t="s">
        <v>459</v>
      </c>
    </row>
    <row r="874" spans="26:33" x14ac:dyDescent="0.35">
      <c r="Z874" s="344">
        <v>3115</v>
      </c>
      <c r="AA874" s="344" t="s">
        <v>574</v>
      </c>
      <c r="AB874" s="344">
        <v>1</v>
      </c>
      <c r="AC874" s="344" t="s">
        <v>479</v>
      </c>
      <c r="AD874" s="1058" t="s">
        <v>575</v>
      </c>
      <c r="AE874" s="1059">
        <v>782856</v>
      </c>
      <c r="AF874" s="889" t="s">
        <v>459</v>
      </c>
      <c r="AG874" s="889" t="s">
        <v>459</v>
      </c>
    </row>
    <row r="875" spans="26:33" x14ac:dyDescent="0.35">
      <c r="Z875" s="344">
        <v>3116</v>
      </c>
      <c r="AA875" s="344" t="s">
        <v>574</v>
      </c>
      <c r="AB875" s="344">
        <v>3</v>
      </c>
      <c r="AC875" s="344" t="s">
        <v>457</v>
      </c>
      <c r="AD875" s="1058" t="s">
        <v>576</v>
      </c>
      <c r="AE875" s="1059">
        <v>500719</v>
      </c>
      <c r="AF875" s="889" t="s">
        <v>459</v>
      </c>
      <c r="AG875" s="889" t="s">
        <v>459</v>
      </c>
    </row>
    <row r="876" spans="26:33" x14ac:dyDescent="0.35">
      <c r="Z876" s="344">
        <v>3117</v>
      </c>
      <c r="AA876" s="344" t="s">
        <v>574</v>
      </c>
      <c r="AB876" s="344">
        <v>1</v>
      </c>
      <c r="AC876" s="344" t="e">
        <v>#N/A</v>
      </c>
      <c r="AD876" s="1058" t="s">
        <v>575</v>
      </c>
      <c r="AE876" s="1059" t="e">
        <v>#N/A</v>
      </c>
      <c r="AF876" s="889" t="s">
        <v>459</v>
      </c>
      <c r="AG876" s="889" t="s">
        <v>459</v>
      </c>
    </row>
    <row r="877" spans="26:33" x14ac:dyDescent="0.35">
      <c r="Z877" s="344">
        <v>3118</v>
      </c>
      <c r="AA877" s="344" t="s">
        <v>574</v>
      </c>
      <c r="AB877" s="344">
        <v>1</v>
      </c>
      <c r="AC877" s="344" t="e">
        <v>#N/A</v>
      </c>
      <c r="AD877" s="1058" t="s">
        <v>575</v>
      </c>
      <c r="AE877" s="1059" t="e">
        <v>#N/A</v>
      </c>
      <c r="AF877" s="889" t="s">
        <v>459</v>
      </c>
      <c r="AG877" s="889" t="s">
        <v>459</v>
      </c>
    </row>
    <row r="878" spans="26:33" x14ac:dyDescent="0.35">
      <c r="Z878" s="344">
        <v>3119</v>
      </c>
      <c r="AA878" s="344" t="s">
        <v>574</v>
      </c>
      <c r="AB878" s="344">
        <v>1</v>
      </c>
      <c r="AC878" s="344" t="e">
        <v>#N/A</v>
      </c>
      <c r="AD878" s="1058" t="s">
        <v>575</v>
      </c>
      <c r="AE878" s="1059" t="e">
        <v>#N/A</v>
      </c>
      <c r="AF878" s="889" t="s">
        <v>459</v>
      </c>
      <c r="AG878" s="889" t="s">
        <v>459</v>
      </c>
    </row>
    <row r="879" spans="26:33" x14ac:dyDescent="0.35">
      <c r="Z879" s="344">
        <v>3120</v>
      </c>
      <c r="AA879" s="344" t="s">
        <v>574</v>
      </c>
      <c r="AB879" s="344">
        <v>1</v>
      </c>
      <c r="AC879" s="344" t="e">
        <v>#N/A</v>
      </c>
      <c r="AD879" s="1058" t="s">
        <v>575</v>
      </c>
      <c r="AE879" s="1059" t="e">
        <v>#N/A</v>
      </c>
      <c r="AF879" s="889" t="s">
        <v>459</v>
      </c>
      <c r="AG879" s="889" t="s">
        <v>459</v>
      </c>
    </row>
    <row r="880" spans="26:33" x14ac:dyDescent="0.35">
      <c r="Z880" s="344">
        <v>3121</v>
      </c>
      <c r="AA880" s="344" t="s">
        <v>574</v>
      </c>
      <c r="AB880" s="344">
        <v>1</v>
      </c>
      <c r="AC880" s="344" t="s">
        <v>479</v>
      </c>
      <c r="AD880" s="1058" t="s">
        <v>575</v>
      </c>
      <c r="AE880" s="1059">
        <v>865715</v>
      </c>
      <c r="AF880" s="889" t="s">
        <v>459</v>
      </c>
      <c r="AG880" s="889" t="s">
        <v>460</v>
      </c>
    </row>
    <row r="881" spans="26:33" x14ac:dyDescent="0.35">
      <c r="Z881" s="344">
        <v>3122</v>
      </c>
      <c r="AA881" s="344" t="s">
        <v>574</v>
      </c>
      <c r="AB881" s="344">
        <v>1</v>
      </c>
      <c r="AC881" s="344" t="s">
        <v>482</v>
      </c>
      <c r="AD881" s="1058" t="s">
        <v>575</v>
      </c>
      <c r="AE881" s="1059">
        <v>1512765</v>
      </c>
      <c r="AF881" s="889" t="s">
        <v>459</v>
      </c>
      <c r="AG881" s="889" t="s">
        <v>269</v>
      </c>
    </row>
    <row r="882" spans="26:33" x14ac:dyDescent="0.35">
      <c r="Z882" s="344">
        <v>3123</v>
      </c>
      <c r="AA882" s="344" t="s">
        <v>574</v>
      </c>
      <c r="AB882" s="344">
        <v>1</v>
      </c>
      <c r="AC882" s="344" t="s">
        <v>482</v>
      </c>
      <c r="AD882" s="1058" t="s">
        <v>575</v>
      </c>
      <c r="AE882" s="1059">
        <v>1492258</v>
      </c>
      <c r="AF882" s="889" t="s">
        <v>459</v>
      </c>
      <c r="AG882" s="889" t="s">
        <v>459</v>
      </c>
    </row>
    <row r="883" spans="26:33" x14ac:dyDescent="0.35">
      <c r="Z883" s="344">
        <v>3124</v>
      </c>
      <c r="AA883" s="344" t="s">
        <v>574</v>
      </c>
      <c r="AB883" s="344">
        <v>1</v>
      </c>
      <c r="AC883" s="344" t="s">
        <v>482</v>
      </c>
      <c r="AD883" s="1058" t="s">
        <v>575</v>
      </c>
      <c r="AE883" s="1059">
        <v>1689433</v>
      </c>
      <c r="AF883" s="889" t="s">
        <v>459</v>
      </c>
      <c r="AG883" s="889" t="s">
        <v>459</v>
      </c>
    </row>
    <row r="884" spans="26:33" x14ac:dyDescent="0.35">
      <c r="Z884" s="344">
        <v>3125</v>
      </c>
      <c r="AA884" s="344" t="s">
        <v>574</v>
      </c>
      <c r="AB884" s="344">
        <v>1</v>
      </c>
      <c r="AC884" s="344" t="s">
        <v>479</v>
      </c>
      <c r="AD884" s="1058" t="s">
        <v>575</v>
      </c>
      <c r="AE884" s="1059">
        <v>866623</v>
      </c>
      <c r="AF884" s="889" t="s">
        <v>459</v>
      </c>
      <c r="AG884" s="889" t="s">
        <v>459</v>
      </c>
    </row>
    <row r="885" spans="26:33" x14ac:dyDescent="0.35">
      <c r="Z885" s="344">
        <v>3126</v>
      </c>
      <c r="AA885" s="344" t="s">
        <v>574</v>
      </c>
      <c r="AB885" s="344">
        <v>1</v>
      </c>
      <c r="AC885" s="344" t="s">
        <v>482</v>
      </c>
      <c r="AD885" s="1058" t="s">
        <v>575</v>
      </c>
      <c r="AE885" s="1059">
        <v>2207971</v>
      </c>
      <c r="AF885" s="889" t="s">
        <v>459</v>
      </c>
      <c r="AG885" s="889" t="s">
        <v>459</v>
      </c>
    </row>
    <row r="886" spans="26:33" x14ac:dyDescent="0.35">
      <c r="Z886" s="344">
        <v>3127</v>
      </c>
      <c r="AA886" s="344" t="s">
        <v>574</v>
      </c>
      <c r="AB886" s="344">
        <v>1</v>
      </c>
      <c r="AC886" s="344" t="s">
        <v>482</v>
      </c>
      <c r="AD886" s="1058" t="s">
        <v>575</v>
      </c>
      <c r="AE886" s="1059">
        <v>1372622</v>
      </c>
      <c r="AF886" s="889" t="s">
        <v>459</v>
      </c>
      <c r="AG886" s="889" t="s">
        <v>459</v>
      </c>
    </row>
    <row r="887" spans="26:33" x14ac:dyDescent="0.35">
      <c r="Z887" s="344">
        <v>3128</v>
      </c>
      <c r="AA887" s="344" t="s">
        <v>574</v>
      </c>
      <c r="AB887" s="344">
        <v>1</v>
      </c>
      <c r="AC887" s="344" t="s">
        <v>479</v>
      </c>
      <c r="AD887" s="1058" t="s">
        <v>575</v>
      </c>
      <c r="AE887" s="1059">
        <v>895414</v>
      </c>
      <c r="AF887" s="889" t="s">
        <v>459</v>
      </c>
      <c r="AG887" s="889" t="s">
        <v>460</v>
      </c>
    </row>
    <row r="888" spans="26:33" x14ac:dyDescent="0.35">
      <c r="Z888" s="344">
        <v>3129</v>
      </c>
      <c r="AA888" s="344" t="s">
        <v>574</v>
      </c>
      <c r="AB888" s="344">
        <v>1</v>
      </c>
      <c r="AC888" s="344" t="s">
        <v>482</v>
      </c>
      <c r="AD888" s="1058" t="s">
        <v>575</v>
      </c>
      <c r="AE888" s="1059">
        <v>947827</v>
      </c>
      <c r="AF888" s="889" t="s">
        <v>459</v>
      </c>
      <c r="AG888" s="889" t="s">
        <v>459</v>
      </c>
    </row>
    <row r="889" spans="26:33" x14ac:dyDescent="0.35">
      <c r="Z889" s="344">
        <v>3130</v>
      </c>
      <c r="AA889" s="344" t="s">
        <v>574</v>
      </c>
      <c r="AB889" s="344">
        <v>1</v>
      </c>
      <c r="AC889" s="344" t="s">
        <v>479</v>
      </c>
      <c r="AD889" s="1058" t="s">
        <v>575</v>
      </c>
      <c r="AE889" s="1059">
        <v>810436</v>
      </c>
      <c r="AF889" s="889" t="s">
        <v>459</v>
      </c>
      <c r="AG889" s="889" t="s">
        <v>459</v>
      </c>
    </row>
    <row r="890" spans="26:33" x14ac:dyDescent="0.35">
      <c r="Z890" s="344">
        <v>3131</v>
      </c>
      <c r="AA890" s="344" t="s">
        <v>574</v>
      </c>
      <c r="AB890" s="344">
        <v>1</v>
      </c>
      <c r="AC890" s="344" t="s">
        <v>457</v>
      </c>
      <c r="AD890" s="1058" t="s">
        <v>575</v>
      </c>
      <c r="AE890" s="1059">
        <v>675540</v>
      </c>
      <c r="AF890" s="889" t="s">
        <v>459</v>
      </c>
      <c r="AG890" s="889" t="s">
        <v>459</v>
      </c>
    </row>
    <row r="891" spans="26:33" x14ac:dyDescent="0.35">
      <c r="Z891" s="344">
        <v>3132</v>
      </c>
      <c r="AA891" s="344" t="s">
        <v>574</v>
      </c>
      <c r="AB891" s="344">
        <v>1</v>
      </c>
      <c r="AC891" s="344" t="s">
        <v>457</v>
      </c>
      <c r="AD891" s="1058" t="s">
        <v>575</v>
      </c>
      <c r="AE891" s="1059">
        <v>699854</v>
      </c>
      <c r="AF891" s="889" t="s">
        <v>459</v>
      </c>
      <c r="AG891" s="889" t="s">
        <v>459</v>
      </c>
    </row>
    <row r="892" spans="26:33" x14ac:dyDescent="0.35">
      <c r="Z892" s="344">
        <v>3133</v>
      </c>
      <c r="AA892" s="344" t="s">
        <v>574</v>
      </c>
      <c r="AB892" s="344">
        <v>1</v>
      </c>
      <c r="AC892" s="344" t="s">
        <v>457</v>
      </c>
      <c r="AD892" s="1058" t="s">
        <v>575</v>
      </c>
      <c r="AE892" s="1059">
        <v>725355</v>
      </c>
      <c r="AF892" s="889" t="s">
        <v>459</v>
      </c>
      <c r="AG892" s="889" t="s">
        <v>459</v>
      </c>
    </row>
    <row r="893" spans="26:33" x14ac:dyDescent="0.35">
      <c r="Z893" s="344">
        <v>3134</v>
      </c>
      <c r="AA893" s="344" t="s">
        <v>574</v>
      </c>
      <c r="AB893" s="344">
        <v>1</v>
      </c>
      <c r="AC893" s="344" t="s">
        <v>479</v>
      </c>
      <c r="AD893" s="1058" t="s">
        <v>575</v>
      </c>
      <c r="AE893" s="1059">
        <v>813407</v>
      </c>
      <c r="AF893" s="889" t="s">
        <v>459</v>
      </c>
      <c r="AG893" s="889" t="s">
        <v>459</v>
      </c>
    </row>
    <row r="894" spans="26:33" x14ac:dyDescent="0.35">
      <c r="Z894" s="344">
        <v>3135</v>
      </c>
      <c r="AA894" s="344" t="s">
        <v>574</v>
      </c>
      <c r="AB894" s="344">
        <v>1</v>
      </c>
      <c r="AC894" s="344" t="s">
        <v>457</v>
      </c>
      <c r="AD894" s="1058" t="s">
        <v>575</v>
      </c>
      <c r="AE894" s="1059">
        <v>564512</v>
      </c>
      <c r="AF894" s="889" t="s">
        <v>459</v>
      </c>
      <c r="AG894" s="889" t="s">
        <v>459</v>
      </c>
    </row>
    <row r="895" spans="26:33" x14ac:dyDescent="0.35">
      <c r="Z895" s="344">
        <v>3136</v>
      </c>
      <c r="AA895" s="344" t="s">
        <v>574</v>
      </c>
      <c r="AB895" s="344">
        <v>1</v>
      </c>
      <c r="AC895" s="344" t="s">
        <v>457</v>
      </c>
      <c r="AD895" s="1058" t="s">
        <v>575</v>
      </c>
      <c r="AE895" s="1059">
        <v>553149</v>
      </c>
      <c r="AF895" s="889" t="s">
        <v>459</v>
      </c>
      <c r="AG895" s="889" t="s">
        <v>459</v>
      </c>
    </row>
    <row r="896" spans="26:33" x14ac:dyDescent="0.35">
      <c r="Z896" s="344">
        <v>3137</v>
      </c>
      <c r="AA896" s="344" t="s">
        <v>574</v>
      </c>
      <c r="AB896" s="344">
        <v>1</v>
      </c>
      <c r="AC896" s="344" t="s">
        <v>457</v>
      </c>
      <c r="AD896" s="1058" t="s">
        <v>575</v>
      </c>
      <c r="AE896" s="1059">
        <v>505872</v>
      </c>
      <c r="AF896" s="889" t="s">
        <v>459</v>
      </c>
      <c r="AG896" s="889" t="s">
        <v>459</v>
      </c>
    </row>
    <row r="897" spans="26:33" x14ac:dyDescent="0.35">
      <c r="Z897" s="344">
        <v>3138</v>
      </c>
      <c r="AA897" s="344" t="s">
        <v>574</v>
      </c>
      <c r="AB897" s="344">
        <v>1</v>
      </c>
      <c r="AC897" s="344" t="s">
        <v>457</v>
      </c>
      <c r="AD897" s="1058" t="s">
        <v>575</v>
      </c>
      <c r="AE897" s="1059">
        <v>462847</v>
      </c>
      <c r="AF897" s="889" t="s">
        <v>459</v>
      </c>
      <c r="AG897" s="889" t="s">
        <v>459</v>
      </c>
    </row>
    <row r="898" spans="26:33" x14ac:dyDescent="0.35">
      <c r="Z898" s="344">
        <v>3139</v>
      </c>
      <c r="AA898" s="344" t="s">
        <v>574</v>
      </c>
      <c r="AB898" s="344">
        <v>3</v>
      </c>
      <c r="AC898" s="344" t="s">
        <v>471</v>
      </c>
      <c r="AD898" s="1058" t="s">
        <v>576</v>
      </c>
      <c r="AE898" s="1059">
        <v>400551</v>
      </c>
      <c r="AF898" s="889" t="s">
        <v>459</v>
      </c>
      <c r="AG898" s="889" t="s">
        <v>459</v>
      </c>
    </row>
    <row r="899" spans="26:33" x14ac:dyDescent="0.35">
      <c r="Z899" s="344">
        <v>3140</v>
      </c>
      <c r="AA899" s="344" t="s">
        <v>574</v>
      </c>
      <c r="AB899" s="344">
        <v>1</v>
      </c>
      <c r="AC899" s="344" t="s">
        <v>471</v>
      </c>
      <c r="AD899" s="1058" t="s">
        <v>575</v>
      </c>
      <c r="AE899" s="1059">
        <v>448489</v>
      </c>
      <c r="AF899" s="889" t="s">
        <v>459</v>
      </c>
      <c r="AG899" s="889" t="s">
        <v>459</v>
      </c>
    </row>
    <row r="900" spans="26:33" x14ac:dyDescent="0.35">
      <c r="Z900" s="344">
        <v>3141</v>
      </c>
      <c r="AA900" s="344" t="s">
        <v>574</v>
      </c>
      <c r="AB900" s="344">
        <v>1</v>
      </c>
      <c r="AC900" s="344" t="s">
        <v>482</v>
      </c>
      <c r="AD900" s="1058" t="s">
        <v>575</v>
      </c>
      <c r="AE900" s="1059">
        <v>1097199</v>
      </c>
      <c r="AF900" s="889" t="s">
        <v>459</v>
      </c>
      <c r="AG900" s="889" t="s">
        <v>460</v>
      </c>
    </row>
    <row r="901" spans="26:33" x14ac:dyDescent="0.35">
      <c r="Z901" s="344">
        <v>3142</v>
      </c>
      <c r="AA901" s="344" t="s">
        <v>574</v>
      </c>
      <c r="AB901" s="344">
        <v>1</v>
      </c>
      <c r="AC901" s="344" t="s">
        <v>482</v>
      </c>
      <c r="AD901" s="1058" t="s">
        <v>575</v>
      </c>
      <c r="AE901" s="1059">
        <v>3141599</v>
      </c>
      <c r="AF901" s="889" t="s">
        <v>459</v>
      </c>
      <c r="AG901" s="889" t="s">
        <v>459</v>
      </c>
    </row>
    <row r="902" spans="26:33" x14ac:dyDescent="0.35">
      <c r="Z902" s="344">
        <v>3143</v>
      </c>
      <c r="AA902" s="344" t="s">
        <v>574</v>
      </c>
      <c r="AB902" s="344">
        <v>1</v>
      </c>
      <c r="AC902" s="344" t="s">
        <v>482</v>
      </c>
      <c r="AD902" s="1058" t="s">
        <v>575</v>
      </c>
      <c r="AE902" s="1059">
        <v>1716481</v>
      </c>
      <c r="AF902" s="889" t="s">
        <v>459</v>
      </c>
      <c r="AG902" s="889" t="s">
        <v>459</v>
      </c>
    </row>
    <row r="903" spans="26:33" x14ac:dyDescent="0.35">
      <c r="Z903" s="344">
        <v>3144</v>
      </c>
      <c r="AA903" s="344" t="s">
        <v>574</v>
      </c>
      <c r="AB903" s="344">
        <v>1</v>
      </c>
      <c r="AC903" s="344" t="s">
        <v>482</v>
      </c>
      <c r="AD903" s="1058" t="s">
        <v>575</v>
      </c>
      <c r="AE903" s="1059">
        <v>1494914</v>
      </c>
      <c r="AF903" s="889" t="s">
        <v>459</v>
      </c>
      <c r="AG903" s="889" t="s">
        <v>459</v>
      </c>
    </row>
    <row r="904" spans="26:33" x14ac:dyDescent="0.35">
      <c r="Z904" s="344">
        <v>3145</v>
      </c>
      <c r="AA904" s="344" t="s">
        <v>574</v>
      </c>
      <c r="AB904" s="344">
        <v>1</v>
      </c>
      <c r="AC904" s="344" t="s">
        <v>482</v>
      </c>
      <c r="AD904" s="1058" t="s">
        <v>575</v>
      </c>
      <c r="AE904" s="1059">
        <v>1183551</v>
      </c>
      <c r="AF904" s="889" t="s">
        <v>459</v>
      </c>
      <c r="AG904" s="889" t="s">
        <v>459</v>
      </c>
    </row>
    <row r="905" spans="26:33" x14ac:dyDescent="0.35">
      <c r="Z905" s="344">
        <v>3146</v>
      </c>
      <c r="AA905" s="344" t="s">
        <v>574</v>
      </c>
      <c r="AB905" s="344">
        <v>1</v>
      </c>
      <c r="AC905" s="344" t="s">
        <v>482</v>
      </c>
      <c r="AD905" s="1058" t="s">
        <v>575</v>
      </c>
      <c r="AE905" s="1059">
        <v>1469703</v>
      </c>
      <c r="AF905" s="889" t="s">
        <v>459</v>
      </c>
      <c r="AG905" s="889" t="s">
        <v>459</v>
      </c>
    </row>
    <row r="906" spans="26:33" x14ac:dyDescent="0.35">
      <c r="Z906" s="344">
        <v>3147</v>
      </c>
      <c r="AA906" s="344" t="s">
        <v>574</v>
      </c>
      <c r="AB906" s="344">
        <v>1</v>
      </c>
      <c r="AC906" s="344" t="s">
        <v>482</v>
      </c>
      <c r="AD906" s="1058" t="s">
        <v>575</v>
      </c>
      <c r="AE906" s="1059">
        <v>1001219</v>
      </c>
      <c r="AF906" s="889" t="s">
        <v>459</v>
      </c>
      <c r="AG906" s="889" t="s">
        <v>459</v>
      </c>
    </row>
    <row r="907" spans="26:33" x14ac:dyDescent="0.35">
      <c r="Z907" s="344">
        <v>3148</v>
      </c>
      <c r="AA907" s="344" t="s">
        <v>574</v>
      </c>
      <c r="AB907" s="344">
        <v>1</v>
      </c>
      <c r="AC907" s="344" t="s">
        <v>457</v>
      </c>
      <c r="AD907" s="1058" t="s">
        <v>575</v>
      </c>
      <c r="AE907" s="1059">
        <v>740110</v>
      </c>
      <c r="AF907" s="889" t="s">
        <v>459</v>
      </c>
      <c r="AG907" s="889" t="s">
        <v>459</v>
      </c>
    </row>
    <row r="908" spans="26:33" x14ac:dyDescent="0.35">
      <c r="Z908" s="344">
        <v>3149</v>
      </c>
      <c r="AA908" s="344" t="s">
        <v>574</v>
      </c>
      <c r="AB908" s="344">
        <v>1</v>
      </c>
      <c r="AC908" s="344" t="s">
        <v>482</v>
      </c>
      <c r="AD908" s="1058" t="s">
        <v>575</v>
      </c>
      <c r="AE908" s="1059">
        <v>900071</v>
      </c>
      <c r="AF908" s="889" t="s">
        <v>459</v>
      </c>
      <c r="AG908" s="889" t="s">
        <v>459</v>
      </c>
    </row>
    <row r="909" spans="26:33" x14ac:dyDescent="0.35">
      <c r="Z909" s="344">
        <v>3150</v>
      </c>
      <c r="AA909" s="344" t="s">
        <v>574</v>
      </c>
      <c r="AB909" s="344">
        <v>1</v>
      </c>
      <c r="AC909" s="344" t="s">
        <v>479</v>
      </c>
      <c r="AD909" s="1058" t="s">
        <v>575</v>
      </c>
      <c r="AE909" s="1059">
        <v>816963</v>
      </c>
      <c r="AF909" s="889" t="s">
        <v>459</v>
      </c>
      <c r="AG909" s="889" t="s">
        <v>459</v>
      </c>
    </row>
    <row r="910" spans="26:33" x14ac:dyDescent="0.35">
      <c r="Z910" s="344">
        <v>3151</v>
      </c>
      <c r="AA910" s="344" t="s">
        <v>574</v>
      </c>
      <c r="AB910" s="344">
        <v>1</v>
      </c>
      <c r="AC910" s="344" t="s">
        <v>457</v>
      </c>
      <c r="AD910" s="1058" t="s">
        <v>575</v>
      </c>
      <c r="AE910" s="1059">
        <v>740433</v>
      </c>
      <c r="AF910" s="889" t="s">
        <v>459</v>
      </c>
      <c r="AG910" s="889" t="s">
        <v>459</v>
      </c>
    </row>
    <row r="911" spans="26:33" x14ac:dyDescent="0.35">
      <c r="Z911" s="344">
        <v>3152</v>
      </c>
      <c r="AA911" s="344" t="s">
        <v>574</v>
      </c>
      <c r="AB911" s="344">
        <v>1</v>
      </c>
      <c r="AC911" s="344" t="s">
        <v>457</v>
      </c>
      <c r="AD911" s="1058" t="s">
        <v>575</v>
      </c>
      <c r="AE911" s="1059">
        <v>628062</v>
      </c>
      <c r="AF911" s="889" t="s">
        <v>459</v>
      </c>
      <c r="AG911" s="889" t="s">
        <v>459</v>
      </c>
    </row>
    <row r="912" spans="26:33" x14ac:dyDescent="0.35">
      <c r="Z912" s="344">
        <v>3153</v>
      </c>
      <c r="AA912" s="344" t="s">
        <v>574</v>
      </c>
      <c r="AB912" s="344">
        <v>1</v>
      </c>
      <c r="AC912" s="344" t="s">
        <v>457</v>
      </c>
      <c r="AD912" s="1058" t="s">
        <v>575</v>
      </c>
      <c r="AE912" s="1059">
        <v>474125</v>
      </c>
      <c r="AF912" s="889" t="s">
        <v>459</v>
      </c>
      <c r="AG912" s="889" t="s">
        <v>459</v>
      </c>
    </row>
    <row r="913" spans="26:33" x14ac:dyDescent="0.35">
      <c r="Z913" s="344">
        <v>3154</v>
      </c>
      <c r="AA913" s="344" t="s">
        <v>574</v>
      </c>
      <c r="AB913" s="344">
        <v>1</v>
      </c>
      <c r="AC913" s="344" t="s">
        <v>457</v>
      </c>
      <c r="AD913" s="1058" t="s">
        <v>575</v>
      </c>
      <c r="AE913" s="1059">
        <v>454854</v>
      </c>
      <c r="AF913" s="889" t="s">
        <v>459</v>
      </c>
      <c r="AG913" s="889" t="s">
        <v>459</v>
      </c>
    </row>
    <row r="914" spans="26:33" x14ac:dyDescent="0.35">
      <c r="Z914" s="344">
        <v>3155</v>
      </c>
      <c r="AA914" s="344" t="s">
        <v>574</v>
      </c>
      <c r="AB914" s="344">
        <v>1</v>
      </c>
      <c r="AC914" s="344" t="s">
        <v>457</v>
      </c>
      <c r="AD914" s="1058" t="s">
        <v>575</v>
      </c>
      <c r="AE914" s="1059">
        <v>467224</v>
      </c>
      <c r="AF914" s="889" t="s">
        <v>459</v>
      </c>
      <c r="AG914" s="889" t="s">
        <v>459</v>
      </c>
    </row>
    <row r="915" spans="26:33" x14ac:dyDescent="0.35">
      <c r="Z915" s="344">
        <v>3156</v>
      </c>
      <c r="AA915" s="344" t="s">
        <v>574</v>
      </c>
      <c r="AB915" s="344">
        <v>1</v>
      </c>
      <c r="AC915" s="344" t="s">
        <v>457</v>
      </c>
      <c r="AD915" s="1058" t="s">
        <v>575</v>
      </c>
      <c r="AE915" s="1059">
        <v>665077</v>
      </c>
      <c r="AF915" s="889" t="s">
        <v>459</v>
      </c>
      <c r="AG915" s="889" t="s">
        <v>459</v>
      </c>
    </row>
    <row r="916" spans="26:33" x14ac:dyDescent="0.35">
      <c r="Z916" s="344">
        <v>3157</v>
      </c>
      <c r="AA916" s="344" t="s">
        <v>574</v>
      </c>
      <c r="AB916" s="344">
        <v>1</v>
      </c>
      <c r="AC916" s="344" t="e">
        <v>#N/A</v>
      </c>
      <c r="AD916" s="1058" t="s">
        <v>575</v>
      </c>
      <c r="AE916" s="1059" t="e">
        <v>#N/A</v>
      </c>
      <c r="AF916" s="889" t="s">
        <v>459</v>
      </c>
      <c r="AG916" s="889" t="s">
        <v>459</v>
      </c>
    </row>
    <row r="917" spans="26:33" x14ac:dyDescent="0.35">
      <c r="Z917" s="344">
        <v>3158</v>
      </c>
      <c r="AA917" s="344" t="s">
        <v>574</v>
      </c>
      <c r="AB917" s="344">
        <v>1</v>
      </c>
      <c r="AC917" s="344" t="s">
        <v>457</v>
      </c>
      <c r="AD917" s="1058" t="s">
        <v>575</v>
      </c>
      <c r="AE917" s="1059">
        <v>475644</v>
      </c>
      <c r="AF917" s="889" t="s">
        <v>459</v>
      </c>
      <c r="AG917" s="889" t="s">
        <v>459</v>
      </c>
    </row>
    <row r="918" spans="26:33" x14ac:dyDescent="0.35">
      <c r="Z918" s="344">
        <v>3159</v>
      </c>
      <c r="AA918" s="344" t="s">
        <v>574</v>
      </c>
      <c r="AB918" s="344">
        <v>1</v>
      </c>
      <c r="AC918" s="344" t="s">
        <v>457</v>
      </c>
      <c r="AD918" s="1058" t="s">
        <v>575</v>
      </c>
      <c r="AE918" s="1059">
        <v>468434</v>
      </c>
      <c r="AF918" s="889" t="s">
        <v>459</v>
      </c>
      <c r="AG918" s="889" t="s">
        <v>459</v>
      </c>
    </row>
    <row r="919" spans="26:33" x14ac:dyDescent="0.35">
      <c r="Z919" s="344">
        <v>3160</v>
      </c>
      <c r="AA919" s="344" t="s">
        <v>574</v>
      </c>
      <c r="AB919" s="344">
        <v>1</v>
      </c>
      <c r="AC919" s="344" t="s">
        <v>457</v>
      </c>
      <c r="AD919" s="1058" t="s">
        <v>575</v>
      </c>
      <c r="AE919" s="1059">
        <v>470339</v>
      </c>
      <c r="AF919" s="889" t="s">
        <v>459</v>
      </c>
      <c r="AG919" s="889" t="s">
        <v>459</v>
      </c>
    </row>
    <row r="920" spans="26:33" x14ac:dyDescent="0.35">
      <c r="Z920" s="344">
        <v>3161</v>
      </c>
      <c r="AA920" s="344" t="s">
        <v>574</v>
      </c>
      <c r="AB920" s="344">
        <v>1</v>
      </c>
      <c r="AC920" s="344" t="s">
        <v>482</v>
      </c>
      <c r="AD920" s="1058" t="s">
        <v>575</v>
      </c>
      <c r="AE920" s="1059">
        <v>1412604</v>
      </c>
      <c r="AF920" s="889" t="s">
        <v>459</v>
      </c>
      <c r="AG920" s="889" t="s">
        <v>459</v>
      </c>
    </row>
    <row r="921" spans="26:33" x14ac:dyDescent="0.35">
      <c r="Z921" s="344">
        <v>3162</v>
      </c>
      <c r="AA921" s="344" t="s">
        <v>574</v>
      </c>
      <c r="AB921" s="344">
        <v>1</v>
      </c>
      <c r="AC921" s="344" t="s">
        <v>482</v>
      </c>
      <c r="AD921" s="1058" t="s">
        <v>575</v>
      </c>
      <c r="AE921" s="1059">
        <v>1133392</v>
      </c>
      <c r="AF921" s="889" t="s">
        <v>459</v>
      </c>
      <c r="AG921" s="889" t="s">
        <v>459</v>
      </c>
    </row>
    <row r="922" spans="26:33" x14ac:dyDescent="0.35">
      <c r="Z922" s="344">
        <v>3163</v>
      </c>
      <c r="AA922" s="344" t="s">
        <v>574</v>
      </c>
      <c r="AB922" s="344">
        <v>1</v>
      </c>
      <c r="AC922" s="344" t="s">
        <v>482</v>
      </c>
      <c r="AD922" s="1058" t="s">
        <v>575</v>
      </c>
      <c r="AE922" s="1059">
        <v>984340</v>
      </c>
      <c r="AF922" s="889" t="s">
        <v>459</v>
      </c>
      <c r="AG922" s="889" t="s">
        <v>460</v>
      </c>
    </row>
    <row r="923" spans="26:33" x14ac:dyDescent="0.35">
      <c r="Z923" s="344">
        <v>3164</v>
      </c>
      <c r="AA923" s="344" t="s">
        <v>574</v>
      </c>
      <c r="AB923" s="344">
        <v>1</v>
      </c>
      <c r="AC923" s="344" t="e">
        <v>#N/A</v>
      </c>
      <c r="AD923" s="1058" t="s">
        <v>575</v>
      </c>
      <c r="AE923" s="1059" t="e">
        <v>#N/A</v>
      </c>
      <c r="AF923" s="889" t="s">
        <v>459</v>
      </c>
      <c r="AG923" s="889" t="s">
        <v>459</v>
      </c>
    </row>
    <row r="924" spans="26:33" x14ac:dyDescent="0.35">
      <c r="Z924" s="344">
        <v>3165</v>
      </c>
      <c r="AA924" s="344" t="s">
        <v>574</v>
      </c>
      <c r="AB924" s="344">
        <v>1</v>
      </c>
      <c r="AC924" s="344" t="s">
        <v>479</v>
      </c>
      <c r="AD924" s="1058" t="s">
        <v>575</v>
      </c>
      <c r="AE924" s="1059">
        <v>833507</v>
      </c>
      <c r="AF924" s="889" t="s">
        <v>459</v>
      </c>
      <c r="AG924" s="889" t="s">
        <v>459</v>
      </c>
    </row>
    <row r="925" spans="26:33" x14ac:dyDescent="0.35">
      <c r="Z925" s="344">
        <v>3166</v>
      </c>
      <c r="AA925" s="344" t="s">
        <v>574</v>
      </c>
      <c r="AB925" s="344">
        <v>1</v>
      </c>
      <c r="AC925" s="344" t="s">
        <v>479</v>
      </c>
      <c r="AD925" s="1058" t="s">
        <v>575</v>
      </c>
      <c r="AE925" s="1059">
        <v>768028</v>
      </c>
      <c r="AF925" s="889" t="s">
        <v>459</v>
      </c>
      <c r="AG925" s="889" t="s">
        <v>459</v>
      </c>
    </row>
    <row r="926" spans="26:33" x14ac:dyDescent="0.35">
      <c r="Z926" s="344">
        <v>3167</v>
      </c>
      <c r="AA926" s="344" t="s">
        <v>574</v>
      </c>
      <c r="AB926" s="344">
        <v>1</v>
      </c>
      <c r="AC926" s="344" t="s">
        <v>457</v>
      </c>
      <c r="AD926" s="1058" t="s">
        <v>575</v>
      </c>
      <c r="AE926" s="1059">
        <v>641645</v>
      </c>
      <c r="AF926" s="889" t="s">
        <v>459</v>
      </c>
      <c r="AG926" s="889" t="s">
        <v>459</v>
      </c>
    </row>
    <row r="927" spans="26:33" x14ac:dyDescent="0.35">
      <c r="Z927" s="344">
        <v>3168</v>
      </c>
      <c r="AA927" s="344" t="s">
        <v>574</v>
      </c>
      <c r="AB927" s="344">
        <v>1</v>
      </c>
      <c r="AC927" s="344" t="s">
        <v>457</v>
      </c>
      <c r="AD927" s="1058" t="s">
        <v>575</v>
      </c>
      <c r="AE927" s="1059">
        <v>662879</v>
      </c>
      <c r="AF927" s="889" t="s">
        <v>459</v>
      </c>
      <c r="AG927" s="889" t="s">
        <v>459</v>
      </c>
    </row>
    <row r="928" spans="26:33" x14ac:dyDescent="0.35">
      <c r="Z928" s="344">
        <v>3169</v>
      </c>
      <c r="AA928" s="344" t="s">
        <v>574</v>
      </c>
      <c r="AB928" s="344">
        <v>1</v>
      </c>
      <c r="AC928" s="344" t="s">
        <v>457</v>
      </c>
      <c r="AD928" s="1058" t="s">
        <v>575</v>
      </c>
      <c r="AE928" s="1059">
        <v>572270</v>
      </c>
      <c r="AF928" s="889" t="s">
        <v>459</v>
      </c>
      <c r="AG928" s="889" t="s">
        <v>459</v>
      </c>
    </row>
    <row r="929" spans="26:33" x14ac:dyDescent="0.35">
      <c r="Z929" s="344">
        <v>3170</v>
      </c>
      <c r="AA929" s="344" t="s">
        <v>574</v>
      </c>
      <c r="AB929" s="344">
        <v>1</v>
      </c>
      <c r="AC929" s="344" t="s">
        <v>457</v>
      </c>
      <c r="AD929" s="1058" t="s">
        <v>575</v>
      </c>
      <c r="AE929" s="1059">
        <v>609274</v>
      </c>
      <c r="AF929" s="889" t="s">
        <v>459</v>
      </c>
      <c r="AG929" s="889" t="s">
        <v>459</v>
      </c>
    </row>
    <row r="930" spans="26:33" x14ac:dyDescent="0.35">
      <c r="Z930" s="344">
        <v>3171</v>
      </c>
      <c r="AA930" s="344" t="s">
        <v>574</v>
      </c>
      <c r="AB930" s="344">
        <v>1</v>
      </c>
      <c r="AC930" s="344" t="s">
        <v>457</v>
      </c>
      <c r="AD930" s="1058" t="s">
        <v>575</v>
      </c>
      <c r="AE930" s="1059">
        <v>516749</v>
      </c>
      <c r="AF930" s="889" t="s">
        <v>459</v>
      </c>
      <c r="AG930" s="889" t="s">
        <v>459</v>
      </c>
    </row>
    <row r="931" spans="26:33" x14ac:dyDescent="0.35">
      <c r="Z931" s="344">
        <v>3172</v>
      </c>
      <c r="AA931" s="344" t="s">
        <v>574</v>
      </c>
      <c r="AB931" s="344">
        <v>1</v>
      </c>
      <c r="AC931" s="344" t="s">
        <v>457</v>
      </c>
      <c r="AD931" s="1058" t="s">
        <v>575</v>
      </c>
      <c r="AE931" s="1059">
        <v>533547</v>
      </c>
      <c r="AF931" s="889" t="s">
        <v>459</v>
      </c>
      <c r="AG931" s="889" t="s">
        <v>459</v>
      </c>
    </row>
    <row r="932" spans="26:33" x14ac:dyDescent="0.35">
      <c r="Z932" s="344">
        <v>3173</v>
      </c>
      <c r="AA932" s="344" t="s">
        <v>574</v>
      </c>
      <c r="AB932" s="344">
        <v>1</v>
      </c>
      <c r="AC932" s="344" t="s">
        <v>457</v>
      </c>
      <c r="AD932" s="1058" t="s">
        <v>575</v>
      </c>
      <c r="AE932" s="1059">
        <v>464781</v>
      </c>
      <c r="AF932" s="889" t="s">
        <v>459</v>
      </c>
      <c r="AG932" s="889" t="s">
        <v>459</v>
      </c>
    </row>
    <row r="933" spans="26:33" x14ac:dyDescent="0.35">
      <c r="Z933" s="344">
        <v>3174</v>
      </c>
      <c r="AA933" s="344" t="s">
        <v>574</v>
      </c>
      <c r="AB933" s="344">
        <v>1</v>
      </c>
      <c r="AC933" s="344" t="s">
        <v>471</v>
      </c>
      <c r="AD933" s="1058" t="s">
        <v>575</v>
      </c>
      <c r="AE933" s="1059">
        <v>414050</v>
      </c>
      <c r="AF933" s="889" t="s">
        <v>459</v>
      </c>
      <c r="AG933" s="889" t="s">
        <v>459</v>
      </c>
    </row>
    <row r="934" spans="26:33" x14ac:dyDescent="0.35">
      <c r="Z934" s="344">
        <v>3175</v>
      </c>
      <c r="AA934" s="344" t="s">
        <v>574</v>
      </c>
      <c r="AB934" s="344">
        <v>1</v>
      </c>
      <c r="AC934" s="344" t="s">
        <v>471</v>
      </c>
      <c r="AD934" s="1058" t="s">
        <v>575</v>
      </c>
      <c r="AE934" s="1059">
        <v>429857</v>
      </c>
      <c r="AF934" s="889" t="s">
        <v>459</v>
      </c>
      <c r="AG934" s="889" t="s">
        <v>459</v>
      </c>
    </row>
    <row r="935" spans="26:33" x14ac:dyDescent="0.35">
      <c r="Z935" s="344">
        <v>3176</v>
      </c>
      <c r="AA935" s="344" t="s">
        <v>574</v>
      </c>
      <c r="AB935" s="344">
        <v>1</v>
      </c>
      <c r="AC935" s="344" t="e">
        <v>#N/A</v>
      </c>
      <c r="AD935" s="1058" t="s">
        <v>575</v>
      </c>
      <c r="AE935" s="1059" t="e">
        <v>#N/A</v>
      </c>
      <c r="AF935" s="889" t="s">
        <v>459</v>
      </c>
      <c r="AG935" s="889" t="s">
        <v>459</v>
      </c>
    </row>
    <row r="936" spans="26:33" x14ac:dyDescent="0.35">
      <c r="Z936" s="344">
        <v>3177</v>
      </c>
      <c r="AA936" s="344" t="s">
        <v>574</v>
      </c>
      <c r="AB936" s="344">
        <v>1</v>
      </c>
      <c r="AC936" s="344" t="s">
        <v>471</v>
      </c>
      <c r="AD936" s="1058" t="s">
        <v>575</v>
      </c>
      <c r="AE936" s="1059">
        <v>332653</v>
      </c>
      <c r="AF936" s="889" t="s">
        <v>459</v>
      </c>
      <c r="AG936" s="889" t="s">
        <v>459</v>
      </c>
    </row>
    <row r="937" spans="26:33" x14ac:dyDescent="0.35">
      <c r="Z937" s="344">
        <v>3178</v>
      </c>
      <c r="AA937" s="344" t="s">
        <v>574</v>
      </c>
      <c r="AB937" s="344">
        <v>1</v>
      </c>
      <c r="AC937" s="344" t="s">
        <v>457</v>
      </c>
      <c r="AD937" s="1058" t="s">
        <v>575</v>
      </c>
      <c r="AE937" s="1059">
        <v>589209</v>
      </c>
      <c r="AF937" s="889" t="s">
        <v>459</v>
      </c>
      <c r="AG937" s="889" t="s">
        <v>459</v>
      </c>
    </row>
    <row r="938" spans="26:33" x14ac:dyDescent="0.35">
      <c r="Z938" s="344">
        <v>3179</v>
      </c>
      <c r="AA938" s="344" t="s">
        <v>574</v>
      </c>
      <c r="AB938" s="344">
        <v>1</v>
      </c>
      <c r="AC938" s="344" t="s">
        <v>457</v>
      </c>
      <c r="AD938" s="1058" t="s">
        <v>575</v>
      </c>
      <c r="AE938" s="1059">
        <v>562229</v>
      </c>
      <c r="AF938" s="889" t="s">
        <v>459</v>
      </c>
      <c r="AG938" s="889" t="s">
        <v>459</v>
      </c>
    </row>
    <row r="939" spans="26:33" x14ac:dyDescent="0.35">
      <c r="Z939" s="344">
        <v>3180</v>
      </c>
      <c r="AA939" s="344" t="s">
        <v>574</v>
      </c>
      <c r="AB939" s="344">
        <v>1</v>
      </c>
      <c r="AC939" s="344" t="s">
        <v>457</v>
      </c>
      <c r="AD939" s="1058" t="s">
        <v>575</v>
      </c>
      <c r="AE939" s="1059">
        <v>527539</v>
      </c>
      <c r="AF939" s="889" t="s">
        <v>459</v>
      </c>
      <c r="AG939" s="889" t="s">
        <v>459</v>
      </c>
    </row>
    <row r="940" spans="26:33" x14ac:dyDescent="0.35">
      <c r="Z940" s="344">
        <v>3181</v>
      </c>
      <c r="AA940" s="344" t="s">
        <v>574</v>
      </c>
      <c r="AB940" s="344">
        <v>1</v>
      </c>
      <c r="AC940" s="344" t="s">
        <v>482</v>
      </c>
      <c r="AD940" s="1058" t="s">
        <v>575</v>
      </c>
      <c r="AE940" s="1059">
        <v>948754</v>
      </c>
      <c r="AF940" s="889" t="s">
        <v>459</v>
      </c>
      <c r="AG940" s="889" t="s">
        <v>459</v>
      </c>
    </row>
    <row r="941" spans="26:33" x14ac:dyDescent="0.35">
      <c r="Z941" s="344">
        <v>3182</v>
      </c>
      <c r="AA941" s="344" t="s">
        <v>574</v>
      </c>
      <c r="AB941" s="344">
        <v>1</v>
      </c>
      <c r="AC941" s="344" t="s">
        <v>457</v>
      </c>
      <c r="AD941" s="1058" t="s">
        <v>575</v>
      </c>
      <c r="AE941" s="1059">
        <v>714781</v>
      </c>
      <c r="AF941" s="889" t="s">
        <v>459</v>
      </c>
      <c r="AG941" s="889" t="s">
        <v>460</v>
      </c>
    </row>
    <row r="942" spans="26:33" x14ac:dyDescent="0.35">
      <c r="Z942" s="344">
        <v>3183</v>
      </c>
      <c r="AA942" s="344" t="s">
        <v>574</v>
      </c>
      <c r="AB942" s="344">
        <v>1</v>
      </c>
      <c r="AC942" s="344" t="s">
        <v>482</v>
      </c>
      <c r="AD942" s="1058" t="s">
        <v>575</v>
      </c>
      <c r="AE942" s="1059">
        <v>958428</v>
      </c>
      <c r="AF942" s="889" t="s">
        <v>459</v>
      </c>
      <c r="AG942" s="889" t="s">
        <v>459</v>
      </c>
    </row>
    <row r="943" spans="26:33" x14ac:dyDescent="0.35">
      <c r="Z943" s="344">
        <v>3184</v>
      </c>
      <c r="AA943" s="344" t="s">
        <v>574</v>
      </c>
      <c r="AB943" s="344">
        <v>1</v>
      </c>
      <c r="AC943" s="344" t="s">
        <v>482</v>
      </c>
      <c r="AD943" s="1058" t="s">
        <v>575</v>
      </c>
      <c r="AE943" s="1059">
        <v>1332746</v>
      </c>
      <c r="AF943" s="889" t="s">
        <v>459</v>
      </c>
      <c r="AG943" s="889" t="s">
        <v>459</v>
      </c>
    </row>
    <row r="944" spans="26:33" x14ac:dyDescent="0.35">
      <c r="Z944" s="344">
        <v>3185</v>
      </c>
      <c r="AA944" s="344" t="s">
        <v>574</v>
      </c>
      <c r="AB944" s="344">
        <v>1</v>
      </c>
      <c r="AC944" s="344" t="s">
        <v>482</v>
      </c>
      <c r="AD944" s="1058" t="s">
        <v>575</v>
      </c>
      <c r="AE944" s="1059">
        <v>1158990</v>
      </c>
      <c r="AF944" s="889" t="s">
        <v>459</v>
      </c>
      <c r="AG944" s="889" t="s">
        <v>459</v>
      </c>
    </row>
    <row r="945" spans="26:33" x14ac:dyDescent="0.35">
      <c r="Z945" s="344">
        <v>3186</v>
      </c>
      <c r="AA945" s="344" t="s">
        <v>574</v>
      </c>
      <c r="AB945" s="344">
        <v>1</v>
      </c>
      <c r="AC945" s="344" t="s">
        <v>482</v>
      </c>
      <c r="AD945" s="1058" t="s">
        <v>575</v>
      </c>
      <c r="AE945" s="1059">
        <v>1845996</v>
      </c>
      <c r="AF945" s="889" t="s">
        <v>459</v>
      </c>
      <c r="AG945" s="889" t="s">
        <v>459</v>
      </c>
    </row>
    <row r="946" spans="26:33" x14ac:dyDescent="0.35">
      <c r="Z946" s="344">
        <v>3187</v>
      </c>
      <c r="AA946" s="344" t="s">
        <v>574</v>
      </c>
      <c r="AB946" s="344">
        <v>1</v>
      </c>
      <c r="AC946" s="344" t="s">
        <v>482</v>
      </c>
      <c r="AD946" s="1058" t="s">
        <v>575</v>
      </c>
      <c r="AE946" s="1059">
        <v>1280489</v>
      </c>
      <c r="AF946" s="889" t="s">
        <v>459</v>
      </c>
      <c r="AG946" s="889" t="s">
        <v>459</v>
      </c>
    </row>
    <row r="947" spans="26:33" x14ac:dyDescent="0.35">
      <c r="Z947" s="344">
        <v>3188</v>
      </c>
      <c r="AA947" s="344" t="s">
        <v>574</v>
      </c>
      <c r="AB947" s="344">
        <v>1</v>
      </c>
      <c r="AC947" s="344" t="s">
        <v>482</v>
      </c>
      <c r="AD947" s="1058" t="s">
        <v>575</v>
      </c>
      <c r="AE947" s="1059">
        <v>1109379</v>
      </c>
      <c r="AF947" s="889" t="s">
        <v>459</v>
      </c>
      <c r="AG947" s="889" t="s">
        <v>459</v>
      </c>
    </row>
    <row r="948" spans="26:33" x14ac:dyDescent="0.35">
      <c r="Z948" s="344">
        <v>3189</v>
      </c>
      <c r="AA948" s="344" t="s">
        <v>574</v>
      </c>
      <c r="AB948" s="344">
        <v>1</v>
      </c>
      <c r="AC948" s="344" t="s">
        <v>457</v>
      </c>
      <c r="AD948" s="1058" t="s">
        <v>575</v>
      </c>
      <c r="AE948" s="1059">
        <v>729057</v>
      </c>
      <c r="AF948" s="889" t="s">
        <v>459</v>
      </c>
      <c r="AG948" s="889" t="s">
        <v>459</v>
      </c>
    </row>
    <row r="949" spans="26:33" x14ac:dyDescent="0.35">
      <c r="Z949" s="344">
        <v>3190</v>
      </c>
      <c r="AA949" s="344" t="s">
        <v>574</v>
      </c>
      <c r="AB949" s="344">
        <v>1</v>
      </c>
      <c r="AC949" s="344" t="s">
        <v>479</v>
      </c>
      <c r="AD949" s="1058" t="s">
        <v>575</v>
      </c>
      <c r="AE949" s="1059">
        <v>805697</v>
      </c>
      <c r="AF949" s="889" t="s">
        <v>459</v>
      </c>
      <c r="AG949" s="889" t="s">
        <v>459</v>
      </c>
    </row>
    <row r="950" spans="26:33" x14ac:dyDescent="0.35">
      <c r="Z950" s="344">
        <v>3191</v>
      </c>
      <c r="AA950" s="344" t="s">
        <v>574</v>
      </c>
      <c r="AB950" s="344">
        <v>1</v>
      </c>
      <c r="AC950" s="344" t="s">
        <v>482</v>
      </c>
      <c r="AD950" s="1058" t="s">
        <v>575</v>
      </c>
      <c r="AE950" s="1059">
        <v>1282797</v>
      </c>
      <c r="AF950" s="889" t="s">
        <v>459</v>
      </c>
      <c r="AG950" s="889" t="s">
        <v>459</v>
      </c>
    </row>
    <row r="951" spans="26:33" x14ac:dyDescent="0.35">
      <c r="Z951" s="344">
        <v>3192</v>
      </c>
      <c r="AA951" s="344" t="s">
        <v>574</v>
      </c>
      <c r="AB951" s="344">
        <v>1</v>
      </c>
      <c r="AC951" s="344" t="s">
        <v>457</v>
      </c>
      <c r="AD951" s="1058" t="s">
        <v>575</v>
      </c>
      <c r="AE951" s="1059">
        <v>654231</v>
      </c>
      <c r="AF951" s="889" t="s">
        <v>459</v>
      </c>
      <c r="AG951" s="889" t="s">
        <v>459</v>
      </c>
    </row>
    <row r="952" spans="26:33" x14ac:dyDescent="0.35">
      <c r="Z952" s="344">
        <v>3193</v>
      </c>
      <c r="AA952" s="344" t="s">
        <v>574</v>
      </c>
      <c r="AB952" s="344">
        <v>1</v>
      </c>
      <c r="AC952" s="344" t="s">
        <v>482</v>
      </c>
      <c r="AD952" s="1058" t="s">
        <v>575</v>
      </c>
      <c r="AE952" s="1059">
        <v>1201563</v>
      </c>
      <c r="AF952" s="889" t="s">
        <v>459</v>
      </c>
      <c r="AG952" s="889" t="s">
        <v>459</v>
      </c>
    </row>
    <row r="953" spans="26:33" x14ac:dyDescent="0.35">
      <c r="Z953" s="344">
        <v>3194</v>
      </c>
      <c r="AA953" s="344" t="s">
        <v>574</v>
      </c>
      <c r="AB953" s="344">
        <v>1</v>
      </c>
      <c r="AC953" s="344" t="s">
        <v>479</v>
      </c>
      <c r="AD953" s="1058" t="s">
        <v>575</v>
      </c>
      <c r="AE953" s="1059">
        <v>759424</v>
      </c>
      <c r="AF953" s="889" t="s">
        <v>459</v>
      </c>
      <c r="AG953" s="889" t="s">
        <v>459</v>
      </c>
    </row>
    <row r="954" spans="26:33" x14ac:dyDescent="0.35">
      <c r="Z954" s="344">
        <v>3195</v>
      </c>
      <c r="AA954" s="344" t="s">
        <v>574</v>
      </c>
      <c r="AB954" s="344">
        <v>1</v>
      </c>
      <c r="AC954" s="344" t="s">
        <v>457</v>
      </c>
      <c r="AD954" s="1058" t="s">
        <v>575</v>
      </c>
      <c r="AE954" s="1059">
        <v>680451</v>
      </c>
      <c r="AF954" s="889" t="s">
        <v>459</v>
      </c>
      <c r="AG954" s="889" t="s">
        <v>459</v>
      </c>
    </row>
    <row r="955" spans="26:33" x14ac:dyDescent="0.35">
      <c r="Z955" s="344">
        <v>3196</v>
      </c>
      <c r="AA955" s="344" t="s">
        <v>574</v>
      </c>
      <c r="AB955" s="344">
        <v>1</v>
      </c>
      <c r="AC955" s="344" t="s">
        <v>457</v>
      </c>
      <c r="AD955" s="1058" t="s">
        <v>575</v>
      </c>
      <c r="AE955" s="1059">
        <v>586244</v>
      </c>
      <c r="AF955" s="889" t="s">
        <v>459</v>
      </c>
      <c r="AG955" s="889" t="s">
        <v>459</v>
      </c>
    </row>
    <row r="956" spans="26:33" x14ac:dyDescent="0.35">
      <c r="Z956" s="344">
        <v>3197</v>
      </c>
      <c r="AA956" s="344" t="s">
        <v>574</v>
      </c>
      <c r="AB956" s="344">
        <v>1</v>
      </c>
      <c r="AC956" s="344" t="s">
        <v>457</v>
      </c>
      <c r="AD956" s="1058" t="s">
        <v>575</v>
      </c>
      <c r="AE956" s="1059">
        <v>655203</v>
      </c>
      <c r="AF956" s="889" t="s">
        <v>459</v>
      </c>
      <c r="AG956" s="889" t="s">
        <v>459</v>
      </c>
    </row>
    <row r="957" spans="26:33" x14ac:dyDescent="0.35">
      <c r="Z957" s="344">
        <v>3198</v>
      </c>
      <c r="AA957" s="344" t="s">
        <v>574</v>
      </c>
      <c r="AB957" s="344">
        <v>1</v>
      </c>
      <c r="AC957" s="344" t="s">
        <v>471</v>
      </c>
      <c r="AD957" s="1058" t="s">
        <v>575</v>
      </c>
      <c r="AE957" s="1059">
        <v>444659</v>
      </c>
      <c r="AF957" s="889" t="s">
        <v>459</v>
      </c>
      <c r="AG957" s="889" t="s">
        <v>459</v>
      </c>
    </row>
    <row r="958" spans="26:33" x14ac:dyDescent="0.35">
      <c r="Z958" s="344">
        <v>3199</v>
      </c>
      <c r="AA958" s="344" t="s">
        <v>574</v>
      </c>
      <c r="AB958" s="344">
        <v>1</v>
      </c>
      <c r="AC958" s="344" t="s">
        <v>457</v>
      </c>
      <c r="AD958" s="1058" t="s">
        <v>575</v>
      </c>
      <c r="AE958" s="1059">
        <v>464629</v>
      </c>
      <c r="AF958" s="889" t="s">
        <v>459</v>
      </c>
      <c r="AG958" s="889" t="s">
        <v>459</v>
      </c>
    </row>
    <row r="959" spans="26:33" x14ac:dyDescent="0.35">
      <c r="Z959" s="344">
        <v>3200</v>
      </c>
      <c r="AA959" s="344" t="s">
        <v>574</v>
      </c>
      <c r="AB959" s="344">
        <v>1</v>
      </c>
      <c r="AC959" s="344" t="s">
        <v>464</v>
      </c>
      <c r="AD959" s="1058" t="s">
        <v>575</v>
      </c>
      <c r="AE959" s="1059">
        <v>275614</v>
      </c>
      <c r="AF959" s="889" t="s">
        <v>459</v>
      </c>
      <c r="AG959" s="889" t="s">
        <v>459</v>
      </c>
    </row>
    <row r="960" spans="26:33" x14ac:dyDescent="0.35">
      <c r="Z960" s="344">
        <v>3201</v>
      </c>
      <c r="AA960" s="344" t="s">
        <v>574</v>
      </c>
      <c r="AB960" s="344">
        <v>1</v>
      </c>
      <c r="AC960" s="344" t="s">
        <v>471</v>
      </c>
      <c r="AD960" s="1058" t="s">
        <v>575</v>
      </c>
      <c r="AE960" s="1059">
        <v>332899</v>
      </c>
      <c r="AF960" s="889" t="s">
        <v>459</v>
      </c>
      <c r="AG960" s="889" t="s">
        <v>459</v>
      </c>
    </row>
    <row r="961" spans="26:33" x14ac:dyDescent="0.35">
      <c r="Z961" s="344">
        <v>3202</v>
      </c>
      <c r="AA961" s="344" t="s">
        <v>574</v>
      </c>
      <c r="AB961" s="344">
        <v>1</v>
      </c>
      <c r="AC961" s="344" t="s">
        <v>457</v>
      </c>
      <c r="AD961" s="1058" t="s">
        <v>575</v>
      </c>
      <c r="AE961" s="1059">
        <v>701459</v>
      </c>
      <c r="AF961" s="889" t="s">
        <v>459</v>
      </c>
      <c r="AG961" s="889" t="s">
        <v>459</v>
      </c>
    </row>
    <row r="962" spans="26:33" x14ac:dyDescent="0.35">
      <c r="Z962" s="344">
        <v>3203</v>
      </c>
      <c r="AA962" s="344" t="s">
        <v>574</v>
      </c>
      <c r="AB962" s="344">
        <v>1</v>
      </c>
      <c r="AC962" s="344" t="e">
        <v>#N/A</v>
      </c>
      <c r="AD962" s="1058" t="s">
        <v>575</v>
      </c>
      <c r="AE962" s="1059" t="e">
        <v>#N/A</v>
      </c>
      <c r="AF962" s="889" t="s">
        <v>459</v>
      </c>
      <c r="AG962" s="889" t="s">
        <v>459</v>
      </c>
    </row>
    <row r="963" spans="26:33" x14ac:dyDescent="0.35">
      <c r="Z963" s="344">
        <v>3204</v>
      </c>
      <c r="AA963" s="344" t="s">
        <v>574</v>
      </c>
      <c r="AB963" s="344">
        <v>1</v>
      </c>
      <c r="AC963" s="344" t="s">
        <v>482</v>
      </c>
      <c r="AD963" s="1058" t="s">
        <v>575</v>
      </c>
      <c r="AE963" s="1059">
        <v>1068956</v>
      </c>
      <c r="AF963" s="889" t="s">
        <v>459</v>
      </c>
      <c r="AG963" s="889" t="s">
        <v>459</v>
      </c>
    </row>
    <row r="964" spans="26:33" x14ac:dyDescent="0.35">
      <c r="Z964" s="344">
        <v>3205</v>
      </c>
      <c r="AA964" s="344" t="s">
        <v>574</v>
      </c>
      <c r="AB964" s="344">
        <v>1</v>
      </c>
      <c r="AC964" s="344" t="s">
        <v>482</v>
      </c>
      <c r="AD964" s="1058" t="s">
        <v>575</v>
      </c>
      <c r="AE964" s="1059">
        <v>1067369</v>
      </c>
      <c r="AF964" s="889" t="s">
        <v>459</v>
      </c>
      <c r="AG964" s="889" t="s">
        <v>459</v>
      </c>
    </row>
    <row r="965" spans="26:33" x14ac:dyDescent="0.35">
      <c r="Z965" s="344">
        <v>3206</v>
      </c>
      <c r="AA965" s="344" t="s">
        <v>574</v>
      </c>
      <c r="AB965" s="344">
        <v>1</v>
      </c>
      <c r="AC965" s="344" t="s">
        <v>482</v>
      </c>
      <c r="AD965" s="1058" t="s">
        <v>575</v>
      </c>
      <c r="AE965" s="1059">
        <v>1480442</v>
      </c>
      <c r="AF965" s="889" t="s">
        <v>459</v>
      </c>
      <c r="AG965" s="889" t="s">
        <v>459</v>
      </c>
    </row>
    <row r="966" spans="26:33" x14ac:dyDescent="0.35">
      <c r="Z966" s="344">
        <v>3207</v>
      </c>
      <c r="AA966" s="344" t="s">
        <v>574</v>
      </c>
      <c r="AB966" s="344">
        <v>1</v>
      </c>
      <c r="AC966" s="344" t="s">
        <v>482</v>
      </c>
      <c r="AD966" s="1058" t="s">
        <v>575</v>
      </c>
      <c r="AE966" s="1059">
        <v>1069035</v>
      </c>
      <c r="AF966" s="889" t="s">
        <v>459</v>
      </c>
      <c r="AG966" s="889" t="s">
        <v>460</v>
      </c>
    </row>
    <row r="967" spans="26:33" x14ac:dyDescent="0.35">
      <c r="Z967" s="344">
        <v>3211</v>
      </c>
      <c r="AA967" s="344" t="s">
        <v>574</v>
      </c>
      <c r="AB967" s="344">
        <v>1</v>
      </c>
      <c r="AC967" s="344" t="s">
        <v>457</v>
      </c>
      <c r="AD967" s="1058" t="s">
        <v>575</v>
      </c>
      <c r="AE967" s="1059">
        <v>617873</v>
      </c>
      <c r="AF967" s="889" t="s">
        <v>459</v>
      </c>
      <c r="AG967" s="889" t="s">
        <v>459</v>
      </c>
    </row>
    <row r="968" spans="26:33" x14ac:dyDescent="0.35">
      <c r="Z968" s="344">
        <v>3212</v>
      </c>
      <c r="AA968" s="344" t="s">
        <v>574</v>
      </c>
      <c r="AB968" s="344">
        <v>1</v>
      </c>
      <c r="AC968" s="344" t="s">
        <v>471</v>
      </c>
      <c r="AD968" s="1058" t="s">
        <v>575</v>
      </c>
      <c r="AE968" s="1059">
        <v>370217</v>
      </c>
      <c r="AF968" s="889" t="s">
        <v>459</v>
      </c>
      <c r="AG968" s="889" t="s">
        <v>459</v>
      </c>
    </row>
    <row r="969" spans="26:33" x14ac:dyDescent="0.35">
      <c r="Z969" s="344">
        <v>3213</v>
      </c>
      <c r="AA969" s="344" t="s">
        <v>574</v>
      </c>
      <c r="AB969" s="344">
        <v>1</v>
      </c>
      <c r="AC969" s="344" t="e">
        <v>#N/A</v>
      </c>
      <c r="AD969" s="1058" t="s">
        <v>575</v>
      </c>
      <c r="AE969" s="1059" t="e">
        <v>#N/A</v>
      </c>
      <c r="AF969" s="889" t="s">
        <v>459</v>
      </c>
      <c r="AG969" s="889" t="s">
        <v>459</v>
      </c>
    </row>
    <row r="970" spans="26:33" x14ac:dyDescent="0.35">
      <c r="Z970" s="344">
        <v>3214</v>
      </c>
      <c r="AA970" s="344" t="s">
        <v>574</v>
      </c>
      <c r="AB970" s="344">
        <v>1</v>
      </c>
      <c r="AC970" s="344" t="s">
        <v>464</v>
      </c>
      <c r="AD970" s="1058" t="s">
        <v>575</v>
      </c>
      <c r="AE970" s="1059">
        <v>286066</v>
      </c>
      <c r="AF970" s="889" t="s">
        <v>459</v>
      </c>
      <c r="AG970" s="889" t="s">
        <v>459</v>
      </c>
    </row>
    <row r="971" spans="26:33" x14ac:dyDescent="0.35">
      <c r="Z971" s="344">
        <v>3215</v>
      </c>
      <c r="AA971" s="344" t="s">
        <v>574</v>
      </c>
      <c r="AB971" s="344">
        <v>1</v>
      </c>
      <c r="AC971" s="344" t="s">
        <v>457</v>
      </c>
      <c r="AD971" s="1058" t="s">
        <v>575</v>
      </c>
      <c r="AE971" s="1059">
        <v>462513</v>
      </c>
      <c r="AF971" s="889" t="s">
        <v>459</v>
      </c>
      <c r="AG971" s="889" t="s">
        <v>459</v>
      </c>
    </row>
    <row r="972" spans="26:33" x14ac:dyDescent="0.35">
      <c r="Z972" s="344">
        <v>3216</v>
      </c>
      <c r="AA972" s="344" t="s">
        <v>574</v>
      </c>
      <c r="AB972" s="344">
        <v>1</v>
      </c>
      <c r="AC972" s="344" t="s">
        <v>471</v>
      </c>
      <c r="AD972" s="1058" t="s">
        <v>575</v>
      </c>
      <c r="AE972" s="1059">
        <v>439228</v>
      </c>
      <c r="AF972" s="889" t="s">
        <v>459</v>
      </c>
      <c r="AG972" s="889" t="s">
        <v>459</v>
      </c>
    </row>
    <row r="973" spans="26:33" x14ac:dyDescent="0.35">
      <c r="Z973" s="344">
        <v>3217</v>
      </c>
      <c r="AA973" s="344" t="s">
        <v>574</v>
      </c>
      <c r="AB973" s="344">
        <v>1</v>
      </c>
      <c r="AC973" s="344"/>
      <c r="AD973" s="1058" t="s">
        <v>575</v>
      </c>
      <c r="AE973" s="1059"/>
      <c r="AF973" s="889" t="s">
        <v>459</v>
      </c>
      <c r="AG973" s="889" t="s">
        <v>459</v>
      </c>
    </row>
    <row r="974" spans="26:33" x14ac:dyDescent="0.35">
      <c r="Z974" s="344">
        <v>3218</v>
      </c>
      <c r="AA974" s="344" t="s">
        <v>574</v>
      </c>
      <c r="AB974" s="344">
        <v>1</v>
      </c>
      <c r="AC974" s="344" t="s">
        <v>457</v>
      </c>
      <c r="AD974" s="1058" t="s">
        <v>575</v>
      </c>
      <c r="AE974" s="1059">
        <v>466092</v>
      </c>
      <c r="AF974" s="889" t="s">
        <v>459</v>
      </c>
      <c r="AG974" s="889" t="s">
        <v>459</v>
      </c>
    </row>
    <row r="975" spans="26:33" x14ac:dyDescent="0.35">
      <c r="Z975" s="344">
        <v>3219</v>
      </c>
      <c r="AA975" s="344" t="s">
        <v>574</v>
      </c>
      <c r="AB975" s="344">
        <v>1</v>
      </c>
      <c r="AC975" s="344" t="s">
        <v>471</v>
      </c>
      <c r="AD975" s="1058" t="s">
        <v>575</v>
      </c>
      <c r="AE975" s="1059">
        <v>323193</v>
      </c>
      <c r="AF975" s="889" t="s">
        <v>459</v>
      </c>
      <c r="AG975" s="889" t="s">
        <v>459</v>
      </c>
    </row>
    <row r="976" spans="26:33" x14ac:dyDescent="0.35">
      <c r="Z976" s="344">
        <v>3220</v>
      </c>
      <c r="AA976" s="344" t="s">
        <v>574</v>
      </c>
      <c r="AB976" s="344">
        <v>1</v>
      </c>
      <c r="AC976" s="344" t="s">
        <v>457</v>
      </c>
      <c r="AD976" s="1058" t="s">
        <v>575</v>
      </c>
      <c r="AE976" s="1059">
        <v>557118</v>
      </c>
      <c r="AF976" s="889" t="s">
        <v>459</v>
      </c>
      <c r="AG976" s="889" t="s">
        <v>459</v>
      </c>
    </row>
    <row r="977" spans="26:33" x14ac:dyDescent="0.35">
      <c r="Z977" s="344">
        <v>3221</v>
      </c>
      <c r="AA977" s="344" t="s">
        <v>574</v>
      </c>
      <c r="AB977" s="344">
        <v>1</v>
      </c>
      <c r="AC977" s="344" t="s">
        <v>457</v>
      </c>
      <c r="AD977" s="1058" t="s">
        <v>575</v>
      </c>
      <c r="AE977" s="1059">
        <v>592913</v>
      </c>
      <c r="AF977" s="889" t="s">
        <v>459</v>
      </c>
      <c r="AG977" s="889" t="s">
        <v>459</v>
      </c>
    </row>
    <row r="978" spans="26:33" x14ac:dyDescent="0.35">
      <c r="Z978" s="344">
        <v>3222</v>
      </c>
      <c r="AA978" s="344" t="s">
        <v>574</v>
      </c>
      <c r="AB978" s="344">
        <v>1</v>
      </c>
      <c r="AC978" s="344" t="s">
        <v>457</v>
      </c>
      <c r="AD978" s="1058" t="s">
        <v>575</v>
      </c>
      <c r="AE978" s="1059">
        <v>526309</v>
      </c>
      <c r="AF978" s="889" t="s">
        <v>459</v>
      </c>
      <c r="AG978" s="889" t="s">
        <v>459</v>
      </c>
    </row>
    <row r="979" spans="26:33" x14ac:dyDescent="0.35">
      <c r="Z979" s="344">
        <v>3223</v>
      </c>
      <c r="AA979" s="344" t="s">
        <v>574</v>
      </c>
      <c r="AB979" s="344">
        <v>1</v>
      </c>
      <c r="AC979" s="344" t="s">
        <v>471</v>
      </c>
      <c r="AD979" s="1058" t="s">
        <v>575</v>
      </c>
      <c r="AE979" s="1059">
        <v>411823</v>
      </c>
      <c r="AF979" s="889" t="s">
        <v>459</v>
      </c>
      <c r="AG979" s="889" t="s">
        <v>459</v>
      </c>
    </row>
    <row r="980" spans="26:33" x14ac:dyDescent="0.35">
      <c r="Z980" s="344">
        <v>3224</v>
      </c>
      <c r="AA980" s="344" t="s">
        <v>574</v>
      </c>
      <c r="AB980" s="344">
        <v>1</v>
      </c>
      <c r="AC980" s="344" t="s">
        <v>457</v>
      </c>
      <c r="AD980" s="1058" t="s">
        <v>575</v>
      </c>
      <c r="AE980" s="1059">
        <v>450822</v>
      </c>
      <c r="AF980" s="889" t="s">
        <v>459</v>
      </c>
      <c r="AG980" s="889" t="s">
        <v>459</v>
      </c>
    </row>
    <row r="981" spans="26:33" x14ac:dyDescent="0.35">
      <c r="Z981" s="344">
        <v>3225</v>
      </c>
      <c r="AA981" s="344" t="s">
        <v>574</v>
      </c>
      <c r="AB981" s="344">
        <v>1</v>
      </c>
      <c r="AC981" s="344" t="s">
        <v>457</v>
      </c>
      <c r="AD981" s="1058" t="s">
        <v>575</v>
      </c>
      <c r="AE981" s="1059">
        <v>746948</v>
      </c>
      <c r="AF981" s="889" t="s">
        <v>459</v>
      </c>
      <c r="AG981" s="889" t="s">
        <v>459</v>
      </c>
    </row>
    <row r="982" spans="26:33" x14ac:dyDescent="0.35">
      <c r="Z982" s="344">
        <v>3226</v>
      </c>
      <c r="AA982" s="344" t="s">
        <v>574</v>
      </c>
      <c r="AB982" s="344">
        <v>1</v>
      </c>
      <c r="AC982" s="344" t="s">
        <v>457</v>
      </c>
      <c r="AD982" s="1058" t="s">
        <v>575</v>
      </c>
      <c r="AE982" s="1059">
        <v>519716</v>
      </c>
      <c r="AF982" s="889" t="s">
        <v>459</v>
      </c>
      <c r="AG982" s="889" t="s">
        <v>459</v>
      </c>
    </row>
    <row r="983" spans="26:33" x14ac:dyDescent="0.35">
      <c r="Z983" s="344">
        <v>3227</v>
      </c>
      <c r="AA983" s="344" t="s">
        <v>574</v>
      </c>
      <c r="AB983" s="344">
        <v>1</v>
      </c>
      <c r="AC983" s="344" t="s">
        <v>479</v>
      </c>
      <c r="AD983" s="1058" t="s">
        <v>575</v>
      </c>
      <c r="AE983" s="1059">
        <v>877631</v>
      </c>
      <c r="AF983" s="889" t="s">
        <v>459</v>
      </c>
      <c r="AG983" s="889" t="s">
        <v>459</v>
      </c>
    </row>
    <row r="984" spans="26:33" x14ac:dyDescent="0.35">
      <c r="Z984" s="344">
        <v>3228</v>
      </c>
      <c r="AA984" s="344" t="s">
        <v>574</v>
      </c>
      <c r="AB984" s="344">
        <v>1</v>
      </c>
      <c r="AC984" s="344" t="s">
        <v>457</v>
      </c>
      <c r="AD984" s="1058" t="s">
        <v>575</v>
      </c>
      <c r="AE984" s="1059">
        <v>698992</v>
      </c>
      <c r="AF984" s="889" t="s">
        <v>459</v>
      </c>
      <c r="AG984" s="889" t="s">
        <v>459</v>
      </c>
    </row>
    <row r="985" spans="26:33" x14ac:dyDescent="0.35">
      <c r="Z985" s="344">
        <v>3230</v>
      </c>
      <c r="AA985" s="344" t="s">
        <v>574</v>
      </c>
      <c r="AB985" s="344">
        <v>1</v>
      </c>
      <c r="AC985" s="344" t="s">
        <v>457</v>
      </c>
      <c r="AD985" s="1058" t="s">
        <v>575</v>
      </c>
      <c r="AE985" s="1059">
        <v>616023</v>
      </c>
      <c r="AF985" s="889" t="s">
        <v>459</v>
      </c>
      <c r="AG985" s="889" t="s">
        <v>459</v>
      </c>
    </row>
    <row r="986" spans="26:33" x14ac:dyDescent="0.35">
      <c r="Z986" s="344">
        <v>3231</v>
      </c>
      <c r="AA986" s="344" t="s">
        <v>574</v>
      </c>
      <c r="AB986" s="344">
        <v>2</v>
      </c>
      <c r="AC986" s="344" t="s">
        <v>479</v>
      </c>
      <c r="AD986" s="1058" t="s">
        <v>577</v>
      </c>
      <c r="AE986" s="1059">
        <v>811985</v>
      </c>
      <c r="AF986" s="889" t="s">
        <v>459</v>
      </c>
      <c r="AG986" s="889" t="s">
        <v>459</v>
      </c>
    </row>
    <row r="987" spans="26:33" x14ac:dyDescent="0.35">
      <c r="Z987" s="344">
        <v>3232</v>
      </c>
      <c r="AA987" s="344" t="s">
        <v>574</v>
      </c>
      <c r="AB987" s="344">
        <v>1</v>
      </c>
      <c r="AC987" s="344" t="s">
        <v>479</v>
      </c>
      <c r="AD987" s="1058" t="s">
        <v>575</v>
      </c>
      <c r="AE987" s="1059">
        <v>884594</v>
      </c>
      <c r="AF987" s="889" t="s">
        <v>459</v>
      </c>
      <c r="AG987" s="889" t="s">
        <v>459</v>
      </c>
    </row>
    <row r="988" spans="26:33" x14ac:dyDescent="0.35">
      <c r="Z988" s="344">
        <v>3233</v>
      </c>
      <c r="AA988" s="344" t="s">
        <v>574</v>
      </c>
      <c r="AB988" s="344">
        <v>1</v>
      </c>
      <c r="AC988" s="344" t="s">
        <v>457</v>
      </c>
      <c r="AD988" s="1058" t="s">
        <v>575</v>
      </c>
      <c r="AE988" s="1059">
        <v>582261</v>
      </c>
      <c r="AF988" s="889" t="s">
        <v>459</v>
      </c>
      <c r="AG988" s="889" t="s">
        <v>459</v>
      </c>
    </row>
    <row r="989" spans="26:33" x14ac:dyDescent="0.35">
      <c r="Z989" s="344">
        <v>3234</v>
      </c>
      <c r="AA989" s="344" t="s">
        <v>574</v>
      </c>
      <c r="AB989" s="344">
        <v>2</v>
      </c>
      <c r="AC989" s="344" t="e">
        <v>#N/A</v>
      </c>
      <c r="AD989" s="1058" t="s">
        <v>577</v>
      </c>
      <c r="AE989" s="1059" t="e">
        <v>#N/A</v>
      </c>
      <c r="AF989" s="889" t="s">
        <v>459</v>
      </c>
      <c r="AG989" s="889" t="s">
        <v>459</v>
      </c>
    </row>
    <row r="990" spans="26:33" x14ac:dyDescent="0.35">
      <c r="Z990" s="344">
        <v>3235</v>
      </c>
      <c r="AA990" s="344" t="s">
        <v>574</v>
      </c>
      <c r="AB990" s="344">
        <v>4</v>
      </c>
      <c r="AC990" s="344" t="e">
        <v>#N/A</v>
      </c>
      <c r="AD990" s="1058" t="s">
        <v>578</v>
      </c>
      <c r="AE990" s="1059" t="e">
        <v>#N/A</v>
      </c>
      <c r="AF990" s="889" t="s">
        <v>459</v>
      </c>
      <c r="AG990" s="889" t="s">
        <v>459</v>
      </c>
    </row>
    <row r="991" spans="26:33" x14ac:dyDescent="0.35">
      <c r="Z991" s="344">
        <v>3236</v>
      </c>
      <c r="AA991" s="344" t="s">
        <v>574</v>
      </c>
      <c r="AB991" s="344">
        <v>4</v>
      </c>
      <c r="AC991" s="344" t="s">
        <v>464</v>
      </c>
      <c r="AD991" s="1058" t="s">
        <v>578</v>
      </c>
      <c r="AE991" s="1059">
        <v>265602</v>
      </c>
      <c r="AF991" s="889" t="s">
        <v>459</v>
      </c>
      <c r="AG991" s="889" t="s">
        <v>459</v>
      </c>
    </row>
    <row r="992" spans="26:33" x14ac:dyDescent="0.35">
      <c r="Z992" s="344">
        <v>3237</v>
      </c>
      <c r="AA992" s="344" t="s">
        <v>574</v>
      </c>
      <c r="AB992" s="344">
        <v>4</v>
      </c>
      <c r="AC992" s="344" t="s">
        <v>464</v>
      </c>
      <c r="AD992" s="1058" t="s">
        <v>578</v>
      </c>
      <c r="AE992" s="1059">
        <v>251931</v>
      </c>
      <c r="AF992" s="889" t="s">
        <v>459</v>
      </c>
      <c r="AG992" s="889" t="s">
        <v>459</v>
      </c>
    </row>
    <row r="993" spans="26:33" x14ac:dyDescent="0.35">
      <c r="Z993" s="344">
        <v>3238</v>
      </c>
      <c r="AA993" s="344" t="s">
        <v>574</v>
      </c>
      <c r="AB993" s="344">
        <v>4</v>
      </c>
      <c r="AC993" s="344" t="e">
        <v>#N/A</v>
      </c>
      <c r="AD993" s="1058" t="s">
        <v>578</v>
      </c>
      <c r="AE993" s="1059" t="e">
        <v>#N/A</v>
      </c>
      <c r="AF993" s="889" t="s">
        <v>459</v>
      </c>
      <c r="AG993" s="889" t="s">
        <v>459</v>
      </c>
    </row>
    <row r="994" spans="26:33" x14ac:dyDescent="0.35">
      <c r="Z994" s="344">
        <v>3239</v>
      </c>
      <c r="AA994" s="344" t="s">
        <v>574</v>
      </c>
      <c r="AB994" s="344">
        <v>4</v>
      </c>
      <c r="AC994" s="344" t="e">
        <v>#N/A</v>
      </c>
      <c r="AD994" s="1058" t="s">
        <v>578</v>
      </c>
      <c r="AE994" s="1059" t="e">
        <v>#N/A</v>
      </c>
      <c r="AF994" s="889" t="s">
        <v>459</v>
      </c>
      <c r="AG994" s="889" t="s">
        <v>459</v>
      </c>
    </row>
    <row r="995" spans="26:33" x14ac:dyDescent="0.35">
      <c r="Z995" s="344">
        <v>3240</v>
      </c>
      <c r="AA995" s="344" t="s">
        <v>574</v>
      </c>
      <c r="AB995" s="344">
        <v>2</v>
      </c>
      <c r="AC995" s="344" t="s">
        <v>457</v>
      </c>
      <c r="AD995" s="1058" t="s">
        <v>577</v>
      </c>
      <c r="AE995" s="1059">
        <v>520160</v>
      </c>
      <c r="AF995" s="889" t="s">
        <v>459</v>
      </c>
      <c r="AG995" s="889" t="s">
        <v>459</v>
      </c>
    </row>
    <row r="996" spans="26:33" x14ac:dyDescent="0.35">
      <c r="Z996" s="344">
        <v>3241</v>
      </c>
      <c r="AA996" s="344" t="s">
        <v>574</v>
      </c>
      <c r="AB996" s="344">
        <v>2</v>
      </c>
      <c r="AC996" s="344" t="s">
        <v>464</v>
      </c>
      <c r="AD996" s="1058" t="s">
        <v>577</v>
      </c>
      <c r="AE996" s="1059">
        <v>296813</v>
      </c>
      <c r="AF996" s="889" t="s">
        <v>459</v>
      </c>
      <c r="AG996" s="889" t="s">
        <v>459</v>
      </c>
    </row>
    <row r="997" spans="26:33" x14ac:dyDescent="0.35">
      <c r="Z997" s="344">
        <v>3242</v>
      </c>
      <c r="AA997" s="344" t="s">
        <v>574</v>
      </c>
      <c r="AB997" s="344">
        <v>4</v>
      </c>
      <c r="AC997" s="344" t="s">
        <v>471</v>
      </c>
      <c r="AD997" s="1058" t="s">
        <v>578</v>
      </c>
      <c r="AE997" s="1059">
        <v>315235</v>
      </c>
      <c r="AF997" s="889" t="s">
        <v>459</v>
      </c>
      <c r="AG997" s="889" t="s">
        <v>459</v>
      </c>
    </row>
    <row r="998" spans="26:33" x14ac:dyDescent="0.35">
      <c r="Z998" s="344">
        <v>3243</v>
      </c>
      <c r="AA998" s="344" t="s">
        <v>574</v>
      </c>
      <c r="AB998" s="344">
        <v>4</v>
      </c>
      <c r="AC998" s="344" t="e">
        <v>#N/A</v>
      </c>
      <c r="AD998" s="1058" t="s">
        <v>578</v>
      </c>
      <c r="AE998" s="1059" t="e">
        <v>#N/A</v>
      </c>
      <c r="AF998" s="889" t="s">
        <v>459</v>
      </c>
      <c r="AG998" s="889" t="s">
        <v>459</v>
      </c>
    </row>
    <row r="999" spans="26:33" x14ac:dyDescent="0.35">
      <c r="Z999" s="344">
        <v>3249</v>
      </c>
      <c r="AA999" s="344" t="s">
        <v>574</v>
      </c>
      <c r="AB999" s="344">
        <v>4</v>
      </c>
      <c r="AC999" s="344" t="e">
        <v>#N/A</v>
      </c>
      <c r="AD999" s="1058" t="s">
        <v>578</v>
      </c>
      <c r="AE999" s="1059" t="e">
        <v>#N/A</v>
      </c>
      <c r="AF999" s="889" t="s">
        <v>459</v>
      </c>
      <c r="AG999" s="889" t="s">
        <v>459</v>
      </c>
    </row>
    <row r="1000" spans="26:33" x14ac:dyDescent="0.35">
      <c r="Z1000" s="344">
        <v>3250</v>
      </c>
      <c r="AA1000" s="344" t="s">
        <v>574</v>
      </c>
      <c r="AB1000" s="344">
        <v>3</v>
      </c>
      <c r="AC1000" s="344" t="s">
        <v>464</v>
      </c>
      <c r="AD1000" s="1058" t="s">
        <v>576</v>
      </c>
      <c r="AE1000" s="1059">
        <v>293471</v>
      </c>
      <c r="AF1000" s="889" t="s">
        <v>459</v>
      </c>
      <c r="AG1000" s="889" t="s">
        <v>459</v>
      </c>
    </row>
    <row r="1001" spans="26:33" x14ac:dyDescent="0.35">
      <c r="Z1001" s="344">
        <v>3251</v>
      </c>
      <c r="AA1001" s="344" t="s">
        <v>574</v>
      </c>
      <c r="AB1001" s="344">
        <v>4</v>
      </c>
      <c r="AC1001" s="344" t="s">
        <v>464</v>
      </c>
      <c r="AD1001" s="1058" t="s">
        <v>578</v>
      </c>
      <c r="AE1001" s="1059">
        <v>201665</v>
      </c>
      <c r="AF1001" s="889" t="s">
        <v>459</v>
      </c>
      <c r="AG1001" s="889" t="s">
        <v>459</v>
      </c>
    </row>
    <row r="1002" spans="26:33" x14ac:dyDescent="0.35">
      <c r="Z1002" s="344">
        <v>3254</v>
      </c>
      <c r="AA1002" s="344" t="s">
        <v>574</v>
      </c>
      <c r="AB1002" s="344">
        <v>4</v>
      </c>
      <c r="AC1002" s="344" t="s">
        <v>464</v>
      </c>
      <c r="AD1002" s="1058" t="s">
        <v>578</v>
      </c>
      <c r="AE1002" s="1059">
        <v>241247</v>
      </c>
      <c r="AF1002" s="889" t="s">
        <v>459</v>
      </c>
      <c r="AG1002" s="889" t="s">
        <v>459</v>
      </c>
    </row>
    <row r="1003" spans="26:33" x14ac:dyDescent="0.35">
      <c r="Z1003" s="344">
        <v>3260</v>
      </c>
      <c r="AA1003" s="344" t="s">
        <v>574</v>
      </c>
      <c r="AB1003" s="344">
        <v>4</v>
      </c>
      <c r="AC1003" s="344" t="s">
        <v>464</v>
      </c>
      <c r="AD1003" s="1058" t="s">
        <v>578</v>
      </c>
      <c r="AE1003" s="1059">
        <v>253258</v>
      </c>
      <c r="AF1003" s="889" t="s">
        <v>459</v>
      </c>
      <c r="AG1003" s="889" t="s">
        <v>459</v>
      </c>
    </row>
    <row r="1004" spans="26:33" x14ac:dyDescent="0.35">
      <c r="Z1004" s="344">
        <v>3264</v>
      </c>
      <c r="AA1004" s="344" t="s">
        <v>574</v>
      </c>
      <c r="AB1004" s="344">
        <v>4</v>
      </c>
      <c r="AC1004" s="344" t="s">
        <v>464</v>
      </c>
      <c r="AD1004" s="1058" t="s">
        <v>578</v>
      </c>
      <c r="AE1004" s="1059">
        <v>214176</v>
      </c>
      <c r="AF1004" s="889" t="s">
        <v>459</v>
      </c>
      <c r="AG1004" s="889" t="s">
        <v>459</v>
      </c>
    </row>
    <row r="1005" spans="26:33" x14ac:dyDescent="0.35">
      <c r="Z1005" s="344">
        <v>3265</v>
      </c>
      <c r="AA1005" s="344" t="s">
        <v>574</v>
      </c>
      <c r="AB1005" s="344">
        <v>4</v>
      </c>
      <c r="AC1005" s="344" t="s">
        <v>464</v>
      </c>
      <c r="AD1005" s="1058" t="s">
        <v>578</v>
      </c>
      <c r="AE1005" s="1059">
        <v>240188</v>
      </c>
      <c r="AF1005" s="889" t="s">
        <v>459</v>
      </c>
      <c r="AG1005" s="889" t="s">
        <v>459</v>
      </c>
    </row>
    <row r="1006" spans="26:33" x14ac:dyDescent="0.35">
      <c r="Z1006" s="344">
        <v>3266</v>
      </c>
      <c r="AA1006" s="344" t="s">
        <v>574</v>
      </c>
      <c r="AB1006" s="344">
        <v>4</v>
      </c>
      <c r="AC1006" s="344" t="s">
        <v>464</v>
      </c>
      <c r="AD1006" s="1058" t="s">
        <v>578</v>
      </c>
      <c r="AE1006" s="1059">
        <v>220523</v>
      </c>
      <c r="AF1006" s="889" t="s">
        <v>459</v>
      </c>
      <c r="AG1006" s="889" t="s">
        <v>459</v>
      </c>
    </row>
    <row r="1007" spans="26:33" x14ac:dyDescent="0.35">
      <c r="Z1007" s="344">
        <v>3267</v>
      </c>
      <c r="AA1007" s="344" t="s">
        <v>574</v>
      </c>
      <c r="AB1007" s="344">
        <v>4</v>
      </c>
      <c r="AC1007" s="344" t="e">
        <v>#N/A</v>
      </c>
      <c r="AD1007" s="1058" t="s">
        <v>578</v>
      </c>
      <c r="AE1007" s="1059" t="e">
        <v>#N/A</v>
      </c>
      <c r="AF1007" s="889" t="s">
        <v>459</v>
      </c>
      <c r="AG1007" s="889" t="s">
        <v>459</v>
      </c>
    </row>
    <row r="1008" spans="26:33" x14ac:dyDescent="0.35">
      <c r="Z1008" s="344">
        <v>3268</v>
      </c>
      <c r="AA1008" s="344" t="s">
        <v>574</v>
      </c>
      <c r="AB1008" s="344">
        <v>4</v>
      </c>
      <c r="AC1008" s="344" t="s">
        <v>464</v>
      </c>
      <c r="AD1008" s="1058" t="s">
        <v>578</v>
      </c>
      <c r="AE1008" s="1059">
        <v>264300</v>
      </c>
      <c r="AF1008" s="889" t="s">
        <v>459</v>
      </c>
      <c r="AG1008" s="889" t="s">
        <v>459</v>
      </c>
    </row>
    <row r="1009" spans="26:33" x14ac:dyDescent="0.35">
      <c r="Z1009" s="344">
        <v>3269</v>
      </c>
      <c r="AA1009" s="344" t="s">
        <v>574</v>
      </c>
      <c r="AB1009" s="344">
        <v>4</v>
      </c>
      <c r="AC1009" s="344" t="s">
        <v>471</v>
      </c>
      <c r="AD1009" s="1058" t="s">
        <v>578</v>
      </c>
      <c r="AE1009" s="1059">
        <v>348699</v>
      </c>
      <c r="AF1009" s="889" t="s">
        <v>459</v>
      </c>
      <c r="AG1009" s="889" t="s">
        <v>459</v>
      </c>
    </row>
    <row r="1010" spans="26:33" x14ac:dyDescent="0.35">
      <c r="Z1010" s="344">
        <v>3270</v>
      </c>
      <c r="AA1010" s="344" t="s">
        <v>574</v>
      </c>
      <c r="AB1010" s="344">
        <v>4</v>
      </c>
      <c r="AC1010" s="344" t="s">
        <v>471</v>
      </c>
      <c r="AD1010" s="1058" t="s">
        <v>578</v>
      </c>
      <c r="AE1010" s="1059">
        <v>325165</v>
      </c>
      <c r="AF1010" s="889" t="s">
        <v>459</v>
      </c>
      <c r="AG1010" s="889" t="s">
        <v>459</v>
      </c>
    </row>
    <row r="1011" spans="26:33" x14ac:dyDescent="0.35">
      <c r="Z1011" s="344">
        <v>3271</v>
      </c>
      <c r="AA1011" s="344" t="s">
        <v>574</v>
      </c>
      <c r="AB1011" s="344">
        <v>4</v>
      </c>
      <c r="AC1011" s="344" t="e">
        <v>#N/A</v>
      </c>
      <c r="AD1011" s="1058" t="s">
        <v>578</v>
      </c>
      <c r="AE1011" s="1059" t="e">
        <v>#N/A</v>
      </c>
      <c r="AF1011" s="889" t="s">
        <v>459</v>
      </c>
      <c r="AG1011" s="889" t="s">
        <v>459</v>
      </c>
    </row>
    <row r="1012" spans="26:33" x14ac:dyDescent="0.35">
      <c r="Z1012" s="344">
        <v>3272</v>
      </c>
      <c r="AA1012" s="344" t="s">
        <v>574</v>
      </c>
      <c r="AB1012" s="344">
        <v>4</v>
      </c>
      <c r="AC1012" s="344" t="s">
        <v>464</v>
      </c>
      <c r="AD1012" s="1058" t="s">
        <v>578</v>
      </c>
      <c r="AE1012" s="1059">
        <v>169985</v>
      </c>
      <c r="AF1012" s="889" t="s">
        <v>459</v>
      </c>
      <c r="AG1012" s="889" t="s">
        <v>459</v>
      </c>
    </row>
    <row r="1013" spans="26:33" x14ac:dyDescent="0.35">
      <c r="Z1013" s="344">
        <v>3273</v>
      </c>
      <c r="AA1013" s="344" t="s">
        <v>574</v>
      </c>
      <c r="AB1013" s="344">
        <v>4</v>
      </c>
      <c r="AC1013" s="344" t="e">
        <v>#N/A</v>
      </c>
      <c r="AD1013" s="1058" t="s">
        <v>578</v>
      </c>
      <c r="AE1013" s="1059" t="e">
        <v>#N/A</v>
      </c>
      <c r="AF1013" s="889" t="s">
        <v>459</v>
      </c>
      <c r="AG1013" s="889" t="s">
        <v>459</v>
      </c>
    </row>
    <row r="1014" spans="26:33" x14ac:dyDescent="0.35">
      <c r="Z1014" s="344">
        <v>3274</v>
      </c>
      <c r="AA1014" s="344" t="s">
        <v>574</v>
      </c>
      <c r="AB1014" s="344">
        <v>4</v>
      </c>
      <c r="AC1014" s="344" t="e">
        <v>#N/A</v>
      </c>
      <c r="AD1014" s="1058" t="s">
        <v>578</v>
      </c>
      <c r="AE1014" s="1059" t="e">
        <v>#N/A</v>
      </c>
      <c r="AF1014" s="889" t="s">
        <v>459</v>
      </c>
      <c r="AG1014" s="889" t="s">
        <v>459</v>
      </c>
    </row>
    <row r="1015" spans="26:33" x14ac:dyDescent="0.35">
      <c r="Z1015" s="344">
        <v>3275</v>
      </c>
      <c r="AA1015" s="344" t="s">
        <v>574</v>
      </c>
      <c r="AB1015" s="344">
        <v>4</v>
      </c>
      <c r="AC1015" s="344" t="e">
        <v>#N/A</v>
      </c>
      <c r="AD1015" s="1058" t="s">
        <v>578</v>
      </c>
      <c r="AE1015" s="1059" t="e">
        <v>#N/A</v>
      </c>
      <c r="AF1015" s="889" t="s">
        <v>459</v>
      </c>
      <c r="AG1015" s="889" t="s">
        <v>459</v>
      </c>
    </row>
    <row r="1016" spans="26:33" x14ac:dyDescent="0.35">
      <c r="Z1016" s="344">
        <v>3276</v>
      </c>
      <c r="AA1016" s="344" t="s">
        <v>574</v>
      </c>
      <c r="AB1016" s="344">
        <v>4</v>
      </c>
      <c r="AC1016" s="344" t="e">
        <v>#N/A</v>
      </c>
      <c r="AD1016" s="1058" t="s">
        <v>578</v>
      </c>
      <c r="AE1016" s="1059" t="e">
        <v>#N/A</v>
      </c>
      <c r="AF1016" s="889" t="s">
        <v>459</v>
      </c>
      <c r="AG1016" s="889" t="s">
        <v>459</v>
      </c>
    </row>
    <row r="1017" spans="26:33" x14ac:dyDescent="0.35">
      <c r="Z1017" s="344">
        <v>3277</v>
      </c>
      <c r="AA1017" s="344" t="s">
        <v>574</v>
      </c>
      <c r="AB1017" s="344">
        <v>4</v>
      </c>
      <c r="AC1017" s="344" t="s">
        <v>464</v>
      </c>
      <c r="AD1017" s="1058" t="s">
        <v>578</v>
      </c>
      <c r="AE1017" s="1059">
        <v>288596</v>
      </c>
      <c r="AF1017" s="889" t="s">
        <v>459</v>
      </c>
      <c r="AG1017" s="889" t="s">
        <v>459</v>
      </c>
    </row>
    <row r="1018" spans="26:33" x14ac:dyDescent="0.35">
      <c r="Z1018" s="344">
        <v>3278</v>
      </c>
      <c r="AA1018" s="344" t="s">
        <v>574</v>
      </c>
      <c r="AB1018" s="344">
        <v>4</v>
      </c>
      <c r="AC1018" s="344" t="e">
        <v>#N/A</v>
      </c>
      <c r="AD1018" s="1058" t="s">
        <v>578</v>
      </c>
      <c r="AE1018" s="1059" t="e">
        <v>#N/A</v>
      </c>
      <c r="AF1018" s="889" t="s">
        <v>459</v>
      </c>
      <c r="AG1018" s="889" t="s">
        <v>459</v>
      </c>
    </row>
    <row r="1019" spans="26:33" x14ac:dyDescent="0.35">
      <c r="Z1019" s="344">
        <v>3279</v>
      </c>
      <c r="AA1019" s="344" t="s">
        <v>574</v>
      </c>
      <c r="AB1019" s="344">
        <v>4</v>
      </c>
      <c r="AC1019" s="344" t="e">
        <v>#N/A</v>
      </c>
      <c r="AD1019" s="1058" t="s">
        <v>578</v>
      </c>
      <c r="AE1019" s="1059" t="e">
        <v>#N/A</v>
      </c>
      <c r="AF1019" s="889" t="s">
        <v>459</v>
      </c>
      <c r="AG1019" s="889" t="s">
        <v>459</v>
      </c>
    </row>
    <row r="1020" spans="26:33" x14ac:dyDescent="0.35">
      <c r="Z1020" s="344">
        <v>3280</v>
      </c>
      <c r="AA1020" s="344" t="s">
        <v>574</v>
      </c>
      <c r="AB1020" s="344">
        <v>2</v>
      </c>
      <c r="AC1020" s="344" t="s">
        <v>471</v>
      </c>
      <c r="AD1020" s="1058" t="s">
        <v>577</v>
      </c>
      <c r="AE1020" s="1059">
        <v>319550</v>
      </c>
      <c r="AF1020" s="889" t="s">
        <v>459</v>
      </c>
      <c r="AG1020" s="889" t="s">
        <v>459</v>
      </c>
    </row>
    <row r="1021" spans="26:33" x14ac:dyDescent="0.35">
      <c r="Z1021" s="344">
        <v>3281</v>
      </c>
      <c r="AA1021" s="344" t="s">
        <v>574</v>
      </c>
      <c r="AB1021" s="344">
        <v>4</v>
      </c>
      <c r="AC1021" s="344" t="s">
        <v>471</v>
      </c>
      <c r="AD1021" s="1058" t="s">
        <v>578</v>
      </c>
      <c r="AE1021" s="1059">
        <v>367965</v>
      </c>
      <c r="AF1021" s="889" t="s">
        <v>459</v>
      </c>
      <c r="AG1021" s="889" t="s">
        <v>459</v>
      </c>
    </row>
    <row r="1022" spans="26:33" x14ac:dyDescent="0.35">
      <c r="Z1022" s="344">
        <v>3282</v>
      </c>
      <c r="AA1022" s="344" t="s">
        <v>574</v>
      </c>
      <c r="AB1022" s="344">
        <v>4</v>
      </c>
      <c r="AC1022" s="344" t="s">
        <v>464</v>
      </c>
      <c r="AD1022" s="1058" t="s">
        <v>578</v>
      </c>
      <c r="AE1022" s="1059">
        <v>295583</v>
      </c>
      <c r="AF1022" s="889" t="s">
        <v>459</v>
      </c>
      <c r="AG1022" s="889" t="s">
        <v>459</v>
      </c>
    </row>
    <row r="1023" spans="26:33" x14ac:dyDescent="0.35">
      <c r="Z1023" s="344">
        <v>3283</v>
      </c>
      <c r="AA1023" s="344" t="s">
        <v>574</v>
      </c>
      <c r="AB1023" s="344">
        <v>4</v>
      </c>
      <c r="AC1023" s="344" t="e">
        <v>#N/A</v>
      </c>
      <c r="AD1023" s="1058" t="s">
        <v>578</v>
      </c>
      <c r="AE1023" s="1059" t="e">
        <v>#N/A</v>
      </c>
      <c r="AF1023" s="889" t="s">
        <v>459</v>
      </c>
      <c r="AG1023" s="889" t="s">
        <v>459</v>
      </c>
    </row>
    <row r="1024" spans="26:33" x14ac:dyDescent="0.35">
      <c r="Z1024" s="344">
        <v>3284</v>
      </c>
      <c r="AA1024" s="344" t="s">
        <v>574</v>
      </c>
      <c r="AB1024" s="344">
        <v>4</v>
      </c>
      <c r="AC1024" s="344" t="s">
        <v>457</v>
      </c>
      <c r="AD1024" s="1058" t="s">
        <v>578</v>
      </c>
      <c r="AE1024" s="1059">
        <v>451269</v>
      </c>
      <c r="AF1024" s="889" t="s">
        <v>459</v>
      </c>
      <c r="AG1024" s="889" t="s">
        <v>459</v>
      </c>
    </row>
    <row r="1025" spans="26:33" x14ac:dyDescent="0.35">
      <c r="Z1025" s="344">
        <v>3285</v>
      </c>
      <c r="AA1025" s="344" t="s">
        <v>574</v>
      </c>
      <c r="AB1025" s="344">
        <v>4</v>
      </c>
      <c r="AC1025" s="344" t="s">
        <v>464</v>
      </c>
      <c r="AD1025" s="1058" t="s">
        <v>578</v>
      </c>
      <c r="AE1025" s="1059">
        <v>295946</v>
      </c>
      <c r="AF1025" s="889" t="s">
        <v>459</v>
      </c>
      <c r="AG1025" s="889" t="s">
        <v>459</v>
      </c>
    </row>
    <row r="1026" spans="26:33" x14ac:dyDescent="0.35">
      <c r="Z1026" s="344">
        <v>3286</v>
      </c>
      <c r="AA1026" s="344" t="s">
        <v>574</v>
      </c>
      <c r="AB1026" s="344">
        <v>4</v>
      </c>
      <c r="AC1026" s="344" t="s">
        <v>464</v>
      </c>
      <c r="AD1026" s="1058" t="s">
        <v>578</v>
      </c>
      <c r="AE1026" s="1059">
        <v>156175</v>
      </c>
      <c r="AF1026" s="889" t="s">
        <v>459</v>
      </c>
      <c r="AG1026" s="889" t="s">
        <v>459</v>
      </c>
    </row>
    <row r="1027" spans="26:33" x14ac:dyDescent="0.35">
      <c r="Z1027" s="344">
        <v>3287</v>
      </c>
      <c r="AA1027" s="344" t="s">
        <v>574</v>
      </c>
      <c r="AB1027" s="344">
        <v>4</v>
      </c>
      <c r="AC1027" s="344" t="e">
        <v>#N/A</v>
      </c>
      <c r="AD1027" s="1058" t="s">
        <v>578</v>
      </c>
      <c r="AE1027" s="1059" t="e">
        <v>#N/A</v>
      </c>
      <c r="AF1027" s="889" t="s">
        <v>459</v>
      </c>
      <c r="AG1027" s="889" t="s">
        <v>459</v>
      </c>
    </row>
    <row r="1028" spans="26:33" x14ac:dyDescent="0.35">
      <c r="Z1028" s="344">
        <v>3289</v>
      </c>
      <c r="AA1028" s="344" t="s">
        <v>574</v>
      </c>
      <c r="AB1028" s="344">
        <v>4</v>
      </c>
      <c r="AC1028" s="344" t="s">
        <v>464</v>
      </c>
      <c r="AD1028" s="1058" t="s">
        <v>578</v>
      </c>
      <c r="AE1028" s="1059">
        <v>149714</v>
      </c>
      <c r="AF1028" s="889" t="s">
        <v>459</v>
      </c>
      <c r="AG1028" s="889" t="s">
        <v>459</v>
      </c>
    </row>
    <row r="1029" spans="26:33" x14ac:dyDescent="0.35">
      <c r="Z1029" s="344">
        <v>3292</v>
      </c>
      <c r="AA1029" s="344" t="s">
        <v>574</v>
      </c>
      <c r="AB1029" s="344">
        <v>4</v>
      </c>
      <c r="AC1029" s="344" t="s">
        <v>464</v>
      </c>
      <c r="AD1029" s="1058" t="s">
        <v>578</v>
      </c>
      <c r="AE1029" s="1059">
        <v>266451</v>
      </c>
      <c r="AF1029" s="889" t="s">
        <v>459</v>
      </c>
      <c r="AG1029" s="889" t="s">
        <v>459</v>
      </c>
    </row>
    <row r="1030" spans="26:33" x14ac:dyDescent="0.35">
      <c r="Z1030" s="344">
        <v>3293</v>
      </c>
      <c r="AA1030" s="344" t="s">
        <v>574</v>
      </c>
      <c r="AB1030" s="344">
        <v>4</v>
      </c>
      <c r="AC1030" s="344" t="s">
        <v>464</v>
      </c>
      <c r="AD1030" s="1058" t="s">
        <v>578</v>
      </c>
      <c r="AE1030" s="1059">
        <v>133952</v>
      </c>
      <c r="AF1030" s="889" t="s">
        <v>459</v>
      </c>
      <c r="AG1030" s="889" t="s">
        <v>459</v>
      </c>
    </row>
    <row r="1031" spans="26:33" x14ac:dyDescent="0.35">
      <c r="Z1031" s="344">
        <v>3294</v>
      </c>
      <c r="AA1031" s="344" t="s">
        <v>574</v>
      </c>
      <c r="AB1031" s="344">
        <v>4</v>
      </c>
      <c r="AC1031" s="344" t="s">
        <v>464</v>
      </c>
      <c r="AD1031" s="1058" t="s">
        <v>578</v>
      </c>
      <c r="AE1031" s="1059">
        <v>214618</v>
      </c>
      <c r="AF1031" s="889" t="s">
        <v>459</v>
      </c>
      <c r="AG1031" s="889" t="s">
        <v>459</v>
      </c>
    </row>
    <row r="1032" spans="26:33" x14ac:dyDescent="0.35">
      <c r="Z1032" s="344">
        <v>3300</v>
      </c>
      <c r="AA1032" s="344" t="s">
        <v>574</v>
      </c>
      <c r="AB1032" s="344">
        <v>3</v>
      </c>
      <c r="AC1032" s="344" t="s">
        <v>464</v>
      </c>
      <c r="AD1032" s="1058" t="s">
        <v>576</v>
      </c>
      <c r="AE1032" s="1059">
        <v>213398</v>
      </c>
      <c r="AF1032" s="889" t="s">
        <v>459</v>
      </c>
      <c r="AG1032" s="889" t="s">
        <v>459</v>
      </c>
    </row>
    <row r="1033" spans="26:33" x14ac:dyDescent="0.35">
      <c r="Z1033" s="344">
        <v>3301</v>
      </c>
      <c r="AA1033" s="344" t="s">
        <v>574</v>
      </c>
      <c r="AB1033" s="344">
        <v>4</v>
      </c>
      <c r="AC1033" s="344" t="e">
        <v>#N/A</v>
      </c>
      <c r="AD1033" s="1058" t="s">
        <v>578</v>
      </c>
      <c r="AE1033" s="1059" t="e">
        <v>#N/A</v>
      </c>
      <c r="AF1033" s="889" t="s">
        <v>459</v>
      </c>
      <c r="AG1033" s="889" t="s">
        <v>459</v>
      </c>
    </row>
    <row r="1034" spans="26:33" x14ac:dyDescent="0.35">
      <c r="Z1034" s="344">
        <v>3302</v>
      </c>
      <c r="AA1034" s="344" t="s">
        <v>574</v>
      </c>
      <c r="AB1034" s="344">
        <v>4</v>
      </c>
      <c r="AC1034" s="344" t="e">
        <v>#N/A</v>
      </c>
      <c r="AD1034" s="1058" t="s">
        <v>578</v>
      </c>
      <c r="AE1034" s="1059" t="e">
        <v>#N/A</v>
      </c>
      <c r="AF1034" s="889" t="s">
        <v>459</v>
      </c>
      <c r="AG1034" s="889" t="s">
        <v>459</v>
      </c>
    </row>
    <row r="1035" spans="26:33" x14ac:dyDescent="0.35">
      <c r="Z1035" s="344">
        <v>3303</v>
      </c>
      <c r="AA1035" s="344" t="s">
        <v>574</v>
      </c>
      <c r="AB1035" s="344">
        <v>4</v>
      </c>
      <c r="AC1035" s="344" t="e">
        <v>#N/A</v>
      </c>
      <c r="AD1035" s="1058" t="s">
        <v>578</v>
      </c>
      <c r="AE1035" s="1059" t="e">
        <v>#N/A</v>
      </c>
      <c r="AF1035" s="889" t="s">
        <v>459</v>
      </c>
      <c r="AG1035" s="889" t="s">
        <v>459</v>
      </c>
    </row>
    <row r="1036" spans="26:33" x14ac:dyDescent="0.35">
      <c r="Z1036" s="344">
        <v>3304</v>
      </c>
      <c r="AA1036" s="344" t="s">
        <v>574</v>
      </c>
      <c r="AB1036" s="344">
        <v>4</v>
      </c>
      <c r="AC1036" s="344" t="s">
        <v>464</v>
      </c>
      <c r="AD1036" s="1058" t="s">
        <v>578</v>
      </c>
      <c r="AE1036" s="1059">
        <v>167176</v>
      </c>
      <c r="AF1036" s="889" t="s">
        <v>459</v>
      </c>
      <c r="AG1036" s="889" t="s">
        <v>459</v>
      </c>
    </row>
    <row r="1037" spans="26:33" x14ac:dyDescent="0.35">
      <c r="Z1037" s="344">
        <v>3305</v>
      </c>
      <c r="AA1037" s="344" t="s">
        <v>574</v>
      </c>
      <c r="AB1037" s="344">
        <v>3</v>
      </c>
      <c r="AC1037" s="344" t="s">
        <v>464</v>
      </c>
      <c r="AD1037" s="1058" t="s">
        <v>576</v>
      </c>
      <c r="AE1037" s="1059">
        <v>263072</v>
      </c>
      <c r="AF1037" s="889" t="s">
        <v>459</v>
      </c>
      <c r="AG1037" s="889" t="s">
        <v>459</v>
      </c>
    </row>
    <row r="1038" spans="26:33" x14ac:dyDescent="0.35">
      <c r="Z1038" s="344">
        <v>3309</v>
      </c>
      <c r="AA1038" s="344" t="s">
        <v>574</v>
      </c>
      <c r="AB1038" s="344">
        <v>4</v>
      </c>
      <c r="AC1038" s="344" t="e">
        <v>#N/A</v>
      </c>
      <c r="AD1038" s="1058" t="s">
        <v>578</v>
      </c>
      <c r="AE1038" s="1059" t="e">
        <v>#N/A</v>
      </c>
      <c r="AF1038" s="889" t="s">
        <v>459</v>
      </c>
      <c r="AG1038" s="889" t="s">
        <v>459</v>
      </c>
    </row>
    <row r="1039" spans="26:33" x14ac:dyDescent="0.35">
      <c r="Z1039" s="344">
        <v>3310</v>
      </c>
      <c r="AA1039" s="344" t="s">
        <v>574</v>
      </c>
      <c r="AB1039" s="344">
        <v>4</v>
      </c>
      <c r="AC1039" s="344" t="s">
        <v>464</v>
      </c>
      <c r="AD1039" s="1058" t="s">
        <v>578</v>
      </c>
      <c r="AE1039" s="1059">
        <v>157340</v>
      </c>
      <c r="AF1039" s="889" t="s">
        <v>459</v>
      </c>
      <c r="AG1039" s="889" t="s">
        <v>459</v>
      </c>
    </row>
    <row r="1040" spans="26:33" x14ac:dyDescent="0.35">
      <c r="Z1040" s="344">
        <v>3311</v>
      </c>
      <c r="AA1040" s="344" t="s">
        <v>574</v>
      </c>
      <c r="AB1040" s="344">
        <v>4</v>
      </c>
      <c r="AC1040" s="344" t="s">
        <v>464</v>
      </c>
      <c r="AD1040" s="1058" t="s">
        <v>578</v>
      </c>
      <c r="AE1040" s="1059">
        <v>128164</v>
      </c>
      <c r="AF1040" s="889" t="s">
        <v>459</v>
      </c>
      <c r="AG1040" s="889" t="s">
        <v>459</v>
      </c>
    </row>
    <row r="1041" spans="26:33" x14ac:dyDescent="0.35">
      <c r="Z1041" s="344">
        <v>3312</v>
      </c>
      <c r="AA1041" s="344" t="s">
        <v>574</v>
      </c>
      <c r="AB1041" s="344">
        <v>4</v>
      </c>
      <c r="AC1041" s="344" t="e">
        <v>#N/A</v>
      </c>
      <c r="AD1041" s="1058" t="s">
        <v>578</v>
      </c>
      <c r="AE1041" s="1059" t="e">
        <v>#N/A</v>
      </c>
      <c r="AF1041" s="889" t="s">
        <v>459</v>
      </c>
      <c r="AG1041" s="889" t="s">
        <v>459</v>
      </c>
    </row>
    <row r="1042" spans="26:33" x14ac:dyDescent="0.35">
      <c r="Z1042" s="344">
        <v>3314</v>
      </c>
      <c r="AA1042" s="344" t="s">
        <v>574</v>
      </c>
      <c r="AB1042" s="344">
        <v>4</v>
      </c>
      <c r="AC1042" s="344" t="e">
        <v>#N/A</v>
      </c>
      <c r="AD1042" s="1058" t="s">
        <v>578</v>
      </c>
      <c r="AE1042" s="1059" t="e">
        <v>#N/A</v>
      </c>
      <c r="AF1042" s="889" t="s">
        <v>459</v>
      </c>
      <c r="AG1042" s="889" t="s">
        <v>459</v>
      </c>
    </row>
    <row r="1043" spans="26:33" x14ac:dyDescent="0.35">
      <c r="Z1043" s="344">
        <v>3315</v>
      </c>
      <c r="AA1043" s="344" t="s">
        <v>574</v>
      </c>
      <c r="AB1043" s="344">
        <v>4</v>
      </c>
      <c r="AC1043" s="344" t="s">
        <v>464</v>
      </c>
      <c r="AD1043" s="1058" t="s">
        <v>578</v>
      </c>
      <c r="AE1043" s="1059">
        <v>132624</v>
      </c>
      <c r="AF1043" s="889" t="s">
        <v>459</v>
      </c>
      <c r="AG1043" s="889" t="s">
        <v>459</v>
      </c>
    </row>
    <row r="1044" spans="26:33" x14ac:dyDescent="0.35">
      <c r="Z1044" s="344">
        <v>3317</v>
      </c>
      <c r="AA1044" s="344" t="s">
        <v>574</v>
      </c>
      <c r="AB1044" s="344">
        <v>4</v>
      </c>
      <c r="AC1044" s="344" t="e">
        <v>#N/A</v>
      </c>
      <c r="AD1044" s="1058" t="s">
        <v>578</v>
      </c>
      <c r="AE1044" s="1059" t="e">
        <v>#N/A</v>
      </c>
      <c r="AF1044" s="889" t="s">
        <v>459</v>
      </c>
      <c r="AG1044" s="889" t="s">
        <v>459</v>
      </c>
    </row>
    <row r="1045" spans="26:33" x14ac:dyDescent="0.35">
      <c r="Z1045" s="344">
        <v>3318</v>
      </c>
      <c r="AA1045" s="344" t="s">
        <v>574</v>
      </c>
      <c r="AB1045" s="344">
        <v>4</v>
      </c>
      <c r="AC1045" s="344" t="s">
        <v>464</v>
      </c>
      <c r="AD1045" s="1058" t="s">
        <v>578</v>
      </c>
      <c r="AE1045" s="1059">
        <v>145403</v>
      </c>
      <c r="AF1045" s="889" t="s">
        <v>459</v>
      </c>
      <c r="AG1045" s="889" t="s">
        <v>459</v>
      </c>
    </row>
    <row r="1046" spans="26:33" x14ac:dyDescent="0.35">
      <c r="Z1046" s="344">
        <v>3319</v>
      </c>
      <c r="AA1046" s="344" t="s">
        <v>574</v>
      </c>
      <c r="AB1046" s="344">
        <v>4</v>
      </c>
      <c r="AC1046" s="344" t="s">
        <v>464</v>
      </c>
      <c r="AD1046" s="1058" t="s">
        <v>578</v>
      </c>
      <c r="AE1046" s="1059">
        <v>141602</v>
      </c>
      <c r="AF1046" s="889" t="s">
        <v>459</v>
      </c>
      <c r="AG1046" s="889" t="s">
        <v>459</v>
      </c>
    </row>
    <row r="1047" spans="26:33" x14ac:dyDescent="0.35">
      <c r="Z1047" s="344">
        <v>3321</v>
      </c>
      <c r="AA1047" s="344" t="s">
        <v>574</v>
      </c>
      <c r="AB1047" s="344">
        <v>4</v>
      </c>
      <c r="AC1047" s="344" t="s">
        <v>471</v>
      </c>
      <c r="AD1047" s="1058" t="s">
        <v>578</v>
      </c>
      <c r="AE1047" s="1059">
        <v>359653</v>
      </c>
      <c r="AF1047" s="889" t="s">
        <v>459</v>
      </c>
      <c r="AG1047" s="889" t="s">
        <v>459</v>
      </c>
    </row>
    <row r="1048" spans="26:33" x14ac:dyDescent="0.35">
      <c r="Z1048" s="344">
        <v>3322</v>
      </c>
      <c r="AA1048" s="344" t="s">
        <v>574</v>
      </c>
      <c r="AB1048" s="344">
        <v>4</v>
      </c>
      <c r="AC1048" s="344" t="s">
        <v>464</v>
      </c>
      <c r="AD1048" s="1058" t="s">
        <v>578</v>
      </c>
      <c r="AE1048" s="1059">
        <v>152578</v>
      </c>
      <c r="AF1048" s="889" t="s">
        <v>459</v>
      </c>
      <c r="AG1048" s="889" t="s">
        <v>459</v>
      </c>
    </row>
    <row r="1049" spans="26:33" x14ac:dyDescent="0.35">
      <c r="Z1049" s="344">
        <v>3323</v>
      </c>
      <c r="AA1049" s="344" t="s">
        <v>574</v>
      </c>
      <c r="AB1049" s="344">
        <v>4</v>
      </c>
      <c r="AC1049" s="344" t="e">
        <v>#N/A</v>
      </c>
      <c r="AD1049" s="1058" t="s">
        <v>578</v>
      </c>
      <c r="AE1049" s="1059" t="e">
        <v>#N/A</v>
      </c>
      <c r="AF1049" s="889" t="s">
        <v>459</v>
      </c>
      <c r="AG1049" s="889" t="s">
        <v>459</v>
      </c>
    </row>
    <row r="1050" spans="26:33" x14ac:dyDescent="0.35">
      <c r="Z1050" s="344">
        <v>3324</v>
      </c>
      <c r="AA1050" s="344" t="s">
        <v>574</v>
      </c>
      <c r="AB1050" s="344">
        <v>4</v>
      </c>
      <c r="AC1050" s="344" t="s">
        <v>464</v>
      </c>
      <c r="AD1050" s="1058" t="s">
        <v>578</v>
      </c>
      <c r="AE1050" s="1059">
        <v>165700</v>
      </c>
      <c r="AF1050" s="889" t="s">
        <v>459</v>
      </c>
      <c r="AG1050" s="889" t="s">
        <v>459</v>
      </c>
    </row>
    <row r="1051" spans="26:33" x14ac:dyDescent="0.35">
      <c r="Z1051" s="344">
        <v>3325</v>
      </c>
      <c r="AA1051" s="344" t="s">
        <v>574</v>
      </c>
      <c r="AB1051" s="344">
        <v>4</v>
      </c>
      <c r="AC1051" s="344" t="s">
        <v>464</v>
      </c>
      <c r="AD1051" s="1058" t="s">
        <v>578</v>
      </c>
      <c r="AE1051" s="1059">
        <v>167421</v>
      </c>
      <c r="AF1051" s="889" t="s">
        <v>459</v>
      </c>
      <c r="AG1051" s="889" t="s">
        <v>459</v>
      </c>
    </row>
    <row r="1052" spans="26:33" x14ac:dyDescent="0.35">
      <c r="Z1052" s="344">
        <v>3328</v>
      </c>
      <c r="AA1052" s="344" t="s">
        <v>574</v>
      </c>
      <c r="AB1052" s="344">
        <v>4</v>
      </c>
      <c r="AC1052" s="344" t="s">
        <v>457</v>
      </c>
      <c r="AD1052" s="1058" t="s">
        <v>578</v>
      </c>
      <c r="AE1052" s="1059">
        <v>452676</v>
      </c>
      <c r="AF1052" s="889" t="s">
        <v>459</v>
      </c>
      <c r="AG1052" s="889" t="s">
        <v>459</v>
      </c>
    </row>
    <row r="1053" spans="26:33" x14ac:dyDescent="0.35">
      <c r="Z1053" s="344">
        <v>3329</v>
      </c>
      <c r="AA1053" s="344" t="s">
        <v>574</v>
      </c>
      <c r="AB1053" s="344">
        <v>4</v>
      </c>
      <c r="AC1053" s="344" t="e">
        <v>#N/A</v>
      </c>
      <c r="AD1053" s="1058" t="s">
        <v>578</v>
      </c>
      <c r="AE1053" s="1059" t="e">
        <v>#N/A</v>
      </c>
      <c r="AF1053" s="889" t="s">
        <v>459</v>
      </c>
      <c r="AG1053" s="889" t="s">
        <v>459</v>
      </c>
    </row>
    <row r="1054" spans="26:33" x14ac:dyDescent="0.35">
      <c r="Z1054" s="344">
        <v>3330</v>
      </c>
      <c r="AA1054" s="344" t="s">
        <v>574</v>
      </c>
      <c r="AB1054" s="344">
        <v>4</v>
      </c>
      <c r="AC1054" s="344" t="e">
        <v>#N/A</v>
      </c>
      <c r="AD1054" s="1058" t="s">
        <v>578</v>
      </c>
      <c r="AE1054" s="1059" t="e">
        <v>#N/A</v>
      </c>
      <c r="AF1054" s="889" t="s">
        <v>459</v>
      </c>
      <c r="AG1054" s="889" t="s">
        <v>459</v>
      </c>
    </row>
    <row r="1055" spans="26:33" x14ac:dyDescent="0.35">
      <c r="Z1055" s="344">
        <v>3331</v>
      </c>
      <c r="AA1055" s="344" t="s">
        <v>574</v>
      </c>
      <c r="AB1055" s="344">
        <v>1</v>
      </c>
      <c r="AC1055" s="344" t="s">
        <v>471</v>
      </c>
      <c r="AD1055" s="1058" t="s">
        <v>575</v>
      </c>
      <c r="AE1055" s="1059">
        <v>412880</v>
      </c>
      <c r="AF1055" s="889" t="s">
        <v>459</v>
      </c>
      <c r="AG1055" s="889" t="s">
        <v>459</v>
      </c>
    </row>
    <row r="1056" spans="26:33" x14ac:dyDescent="0.35">
      <c r="Z1056" s="344">
        <v>3332</v>
      </c>
      <c r="AA1056" s="344" t="s">
        <v>574</v>
      </c>
      <c r="AB1056" s="344">
        <v>4</v>
      </c>
      <c r="AC1056" s="344" t="s">
        <v>471</v>
      </c>
      <c r="AD1056" s="1058" t="s">
        <v>578</v>
      </c>
      <c r="AE1056" s="1059">
        <v>365515</v>
      </c>
      <c r="AF1056" s="889" t="s">
        <v>459</v>
      </c>
      <c r="AG1056" s="889" t="s">
        <v>459</v>
      </c>
    </row>
    <row r="1057" spans="26:33" x14ac:dyDescent="0.35">
      <c r="Z1057" s="344">
        <v>3333</v>
      </c>
      <c r="AA1057" s="344" t="s">
        <v>574</v>
      </c>
      <c r="AB1057" s="344">
        <v>4</v>
      </c>
      <c r="AC1057" s="344" t="s">
        <v>471</v>
      </c>
      <c r="AD1057" s="1058" t="s">
        <v>578</v>
      </c>
      <c r="AE1057" s="1059">
        <v>300521</v>
      </c>
      <c r="AF1057" s="889" t="s">
        <v>459</v>
      </c>
      <c r="AG1057" s="889" t="s">
        <v>459</v>
      </c>
    </row>
    <row r="1058" spans="26:33" x14ac:dyDescent="0.35">
      <c r="Z1058" s="344">
        <v>3334</v>
      </c>
      <c r="AA1058" s="344" t="s">
        <v>574</v>
      </c>
      <c r="AB1058" s="344">
        <v>4</v>
      </c>
      <c r="AC1058" s="344" t="e">
        <v>#N/A</v>
      </c>
      <c r="AD1058" s="1058" t="s">
        <v>578</v>
      </c>
      <c r="AE1058" s="1059" t="e">
        <v>#N/A</v>
      </c>
      <c r="AF1058" s="889" t="s">
        <v>459</v>
      </c>
      <c r="AG1058" s="889" t="s">
        <v>459</v>
      </c>
    </row>
    <row r="1059" spans="26:33" x14ac:dyDescent="0.35">
      <c r="Z1059" s="344">
        <v>3335</v>
      </c>
      <c r="AA1059" s="344" t="s">
        <v>574</v>
      </c>
      <c r="AB1059" s="344">
        <v>1</v>
      </c>
      <c r="AC1059" s="344" t="s">
        <v>471</v>
      </c>
      <c r="AD1059" s="1058" t="s">
        <v>575</v>
      </c>
      <c r="AE1059" s="1059">
        <v>367652</v>
      </c>
      <c r="AF1059" s="889" t="s">
        <v>459</v>
      </c>
      <c r="AG1059" s="889" t="s">
        <v>459</v>
      </c>
    </row>
    <row r="1060" spans="26:33" x14ac:dyDescent="0.35">
      <c r="Z1060" s="344">
        <v>3336</v>
      </c>
      <c r="AA1060" s="344" t="s">
        <v>574</v>
      </c>
      <c r="AB1060" s="344">
        <v>1</v>
      </c>
      <c r="AC1060" s="344" t="e">
        <v>#N/A</v>
      </c>
      <c r="AD1060" s="1058" t="s">
        <v>575</v>
      </c>
      <c r="AE1060" s="1059" t="e">
        <v>#N/A</v>
      </c>
      <c r="AF1060" s="889" t="s">
        <v>459</v>
      </c>
      <c r="AG1060" s="889" t="s">
        <v>459</v>
      </c>
    </row>
    <row r="1061" spans="26:33" x14ac:dyDescent="0.35">
      <c r="Z1061" s="344">
        <v>3337</v>
      </c>
      <c r="AA1061" s="344" t="s">
        <v>574</v>
      </c>
      <c r="AB1061" s="344">
        <v>1</v>
      </c>
      <c r="AC1061" s="344" t="s">
        <v>471</v>
      </c>
      <c r="AD1061" s="1058" t="s">
        <v>575</v>
      </c>
      <c r="AE1061" s="1059">
        <v>315482</v>
      </c>
      <c r="AF1061" s="889" t="s">
        <v>459</v>
      </c>
      <c r="AG1061" s="889" t="s">
        <v>459</v>
      </c>
    </row>
    <row r="1062" spans="26:33" x14ac:dyDescent="0.35">
      <c r="Z1062" s="344">
        <v>3338</v>
      </c>
      <c r="AA1062" s="344" t="s">
        <v>574</v>
      </c>
      <c r="AB1062" s="344">
        <v>1</v>
      </c>
      <c r="AC1062" s="344" t="s">
        <v>471</v>
      </c>
      <c r="AD1062" s="1058" t="s">
        <v>575</v>
      </c>
      <c r="AE1062" s="1059">
        <v>336300</v>
      </c>
      <c r="AF1062" s="889" t="s">
        <v>459</v>
      </c>
      <c r="AG1062" s="889" t="s">
        <v>459</v>
      </c>
    </row>
    <row r="1063" spans="26:33" x14ac:dyDescent="0.35">
      <c r="Z1063" s="344">
        <v>3339</v>
      </c>
      <c r="AA1063" s="344" t="s">
        <v>574</v>
      </c>
      <c r="AB1063" s="344">
        <v>1</v>
      </c>
      <c r="AC1063" s="344" t="e">
        <v>#N/A</v>
      </c>
      <c r="AD1063" s="1058" t="s">
        <v>575</v>
      </c>
      <c r="AE1063" s="1059" t="e">
        <v>#N/A</v>
      </c>
      <c r="AF1063" s="889" t="s">
        <v>459</v>
      </c>
      <c r="AG1063" s="889" t="s">
        <v>459</v>
      </c>
    </row>
    <row r="1064" spans="26:33" x14ac:dyDescent="0.35">
      <c r="Z1064" s="344">
        <v>3340</v>
      </c>
      <c r="AA1064" s="344" t="s">
        <v>574</v>
      </c>
      <c r="AB1064" s="344">
        <v>1</v>
      </c>
      <c r="AC1064" s="344" t="s">
        <v>471</v>
      </c>
      <c r="AD1064" s="1058" t="s">
        <v>575</v>
      </c>
      <c r="AE1064" s="1059">
        <v>435239</v>
      </c>
      <c r="AF1064" s="889" t="s">
        <v>459</v>
      </c>
      <c r="AG1064" s="889" t="s">
        <v>459</v>
      </c>
    </row>
    <row r="1065" spans="26:33" x14ac:dyDescent="0.35">
      <c r="Z1065" s="344">
        <v>3341</v>
      </c>
      <c r="AA1065" s="344" t="s">
        <v>574</v>
      </c>
      <c r="AB1065" s="344">
        <v>1</v>
      </c>
      <c r="AC1065" s="344" t="s">
        <v>457</v>
      </c>
      <c r="AD1065" s="1058" t="s">
        <v>575</v>
      </c>
      <c r="AE1065" s="1059">
        <v>452850</v>
      </c>
      <c r="AF1065" s="889" t="s">
        <v>459</v>
      </c>
      <c r="AG1065" s="889" t="s">
        <v>459</v>
      </c>
    </row>
    <row r="1066" spans="26:33" x14ac:dyDescent="0.35">
      <c r="Z1066" s="344">
        <v>3342</v>
      </c>
      <c r="AA1066" s="344" t="s">
        <v>574</v>
      </c>
      <c r="AB1066" s="344">
        <v>4</v>
      </c>
      <c r="AC1066" s="344" t="s">
        <v>471</v>
      </c>
      <c r="AD1066" s="1058" t="s">
        <v>578</v>
      </c>
      <c r="AE1066" s="1059">
        <v>349455</v>
      </c>
      <c r="AF1066" s="889" t="s">
        <v>459</v>
      </c>
      <c r="AG1066" s="889" t="s">
        <v>459</v>
      </c>
    </row>
    <row r="1067" spans="26:33" x14ac:dyDescent="0.35">
      <c r="Z1067" s="344">
        <v>3345</v>
      </c>
      <c r="AA1067" s="344" t="s">
        <v>574</v>
      </c>
      <c r="AB1067" s="344">
        <v>4</v>
      </c>
      <c r="AC1067" s="344" t="s">
        <v>471</v>
      </c>
      <c r="AD1067" s="1058" t="s">
        <v>578</v>
      </c>
      <c r="AE1067" s="1059">
        <v>340743</v>
      </c>
      <c r="AF1067" s="889" t="s">
        <v>459</v>
      </c>
      <c r="AG1067" s="889" t="s">
        <v>459</v>
      </c>
    </row>
    <row r="1068" spans="26:33" x14ac:dyDescent="0.35">
      <c r="Z1068" s="344">
        <v>3350</v>
      </c>
      <c r="AA1068" s="344" t="s">
        <v>574</v>
      </c>
      <c r="AB1068" s="344">
        <v>2</v>
      </c>
      <c r="AC1068" s="344" t="s">
        <v>471</v>
      </c>
      <c r="AD1068" s="1058" t="s">
        <v>577</v>
      </c>
      <c r="AE1068" s="1059">
        <v>349628</v>
      </c>
      <c r="AF1068" s="889" t="s">
        <v>459</v>
      </c>
      <c r="AG1068" s="889" t="s">
        <v>459</v>
      </c>
    </row>
    <row r="1069" spans="26:33" x14ac:dyDescent="0.35">
      <c r="Z1069" s="344">
        <v>3351</v>
      </c>
      <c r="AA1069" s="344" t="s">
        <v>574</v>
      </c>
      <c r="AB1069" s="344">
        <v>3</v>
      </c>
      <c r="AC1069" s="344" t="s">
        <v>471</v>
      </c>
      <c r="AD1069" s="1058" t="s">
        <v>576</v>
      </c>
      <c r="AE1069" s="1059">
        <v>313389</v>
      </c>
      <c r="AF1069" s="889" t="s">
        <v>459</v>
      </c>
      <c r="AG1069" s="889" t="s">
        <v>459</v>
      </c>
    </row>
    <row r="1070" spans="26:33" x14ac:dyDescent="0.35">
      <c r="Z1070" s="344">
        <v>3352</v>
      </c>
      <c r="AA1070" s="344" t="s">
        <v>574</v>
      </c>
      <c r="AB1070" s="344">
        <v>3</v>
      </c>
      <c r="AC1070" s="344" t="s">
        <v>471</v>
      </c>
      <c r="AD1070" s="1058" t="s">
        <v>576</v>
      </c>
      <c r="AE1070" s="1059">
        <v>318900</v>
      </c>
      <c r="AF1070" s="889" t="s">
        <v>459</v>
      </c>
      <c r="AG1070" s="889" t="s">
        <v>459</v>
      </c>
    </row>
    <row r="1071" spans="26:33" x14ac:dyDescent="0.35">
      <c r="Z1071" s="344">
        <v>3353</v>
      </c>
      <c r="AA1071" s="344" t="s">
        <v>574</v>
      </c>
      <c r="AB1071" s="344">
        <v>4</v>
      </c>
      <c r="AC1071" s="344" t="e">
        <v>#N/A</v>
      </c>
      <c r="AD1071" s="1058" t="s">
        <v>578</v>
      </c>
      <c r="AE1071" s="1059" t="e">
        <v>#N/A</v>
      </c>
      <c r="AF1071" s="889" t="s">
        <v>459</v>
      </c>
      <c r="AG1071" s="889" t="s">
        <v>459</v>
      </c>
    </row>
    <row r="1072" spans="26:33" x14ac:dyDescent="0.35">
      <c r="Z1072" s="344">
        <v>3354</v>
      </c>
      <c r="AA1072" s="344" t="s">
        <v>574</v>
      </c>
      <c r="AB1072" s="344">
        <v>4</v>
      </c>
      <c r="AC1072" s="344" t="e">
        <v>#N/A</v>
      </c>
      <c r="AD1072" s="1058" t="s">
        <v>578</v>
      </c>
      <c r="AE1072" s="1059" t="e">
        <v>#N/A</v>
      </c>
      <c r="AF1072" s="889" t="s">
        <v>459</v>
      </c>
      <c r="AG1072" s="889" t="s">
        <v>459</v>
      </c>
    </row>
    <row r="1073" spans="26:33" x14ac:dyDescent="0.35">
      <c r="Z1073" s="344">
        <v>3355</v>
      </c>
      <c r="AA1073" s="344" t="s">
        <v>574</v>
      </c>
      <c r="AB1073" s="344">
        <v>2</v>
      </c>
      <c r="AC1073" s="344" t="s">
        <v>471</v>
      </c>
      <c r="AD1073" s="1058" t="s">
        <v>577</v>
      </c>
      <c r="AE1073" s="1059">
        <v>354124</v>
      </c>
      <c r="AF1073" s="889" t="s">
        <v>459</v>
      </c>
      <c r="AG1073" s="889" t="s">
        <v>459</v>
      </c>
    </row>
    <row r="1074" spans="26:33" x14ac:dyDescent="0.35">
      <c r="Z1074" s="344">
        <v>3356</v>
      </c>
      <c r="AA1074" s="344" t="s">
        <v>574</v>
      </c>
      <c r="AB1074" s="344">
        <v>2</v>
      </c>
      <c r="AC1074" s="344" t="s">
        <v>464</v>
      </c>
      <c r="AD1074" s="1058" t="s">
        <v>577</v>
      </c>
      <c r="AE1074" s="1059">
        <v>292096</v>
      </c>
      <c r="AF1074" s="889" t="s">
        <v>459</v>
      </c>
      <c r="AG1074" s="889" t="s">
        <v>459</v>
      </c>
    </row>
    <row r="1075" spans="26:33" x14ac:dyDescent="0.35">
      <c r="Z1075" s="344">
        <v>3357</v>
      </c>
      <c r="AA1075" s="344" t="s">
        <v>574</v>
      </c>
      <c r="AB1075" s="344">
        <v>3</v>
      </c>
      <c r="AC1075" s="344" t="s">
        <v>471</v>
      </c>
      <c r="AD1075" s="1058" t="s">
        <v>576</v>
      </c>
      <c r="AE1075" s="1059">
        <v>379578</v>
      </c>
      <c r="AF1075" s="889" t="s">
        <v>459</v>
      </c>
      <c r="AG1075" s="889" t="s">
        <v>459</v>
      </c>
    </row>
    <row r="1076" spans="26:33" x14ac:dyDescent="0.35">
      <c r="Z1076" s="344">
        <v>3360</v>
      </c>
      <c r="AA1076" s="344" t="s">
        <v>574</v>
      </c>
      <c r="AB1076" s="344">
        <v>4</v>
      </c>
      <c r="AC1076" s="344" t="s">
        <v>464</v>
      </c>
      <c r="AD1076" s="1058" t="s">
        <v>578</v>
      </c>
      <c r="AE1076" s="1059">
        <v>242186</v>
      </c>
      <c r="AF1076" s="889" t="s">
        <v>459</v>
      </c>
      <c r="AG1076" s="889" t="s">
        <v>459</v>
      </c>
    </row>
    <row r="1077" spans="26:33" x14ac:dyDescent="0.35">
      <c r="Z1077" s="344">
        <v>3361</v>
      </c>
      <c r="AA1077" s="344" t="s">
        <v>574</v>
      </c>
      <c r="AB1077" s="344">
        <v>4</v>
      </c>
      <c r="AC1077" s="344" t="s">
        <v>464</v>
      </c>
      <c r="AD1077" s="1058" t="s">
        <v>578</v>
      </c>
      <c r="AE1077" s="1059">
        <v>180974</v>
      </c>
      <c r="AF1077" s="889" t="s">
        <v>459</v>
      </c>
      <c r="AG1077" s="889" t="s">
        <v>459</v>
      </c>
    </row>
    <row r="1078" spans="26:33" x14ac:dyDescent="0.35">
      <c r="Z1078" s="344">
        <v>3363</v>
      </c>
      <c r="AA1078" s="344" t="s">
        <v>574</v>
      </c>
      <c r="AB1078" s="344">
        <v>3</v>
      </c>
      <c r="AC1078" s="344" t="s">
        <v>464</v>
      </c>
      <c r="AD1078" s="1058" t="s">
        <v>576</v>
      </c>
      <c r="AE1078" s="1059">
        <v>282854</v>
      </c>
      <c r="AF1078" s="889" t="s">
        <v>459</v>
      </c>
      <c r="AG1078" s="889" t="s">
        <v>459</v>
      </c>
    </row>
    <row r="1079" spans="26:33" x14ac:dyDescent="0.35">
      <c r="Z1079" s="344">
        <v>3364</v>
      </c>
      <c r="AA1079" s="344" t="s">
        <v>574</v>
      </c>
      <c r="AB1079" s="344">
        <v>4</v>
      </c>
      <c r="AC1079" s="344" t="s">
        <v>464</v>
      </c>
      <c r="AD1079" s="1058" t="s">
        <v>578</v>
      </c>
      <c r="AE1079" s="1059">
        <v>290379</v>
      </c>
      <c r="AF1079" s="889" t="s">
        <v>459</v>
      </c>
      <c r="AG1079" s="889" t="s">
        <v>459</v>
      </c>
    </row>
    <row r="1080" spans="26:33" x14ac:dyDescent="0.35">
      <c r="Z1080" s="344">
        <v>3370</v>
      </c>
      <c r="AA1080" s="344" t="s">
        <v>574</v>
      </c>
      <c r="AB1080" s="344">
        <v>4</v>
      </c>
      <c r="AC1080" s="344" t="s">
        <v>464</v>
      </c>
      <c r="AD1080" s="1058" t="s">
        <v>578</v>
      </c>
      <c r="AE1080" s="1059">
        <v>254013</v>
      </c>
      <c r="AF1080" s="889" t="s">
        <v>459</v>
      </c>
      <c r="AG1080" s="889" t="s">
        <v>459</v>
      </c>
    </row>
    <row r="1081" spans="26:33" x14ac:dyDescent="0.35">
      <c r="Z1081" s="344">
        <v>3371</v>
      </c>
      <c r="AA1081" s="344" t="s">
        <v>574</v>
      </c>
      <c r="AB1081" s="344">
        <v>4</v>
      </c>
      <c r="AC1081" s="344" t="s">
        <v>464</v>
      </c>
      <c r="AD1081" s="1058" t="s">
        <v>578</v>
      </c>
      <c r="AE1081" s="1059">
        <v>191884</v>
      </c>
      <c r="AF1081" s="889" t="s">
        <v>459</v>
      </c>
      <c r="AG1081" s="889" t="s">
        <v>459</v>
      </c>
    </row>
    <row r="1082" spans="26:33" x14ac:dyDescent="0.35">
      <c r="Z1082" s="344">
        <v>3373</v>
      </c>
      <c r="AA1082" s="344" t="s">
        <v>574</v>
      </c>
      <c r="AB1082" s="344">
        <v>4</v>
      </c>
      <c r="AC1082" s="344" t="s">
        <v>464</v>
      </c>
      <c r="AD1082" s="1058" t="s">
        <v>578</v>
      </c>
      <c r="AE1082" s="1059">
        <v>220971</v>
      </c>
      <c r="AF1082" s="889" t="s">
        <v>459</v>
      </c>
      <c r="AG1082" s="889" t="s">
        <v>459</v>
      </c>
    </row>
    <row r="1083" spans="26:33" x14ac:dyDescent="0.35">
      <c r="Z1083" s="344">
        <v>3374</v>
      </c>
      <c r="AA1083" s="344" t="s">
        <v>574</v>
      </c>
      <c r="AB1083" s="344">
        <v>4</v>
      </c>
      <c r="AC1083" s="344" t="e">
        <v>#N/A</v>
      </c>
      <c r="AD1083" s="1058" t="s">
        <v>578</v>
      </c>
      <c r="AE1083" s="1059" t="e">
        <v>#N/A</v>
      </c>
      <c r="AF1083" s="889" t="s">
        <v>459</v>
      </c>
      <c r="AG1083" s="889" t="s">
        <v>459</v>
      </c>
    </row>
    <row r="1084" spans="26:33" x14ac:dyDescent="0.35">
      <c r="Z1084" s="344">
        <v>3375</v>
      </c>
      <c r="AA1084" s="344" t="s">
        <v>574</v>
      </c>
      <c r="AB1084" s="344">
        <v>4</v>
      </c>
      <c r="AC1084" s="344" t="e">
        <v>#N/A</v>
      </c>
      <c r="AD1084" s="1058" t="s">
        <v>578</v>
      </c>
      <c r="AE1084" s="1059" t="e">
        <v>#N/A</v>
      </c>
      <c r="AF1084" s="889" t="s">
        <v>459</v>
      </c>
      <c r="AG1084" s="889" t="s">
        <v>459</v>
      </c>
    </row>
    <row r="1085" spans="26:33" x14ac:dyDescent="0.35">
      <c r="Z1085" s="344">
        <v>3377</v>
      </c>
      <c r="AA1085" s="344" t="s">
        <v>574</v>
      </c>
      <c r="AB1085" s="344">
        <v>3</v>
      </c>
      <c r="AC1085" s="344" t="s">
        <v>464</v>
      </c>
      <c r="AD1085" s="1058" t="s">
        <v>576</v>
      </c>
      <c r="AE1085" s="1059">
        <v>209063</v>
      </c>
      <c r="AF1085" s="889" t="s">
        <v>459</v>
      </c>
      <c r="AG1085" s="889" t="s">
        <v>459</v>
      </c>
    </row>
    <row r="1086" spans="26:33" x14ac:dyDescent="0.35">
      <c r="Z1086" s="344">
        <v>3378</v>
      </c>
      <c r="AA1086" s="344" t="s">
        <v>574</v>
      </c>
      <c r="AB1086" s="344">
        <v>4</v>
      </c>
      <c r="AC1086" s="344" t="e">
        <v>#N/A</v>
      </c>
      <c r="AD1086" s="1058" t="s">
        <v>578</v>
      </c>
      <c r="AE1086" s="1059" t="e">
        <v>#N/A</v>
      </c>
      <c r="AF1086" s="889" t="s">
        <v>459</v>
      </c>
      <c r="AG1086" s="889" t="s">
        <v>459</v>
      </c>
    </row>
    <row r="1087" spans="26:33" x14ac:dyDescent="0.35">
      <c r="Z1087" s="344">
        <v>3379</v>
      </c>
      <c r="AA1087" s="344" t="s">
        <v>574</v>
      </c>
      <c r="AB1087" s="344">
        <v>4</v>
      </c>
      <c r="AC1087" s="344" t="s">
        <v>464</v>
      </c>
      <c r="AD1087" s="1058" t="s">
        <v>578</v>
      </c>
      <c r="AE1087" s="1059">
        <v>126364</v>
      </c>
      <c r="AF1087" s="889" t="s">
        <v>459</v>
      </c>
      <c r="AG1087" s="889" t="s">
        <v>459</v>
      </c>
    </row>
    <row r="1088" spans="26:33" x14ac:dyDescent="0.35">
      <c r="Z1088" s="344">
        <v>3380</v>
      </c>
      <c r="AA1088" s="344" t="s">
        <v>574</v>
      </c>
      <c r="AB1088" s="344">
        <v>4</v>
      </c>
      <c r="AC1088" s="344" t="s">
        <v>464</v>
      </c>
      <c r="AD1088" s="1058" t="s">
        <v>578</v>
      </c>
      <c r="AE1088" s="1059">
        <v>176803</v>
      </c>
      <c r="AF1088" s="889" t="s">
        <v>459</v>
      </c>
      <c r="AG1088" s="889" t="s">
        <v>459</v>
      </c>
    </row>
    <row r="1089" spans="26:33" x14ac:dyDescent="0.35">
      <c r="Z1089" s="344">
        <v>3381</v>
      </c>
      <c r="AA1089" s="344" t="s">
        <v>574</v>
      </c>
      <c r="AB1089" s="344">
        <v>4</v>
      </c>
      <c r="AC1089" s="344" t="s">
        <v>464</v>
      </c>
      <c r="AD1089" s="1058" t="s">
        <v>578</v>
      </c>
      <c r="AE1089" s="1059">
        <v>284156</v>
      </c>
      <c r="AF1089" s="889" t="s">
        <v>459</v>
      </c>
      <c r="AG1089" s="889" t="s">
        <v>459</v>
      </c>
    </row>
    <row r="1090" spans="26:33" x14ac:dyDescent="0.35">
      <c r="Z1090" s="344">
        <v>3384</v>
      </c>
      <c r="AA1090" s="344" t="s">
        <v>574</v>
      </c>
      <c r="AB1090" s="344">
        <v>4</v>
      </c>
      <c r="AC1090" s="344" t="e">
        <v>#N/A</v>
      </c>
      <c r="AD1090" s="1058" t="s">
        <v>578</v>
      </c>
      <c r="AE1090" s="1059" t="e">
        <v>#N/A</v>
      </c>
      <c r="AF1090" s="889" t="s">
        <v>459</v>
      </c>
      <c r="AG1090" s="889" t="s">
        <v>459</v>
      </c>
    </row>
    <row r="1091" spans="26:33" x14ac:dyDescent="0.35">
      <c r="Z1091" s="344">
        <v>3385</v>
      </c>
      <c r="AA1091" s="344" t="s">
        <v>574</v>
      </c>
      <c r="AB1091" s="344">
        <v>4</v>
      </c>
      <c r="AC1091" s="344" t="e">
        <v>#N/A</v>
      </c>
      <c r="AD1091" s="1058" t="s">
        <v>578</v>
      </c>
      <c r="AE1091" s="1059" t="e">
        <v>#N/A</v>
      </c>
      <c r="AF1091" s="889" t="s">
        <v>459</v>
      </c>
      <c r="AG1091" s="889" t="s">
        <v>459</v>
      </c>
    </row>
    <row r="1092" spans="26:33" x14ac:dyDescent="0.35">
      <c r="Z1092" s="344">
        <v>3387</v>
      </c>
      <c r="AA1092" s="344" t="s">
        <v>574</v>
      </c>
      <c r="AB1092" s="344">
        <v>4</v>
      </c>
      <c r="AC1092" s="344" t="e">
        <v>#N/A</v>
      </c>
      <c r="AD1092" s="1058" t="s">
        <v>578</v>
      </c>
      <c r="AE1092" s="1059" t="e">
        <v>#N/A</v>
      </c>
      <c r="AF1092" s="889" t="s">
        <v>459</v>
      </c>
      <c r="AG1092" s="889" t="s">
        <v>459</v>
      </c>
    </row>
    <row r="1093" spans="26:33" x14ac:dyDescent="0.35">
      <c r="Z1093" s="344">
        <v>3388</v>
      </c>
      <c r="AA1093" s="344" t="s">
        <v>574</v>
      </c>
      <c r="AB1093" s="344">
        <v>4</v>
      </c>
      <c r="AC1093" s="344" t="s">
        <v>464</v>
      </c>
      <c r="AD1093" s="1058" t="s">
        <v>578</v>
      </c>
      <c r="AE1093" s="1059">
        <v>122883</v>
      </c>
      <c r="AF1093" s="889" t="s">
        <v>459</v>
      </c>
      <c r="AG1093" s="889" t="s">
        <v>459</v>
      </c>
    </row>
    <row r="1094" spans="26:33" x14ac:dyDescent="0.35">
      <c r="Z1094" s="344">
        <v>3390</v>
      </c>
      <c r="AA1094" s="344" t="s">
        <v>574</v>
      </c>
      <c r="AB1094" s="344">
        <v>4</v>
      </c>
      <c r="AC1094" s="344" t="s">
        <v>464</v>
      </c>
      <c r="AD1094" s="1058" t="s">
        <v>578</v>
      </c>
      <c r="AE1094" s="1059">
        <v>127340</v>
      </c>
      <c r="AF1094" s="889" t="s">
        <v>459</v>
      </c>
      <c r="AG1094" s="889" t="s">
        <v>459</v>
      </c>
    </row>
    <row r="1095" spans="26:33" x14ac:dyDescent="0.35">
      <c r="Z1095" s="344">
        <v>3391</v>
      </c>
      <c r="AA1095" s="344" t="s">
        <v>574</v>
      </c>
      <c r="AB1095" s="344">
        <v>4</v>
      </c>
      <c r="AC1095" s="344" t="e">
        <v>#N/A</v>
      </c>
      <c r="AD1095" s="1058" t="s">
        <v>578</v>
      </c>
      <c r="AE1095" s="1059" t="e">
        <v>#N/A</v>
      </c>
      <c r="AF1095" s="889" t="s">
        <v>459</v>
      </c>
      <c r="AG1095" s="889" t="s">
        <v>459</v>
      </c>
    </row>
    <row r="1096" spans="26:33" x14ac:dyDescent="0.35">
      <c r="Z1096" s="344">
        <v>3392</v>
      </c>
      <c r="AA1096" s="344" t="s">
        <v>574</v>
      </c>
      <c r="AB1096" s="344">
        <v>4</v>
      </c>
      <c r="AC1096" s="344" t="s">
        <v>464</v>
      </c>
      <c r="AD1096" s="1058" t="s">
        <v>578</v>
      </c>
      <c r="AE1096" s="1059">
        <v>103410</v>
      </c>
      <c r="AF1096" s="889" t="s">
        <v>459</v>
      </c>
      <c r="AG1096" s="889" t="s">
        <v>459</v>
      </c>
    </row>
    <row r="1097" spans="26:33" x14ac:dyDescent="0.35">
      <c r="Z1097" s="344">
        <v>3393</v>
      </c>
      <c r="AA1097" s="344" t="s">
        <v>574</v>
      </c>
      <c r="AB1097" s="344">
        <v>4</v>
      </c>
      <c r="AC1097" s="344" t="s">
        <v>464</v>
      </c>
      <c r="AD1097" s="1058" t="s">
        <v>578</v>
      </c>
      <c r="AE1097" s="1059">
        <v>129717</v>
      </c>
      <c r="AF1097" s="889" t="s">
        <v>459</v>
      </c>
      <c r="AG1097" s="889" t="s">
        <v>459</v>
      </c>
    </row>
    <row r="1098" spans="26:33" x14ac:dyDescent="0.35">
      <c r="Z1098" s="344">
        <v>3395</v>
      </c>
      <c r="AA1098" s="344" t="s">
        <v>574</v>
      </c>
      <c r="AB1098" s="344">
        <v>4</v>
      </c>
      <c r="AC1098" s="344" t="s">
        <v>464</v>
      </c>
      <c r="AD1098" s="1058" t="s">
        <v>578</v>
      </c>
      <c r="AE1098" s="1059">
        <v>82963</v>
      </c>
      <c r="AF1098" s="889" t="s">
        <v>459</v>
      </c>
      <c r="AG1098" s="889" t="s">
        <v>459</v>
      </c>
    </row>
    <row r="1099" spans="26:33" x14ac:dyDescent="0.35">
      <c r="Z1099" s="344">
        <v>3396</v>
      </c>
      <c r="AA1099" s="344" t="s">
        <v>574</v>
      </c>
      <c r="AB1099" s="344">
        <v>4</v>
      </c>
      <c r="AC1099" s="344" t="s">
        <v>464</v>
      </c>
      <c r="AD1099" s="1058" t="s">
        <v>578</v>
      </c>
      <c r="AE1099" s="1059">
        <v>111041</v>
      </c>
      <c r="AF1099" s="889" t="s">
        <v>459</v>
      </c>
      <c r="AG1099" s="889" t="s">
        <v>459</v>
      </c>
    </row>
    <row r="1100" spans="26:33" x14ac:dyDescent="0.35">
      <c r="Z1100" s="344">
        <v>3399</v>
      </c>
      <c r="AA1100" s="344" t="s">
        <v>574</v>
      </c>
      <c r="AB1100" s="344">
        <v>4</v>
      </c>
      <c r="AC1100" s="344" t="e">
        <v>#N/A</v>
      </c>
      <c r="AD1100" s="1058" t="s">
        <v>578</v>
      </c>
      <c r="AE1100" s="1059" t="e">
        <v>#N/A</v>
      </c>
      <c r="AF1100" s="889" t="s">
        <v>459</v>
      </c>
      <c r="AG1100" s="889" t="s">
        <v>459</v>
      </c>
    </row>
    <row r="1101" spans="26:33" x14ac:dyDescent="0.35">
      <c r="Z1101" s="344">
        <v>3400</v>
      </c>
      <c r="AA1101" s="344" t="s">
        <v>574</v>
      </c>
      <c r="AB1101" s="344">
        <v>3</v>
      </c>
      <c r="AC1101" s="344" t="s">
        <v>464</v>
      </c>
      <c r="AD1101" s="1058" t="s">
        <v>576</v>
      </c>
      <c r="AE1101" s="1059">
        <v>232157</v>
      </c>
      <c r="AF1101" s="889" t="s">
        <v>459</v>
      </c>
      <c r="AG1101" s="889" t="s">
        <v>459</v>
      </c>
    </row>
    <row r="1102" spans="26:33" x14ac:dyDescent="0.35">
      <c r="Z1102" s="344">
        <v>3401</v>
      </c>
      <c r="AA1102" s="344" t="s">
        <v>574</v>
      </c>
      <c r="AB1102" s="344">
        <v>4</v>
      </c>
      <c r="AC1102" s="344" t="s">
        <v>464</v>
      </c>
      <c r="AD1102" s="1058" t="s">
        <v>578</v>
      </c>
      <c r="AE1102" s="1059">
        <v>285871</v>
      </c>
      <c r="AF1102" s="889" t="s">
        <v>459</v>
      </c>
      <c r="AG1102" s="889" t="s">
        <v>459</v>
      </c>
    </row>
    <row r="1103" spans="26:33" x14ac:dyDescent="0.35">
      <c r="Z1103" s="344">
        <v>3402</v>
      </c>
      <c r="AA1103" s="344" t="s">
        <v>574</v>
      </c>
      <c r="AB1103" s="344">
        <v>4</v>
      </c>
      <c r="AC1103" s="344" t="e">
        <v>#N/A</v>
      </c>
      <c r="AD1103" s="1058" t="s">
        <v>578</v>
      </c>
      <c r="AE1103" s="1059" t="e">
        <v>#N/A</v>
      </c>
      <c r="AF1103" s="889" t="s">
        <v>459</v>
      </c>
      <c r="AG1103" s="889" t="s">
        <v>459</v>
      </c>
    </row>
    <row r="1104" spans="26:33" x14ac:dyDescent="0.35">
      <c r="Z1104" s="344">
        <v>3407</v>
      </c>
      <c r="AA1104" s="344" t="s">
        <v>574</v>
      </c>
      <c r="AB1104" s="344">
        <v>4</v>
      </c>
      <c r="AC1104" s="344" t="e">
        <v>#N/A</v>
      </c>
      <c r="AD1104" s="1058" t="s">
        <v>578</v>
      </c>
      <c r="AE1104" s="1059" t="e">
        <v>#N/A</v>
      </c>
      <c r="AF1104" s="889" t="s">
        <v>459</v>
      </c>
      <c r="AG1104" s="889" t="s">
        <v>459</v>
      </c>
    </row>
    <row r="1105" spans="26:33" x14ac:dyDescent="0.35">
      <c r="Z1105" s="344">
        <v>3409</v>
      </c>
      <c r="AA1105" s="344" t="s">
        <v>574</v>
      </c>
      <c r="AB1105" s="344">
        <v>4</v>
      </c>
      <c r="AC1105" s="344" t="s">
        <v>464</v>
      </c>
      <c r="AD1105" s="1058" t="s">
        <v>578</v>
      </c>
      <c r="AE1105" s="1059">
        <v>187887</v>
      </c>
      <c r="AF1105" s="889" t="s">
        <v>459</v>
      </c>
      <c r="AG1105" s="889" t="s">
        <v>459</v>
      </c>
    </row>
    <row r="1106" spans="26:33" x14ac:dyDescent="0.35">
      <c r="Z1106" s="344">
        <v>3412</v>
      </c>
      <c r="AA1106" s="344" t="s">
        <v>574</v>
      </c>
      <c r="AB1106" s="344">
        <v>4</v>
      </c>
      <c r="AC1106" s="344" t="s">
        <v>464</v>
      </c>
      <c r="AD1106" s="1058" t="s">
        <v>578</v>
      </c>
      <c r="AE1106" s="1059">
        <v>89133</v>
      </c>
      <c r="AF1106" s="889" t="s">
        <v>459</v>
      </c>
      <c r="AG1106" s="889" t="s">
        <v>459</v>
      </c>
    </row>
    <row r="1107" spans="26:33" x14ac:dyDescent="0.35">
      <c r="Z1107" s="344">
        <v>3413</v>
      </c>
      <c r="AA1107" s="344" t="s">
        <v>574</v>
      </c>
      <c r="AB1107" s="344">
        <v>4</v>
      </c>
      <c r="AC1107" s="344" t="e">
        <v>#N/A</v>
      </c>
      <c r="AD1107" s="1058" t="s">
        <v>578</v>
      </c>
      <c r="AE1107" s="1059" t="e">
        <v>#N/A</v>
      </c>
      <c r="AF1107" s="889" t="s">
        <v>459</v>
      </c>
      <c r="AG1107" s="889" t="s">
        <v>459</v>
      </c>
    </row>
    <row r="1108" spans="26:33" x14ac:dyDescent="0.35">
      <c r="Z1108" s="344">
        <v>3414</v>
      </c>
      <c r="AA1108" s="344" t="s">
        <v>574</v>
      </c>
      <c r="AB1108" s="344">
        <v>4</v>
      </c>
      <c r="AC1108" s="344" t="s">
        <v>464</v>
      </c>
      <c r="AD1108" s="1058" t="s">
        <v>578</v>
      </c>
      <c r="AE1108" s="1059">
        <v>120152</v>
      </c>
      <c r="AF1108" s="889" t="s">
        <v>459</v>
      </c>
      <c r="AG1108" s="889" t="s">
        <v>459</v>
      </c>
    </row>
    <row r="1109" spans="26:33" x14ac:dyDescent="0.35">
      <c r="Z1109" s="344">
        <v>3415</v>
      </c>
      <c r="AA1109" s="344" t="s">
        <v>574</v>
      </c>
      <c r="AB1109" s="344">
        <v>4</v>
      </c>
      <c r="AC1109" s="344" t="e">
        <v>#N/A</v>
      </c>
      <c r="AD1109" s="1058" t="s">
        <v>578</v>
      </c>
      <c r="AE1109" s="1059" t="e">
        <v>#N/A</v>
      </c>
      <c r="AF1109" s="889" t="s">
        <v>459</v>
      </c>
      <c r="AG1109" s="889" t="s">
        <v>459</v>
      </c>
    </row>
    <row r="1110" spans="26:33" x14ac:dyDescent="0.35">
      <c r="Z1110" s="344">
        <v>3418</v>
      </c>
      <c r="AA1110" s="344" t="s">
        <v>574</v>
      </c>
      <c r="AB1110" s="344">
        <v>4</v>
      </c>
      <c r="AC1110" s="344" t="s">
        <v>464</v>
      </c>
      <c r="AD1110" s="1058" t="s">
        <v>578</v>
      </c>
      <c r="AE1110" s="1059">
        <v>132084</v>
      </c>
      <c r="AF1110" s="889" t="s">
        <v>459</v>
      </c>
      <c r="AG1110" s="889" t="s">
        <v>459</v>
      </c>
    </row>
    <row r="1111" spans="26:33" x14ac:dyDescent="0.35">
      <c r="Z1111" s="344">
        <v>3419</v>
      </c>
      <c r="AA1111" s="344" t="s">
        <v>574</v>
      </c>
      <c r="AB1111" s="344">
        <v>4</v>
      </c>
      <c r="AC1111" s="344" t="s">
        <v>464</v>
      </c>
      <c r="AD1111" s="1058" t="s">
        <v>578</v>
      </c>
      <c r="AE1111" s="1059">
        <v>108924</v>
      </c>
      <c r="AF1111" s="889" t="s">
        <v>459</v>
      </c>
      <c r="AG1111" s="889" t="s">
        <v>459</v>
      </c>
    </row>
    <row r="1112" spans="26:33" x14ac:dyDescent="0.35">
      <c r="Z1112" s="344">
        <v>3420</v>
      </c>
      <c r="AA1112" s="344" t="s">
        <v>574</v>
      </c>
      <c r="AB1112" s="344">
        <v>4</v>
      </c>
      <c r="AC1112" s="344" t="e">
        <v>#N/A</v>
      </c>
      <c r="AD1112" s="1058" t="s">
        <v>578</v>
      </c>
      <c r="AE1112" s="1059" t="e">
        <v>#N/A</v>
      </c>
      <c r="AF1112" s="889" t="s">
        <v>459</v>
      </c>
      <c r="AG1112" s="889" t="s">
        <v>459</v>
      </c>
    </row>
    <row r="1113" spans="26:33" x14ac:dyDescent="0.35">
      <c r="Z1113" s="344">
        <v>3423</v>
      </c>
      <c r="AA1113" s="344" t="s">
        <v>574</v>
      </c>
      <c r="AB1113" s="344">
        <v>4</v>
      </c>
      <c r="AC1113" s="344" t="s">
        <v>464</v>
      </c>
      <c r="AD1113" s="1058" t="s">
        <v>578</v>
      </c>
      <c r="AE1113" s="1059">
        <v>86743</v>
      </c>
      <c r="AF1113" s="889" t="s">
        <v>459</v>
      </c>
      <c r="AG1113" s="889" t="s">
        <v>459</v>
      </c>
    </row>
    <row r="1114" spans="26:33" x14ac:dyDescent="0.35">
      <c r="Z1114" s="344">
        <v>3424</v>
      </c>
      <c r="AA1114" s="344" t="s">
        <v>574</v>
      </c>
      <c r="AB1114" s="344">
        <v>4</v>
      </c>
      <c r="AC1114" s="344" t="s">
        <v>464</v>
      </c>
      <c r="AD1114" s="1058" t="s">
        <v>578</v>
      </c>
      <c r="AE1114" s="1059">
        <v>90092</v>
      </c>
      <c r="AF1114" s="889" t="s">
        <v>459</v>
      </c>
      <c r="AG1114" s="889" t="s">
        <v>459</v>
      </c>
    </row>
    <row r="1115" spans="26:33" x14ac:dyDescent="0.35">
      <c r="Z1115" s="344">
        <v>3427</v>
      </c>
      <c r="AA1115" s="344" t="s">
        <v>574</v>
      </c>
      <c r="AB1115" s="344">
        <v>1</v>
      </c>
      <c r="AC1115" s="344" t="s">
        <v>471</v>
      </c>
      <c r="AD1115" s="1058" t="s">
        <v>575</v>
      </c>
      <c r="AE1115" s="1059">
        <v>318059</v>
      </c>
      <c r="AF1115" s="889" t="s">
        <v>459</v>
      </c>
      <c r="AG1115" s="889" t="s">
        <v>459</v>
      </c>
    </row>
    <row r="1116" spans="26:33" x14ac:dyDescent="0.35">
      <c r="Z1116" s="344">
        <v>3428</v>
      </c>
      <c r="AA1116" s="344" t="s">
        <v>574</v>
      </c>
      <c r="AB1116" s="344">
        <v>1</v>
      </c>
      <c r="AC1116" s="344" t="s">
        <v>457</v>
      </c>
      <c r="AD1116" s="1058" t="s">
        <v>575</v>
      </c>
      <c r="AE1116" s="1059">
        <v>534696</v>
      </c>
      <c r="AF1116" s="889" t="s">
        <v>459</v>
      </c>
      <c r="AG1116" s="889" t="s">
        <v>459</v>
      </c>
    </row>
    <row r="1117" spans="26:33" x14ac:dyDescent="0.35">
      <c r="Z1117" s="344">
        <v>3429</v>
      </c>
      <c r="AA1117" s="344" t="s">
        <v>574</v>
      </c>
      <c r="AB1117" s="344">
        <v>1</v>
      </c>
      <c r="AC1117" s="344" t="s">
        <v>471</v>
      </c>
      <c r="AD1117" s="1058" t="s">
        <v>575</v>
      </c>
      <c r="AE1117" s="1059">
        <v>363829</v>
      </c>
      <c r="AF1117" s="889" t="s">
        <v>459</v>
      </c>
      <c r="AG1117" s="889" t="s">
        <v>459</v>
      </c>
    </row>
    <row r="1118" spans="26:33" x14ac:dyDescent="0.35">
      <c r="Z1118" s="344">
        <v>3430</v>
      </c>
      <c r="AA1118" s="344" t="s">
        <v>574</v>
      </c>
      <c r="AB1118" s="344">
        <v>2</v>
      </c>
      <c r="AC1118" s="344" t="e">
        <v>#N/A</v>
      </c>
      <c r="AD1118" s="1058" t="s">
        <v>577</v>
      </c>
      <c r="AE1118" s="1059" t="e">
        <v>#N/A</v>
      </c>
      <c r="AF1118" s="889" t="s">
        <v>459</v>
      </c>
      <c r="AG1118" s="889" t="s">
        <v>459</v>
      </c>
    </row>
    <row r="1119" spans="26:33" x14ac:dyDescent="0.35">
      <c r="Z1119" s="344">
        <v>3431</v>
      </c>
      <c r="AA1119" s="344" t="s">
        <v>574</v>
      </c>
      <c r="AB1119" s="344">
        <v>1</v>
      </c>
      <c r="AC1119" s="344" t="s">
        <v>457</v>
      </c>
      <c r="AD1119" s="1058" t="s">
        <v>575</v>
      </c>
      <c r="AE1119" s="1059">
        <v>510557</v>
      </c>
      <c r="AF1119" s="889" t="s">
        <v>459</v>
      </c>
      <c r="AG1119" s="889" t="s">
        <v>459</v>
      </c>
    </row>
    <row r="1120" spans="26:33" x14ac:dyDescent="0.35">
      <c r="Z1120" s="344">
        <v>3432</v>
      </c>
      <c r="AA1120" s="344" t="s">
        <v>574</v>
      </c>
      <c r="AB1120" s="344">
        <v>4</v>
      </c>
      <c r="AC1120" s="344" t="e">
        <v>#N/A</v>
      </c>
      <c r="AD1120" s="1058" t="s">
        <v>578</v>
      </c>
      <c r="AE1120" s="1059" t="e">
        <v>#N/A</v>
      </c>
      <c r="AF1120" s="889" t="s">
        <v>459</v>
      </c>
      <c r="AG1120" s="889" t="s">
        <v>459</v>
      </c>
    </row>
    <row r="1121" spans="26:33" x14ac:dyDescent="0.35">
      <c r="Z1121" s="344">
        <v>3433</v>
      </c>
      <c r="AA1121" s="344" t="s">
        <v>574</v>
      </c>
      <c r="AB1121" s="344">
        <v>2</v>
      </c>
      <c r="AC1121" s="344" t="e">
        <v>#N/A</v>
      </c>
      <c r="AD1121" s="1058" t="s">
        <v>577</v>
      </c>
      <c r="AE1121" s="1059" t="e">
        <v>#N/A</v>
      </c>
      <c r="AF1121" s="889" t="s">
        <v>459</v>
      </c>
      <c r="AG1121" s="889" t="s">
        <v>459</v>
      </c>
    </row>
    <row r="1122" spans="26:33" x14ac:dyDescent="0.35">
      <c r="Z1122" s="344">
        <v>3434</v>
      </c>
      <c r="AA1122" s="344" t="s">
        <v>574</v>
      </c>
      <c r="AB1122" s="344">
        <v>2</v>
      </c>
      <c r="AC1122" s="344" t="s">
        <v>471</v>
      </c>
      <c r="AD1122" s="1058" t="s">
        <v>577</v>
      </c>
      <c r="AE1122" s="1059">
        <v>419145</v>
      </c>
      <c r="AF1122" s="889" t="s">
        <v>459</v>
      </c>
      <c r="AG1122" s="889" t="s">
        <v>459</v>
      </c>
    </row>
    <row r="1123" spans="26:33" x14ac:dyDescent="0.35">
      <c r="Z1123" s="344">
        <v>3435</v>
      </c>
      <c r="AA1123" s="344" t="s">
        <v>574</v>
      </c>
      <c r="AB1123" s="344">
        <v>3</v>
      </c>
      <c r="AC1123" s="344" t="s">
        <v>471</v>
      </c>
      <c r="AD1123" s="1058" t="s">
        <v>576</v>
      </c>
      <c r="AE1123" s="1059">
        <v>400752</v>
      </c>
      <c r="AF1123" s="889" t="s">
        <v>459</v>
      </c>
      <c r="AG1123" s="889" t="s">
        <v>459</v>
      </c>
    </row>
    <row r="1124" spans="26:33" x14ac:dyDescent="0.35">
      <c r="Z1124" s="344">
        <v>3437</v>
      </c>
      <c r="AA1124" s="344" t="s">
        <v>574</v>
      </c>
      <c r="AB1124" s="344">
        <v>1</v>
      </c>
      <c r="AC1124" s="344" t="s">
        <v>457</v>
      </c>
      <c r="AD1124" s="1058" t="s">
        <v>575</v>
      </c>
      <c r="AE1124" s="1059">
        <v>543296</v>
      </c>
      <c r="AF1124" s="889" t="s">
        <v>459</v>
      </c>
      <c r="AG1124" s="889" t="s">
        <v>459</v>
      </c>
    </row>
    <row r="1125" spans="26:33" x14ac:dyDescent="0.35">
      <c r="Z1125" s="344">
        <v>3438</v>
      </c>
      <c r="AA1125" s="344" t="s">
        <v>574</v>
      </c>
      <c r="AB1125" s="344">
        <v>1</v>
      </c>
      <c r="AC1125" s="344" t="s">
        <v>457</v>
      </c>
      <c r="AD1125" s="1058" t="s">
        <v>575</v>
      </c>
      <c r="AE1125" s="1059">
        <v>530883</v>
      </c>
      <c r="AF1125" s="889" t="s">
        <v>459</v>
      </c>
      <c r="AG1125" s="889" t="s">
        <v>459</v>
      </c>
    </row>
    <row r="1126" spans="26:33" x14ac:dyDescent="0.35">
      <c r="Z1126" s="344">
        <v>3440</v>
      </c>
      <c r="AA1126" s="344" t="s">
        <v>574</v>
      </c>
      <c r="AB1126" s="344">
        <v>1</v>
      </c>
      <c r="AC1126" s="344" t="s">
        <v>457</v>
      </c>
      <c r="AD1126" s="1058" t="s">
        <v>575</v>
      </c>
      <c r="AE1126" s="1059">
        <v>561668</v>
      </c>
      <c r="AF1126" s="889" t="s">
        <v>459</v>
      </c>
      <c r="AG1126" s="889" t="s">
        <v>459</v>
      </c>
    </row>
    <row r="1127" spans="26:33" x14ac:dyDescent="0.35">
      <c r="Z1127" s="344">
        <v>3441</v>
      </c>
      <c r="AA1127" s="344" t="s">
        <v>574</v>
      </c>
      <c r="AB1127" s="344">
        <v>2</v>
      </c>
      <c r="AC1127" s="344" t="s">
        <v>479</v>
      </c>
      <c r="AD1127" s="1058" t="s">
        <v>577</v>
      </c>
      <c r="AE1127" s="1059">
        <v>769658</v>
      </c>
      <c r="AF1127" s="889" t="s">
        <v>459</v>
      </c>
      <c r="AG1127" s="889" t="s">
        <v>459</v>
      </c>
    </row>
    <row r="1128" spans="26:33" x14ac:dyDescent="0.35">
      <c r="Z1128" s="344">
        <v>3442</v>
      </c>
      <c r="AA1128" s="344" t="s">
        <v>574</v>
      </c>
      <c r="AB1128" s="344">
        <v>3</v>
      </c>
      <c r="AC1128" s="344" t="s">
        <v>457</v>
      </c>
      <c r="AD1128" s="1058" t="s">
        <v>576</v>
      </c>
      <c r="AE1128" s="1059">
        <v>636195</v>
      </c>
      <c r="AF1128" s="889" t="s">
        <v>459</v>
      </c>
      <c r="AG1128" s="889" t="s">
        <v>459</v>
      </c>
    </row>
    <row r="1129" spans="26:33" x14ac:dyDescent="0.35">
      <c r="Z1129" s="344">
        <v>3444</v>
      </c>
      <c r="AA1129" s="344" t="s">
        <v>574</v>
      </c>
      <c r="AB1129" s="344">
        <v>3</v>
      </c>
      <c r="AC1129" s="344" t="s">
        <v>471</v>
      </c>
      <c r="AD1129" s="1058" t="s">
        <v>576</v>
      </c>
      <c r="AE1129" s="1059">
        <v>415049</v>
      </c>
      <c r="AF1129" s="889" t="s">
        <v>459</v>
      </c>
      <c r="AG1129" s="889" t="s">
        <v>459</v>
      </c>
    </row>
    <row r="1130" spans="26:33" x14ac:dyDescent="0.35">
      <c r="Z1130" s="344">
        <v>3446</v>
      </c>
      <c r="AA1130" s="344" t="s">
        <v>574</v>
      </c>
      <c r="AB1130" s="344">
        <v>4</v>
      </c>
      <c r="AC1130" s="344" t="s">
        <v>471</v>
      </c>
      <c r="AD1130" s="1058" t="s">
        <v>578</v>
      </c>
      <c r="AE1130" s="1059">
        <v>339621</v>
      </c>
      <c r="AF1130" s="889" t="s">
        <v>459</v>
      </c>
      <c r="AG1130" s="889" t="s">
        <v>459</v>
      </c>
    </row>
    <row r="1131" spans="26:33" x14ac:dyDescent="0.35">
      <c r="Z1131" s="344">
        <v>3447</v>
      </c>
      <c r="AA1131" s="344" t="s">
        <v>574</v>
      </c>
      <c r="AB1131" s="344">
        <v>4</v>
      </c>
      <c r="AC1131" s="344" t="s">
        <v>471</v>
      </c>
      <c r="AD1131" s="1058" t="s">
        <v>578</v>
      </c>
      <c r="AE1131" s="1059">
        <v>337831</v>
      </c>
      <c r="AF1131" s="889" t="s">
        <v>459</v>
      </c>
      <c r="AG1131" s="889" t="s">
        <v>459</v>
      </c>
    </row>
    <row r="1132" spans="26:33" x14ac:dyDescent="0.35">
      <c r="Z1132" s="344">
        <v>3448</v>
      </c>
      <c r="AA1132" s="344" t="s">
        <v>574</v>
      </c>
      <c r="AB1132" s="344">
        <v>4</v>
      </c>
      <c r="AC1132" s="344" t="s">
        <v>471</v>
      </c>
      <c r="AD1132" s="1058" t="s">
        <v>578</v>
      </c>
      <c r="AE1132" s="1059">
        <v>327041</v>
      </c>
      <c r="AF1132" s="889" t="s">
        <v>459</v>
      </c>
      <c r="AG1132" s="889" t="s">
        <v>459</v>
      </c>
    </row>
    <row r="1133" spans="26:33" x14ac:dyDescent="0.35">
      <c r="Z1133" s="344">
        <v>3450</v>
      </c>
      <c r="AA1133" s="344" t="s">
        <v>574</v>
      </c>
      <c r="AB1133" s="344">
        <v>3</v>
      </c>
      <c r="AC1133" s="344" t="s">
        <v>471</v>
      </c>
      <c r="AD1133" s="1058" t="s">
        <v>576</v>
      </c>
      <c r="AE1133" s="1059">
        <v>382606</v>
      </c>
      <c r="AF1133" s="889" t="s">
        <v>459</v>
      </c>
      <c r="AG1133" s="889" t="s">
        <v>459</v>
      </c>
    </row>
    <row r="1134" spans="26:33" x14ac:dyDescent="0.35">
      <c r="Z1134" s="344">
        <v>3451</v>
      </c>
      <c r="AA1134" s="344" t="s">
        <v>574</v>
      </c>
      <c r="AB1134" s="344">
        <v>4</v>
      </c>
      <c r="AC1134" s="344" t="s">
        <v>471</v>
      </c>
      <c r="AD1134" s="1058" t="s">
        <v>578</v>
      </c>
      <c r="AE1134" s="1059">
        <v>421189</v>
      </c>
      <c r="AF1134" s="889" t="s">
        <v>459</v>
      </c>
      <c r="AG1134" s="889" t="s">
        <v>459</v>
      </c>
    </row>
    <row r="1135" spans="26:33" x14ac:dyDescent="0.35">
      <c r="Z1135" s="344">
        <v>3453</v>
      </c>
      <c r="AA1135" s="344" t="s">
        <v>574</v>
      </c>
      <c r="AB1135" s="344">
        <v>4</v>
      </c>
      <c r="AC1135" s="344" t="s">
        <v>471</v>
      </c>
      <c r="AD1135" s="1058" t="s">
        <v>578</v>
      </c>
      <c r="AE1135" s="1059">
        <v>359387</v>
      </c>
      <c r="AF1135" s="889" t="s">
        <v>459</v>
      </c>
      <c r="AG1135" s="889" t="s">
        <v>459</v>
      </c>
    </row>
    <row r="1136" spans="26:33" x14ac:dyDescent="0.35">
      <c r="Z1136" s="344">
        <v>3458</v>
      </c>
      <c r="AA1136" s="344" t="s">
        <v>574</v>
      </c>
      <c r="AB1136" s="344">
        <v>4</v>
      </c>
      <c r="AC1136" s="344" t="s">
        <v>471</v>
      </c>
      <c r="AD1136" s="1058" t="s">
        <v>578</v>
      </c>
      <c r="AE1136" s="1059">
        <v>345430</v>
      </c>
      <c r="AF1136" s="889" t="s">
        <v>459</v>
      </c>
      <c r="AG1136" s="889" t="s">
        <v>459</v>
      </c>
    </row>
    <row r="1137" spans="26:33" x14ac:dyDescent="0.35">
      <c r="Z1137" s="344">
        <v>3460</v>
      </c>
      <c r="AA1137" s="344" t="s">
        <v>574</v>
      </c>
      <c r="AB1137" s="344">
        <v>2</v>
      </c>
      <c r="AC1137" s="344" t="s">
        <v>471</v>
      </c>
      <c r="AD1137" s="1058" t="s">
        <v>577</v>
      </c>
      <c r="AE1137" s="1059">
        <v>419045</v>
      </c>
      <c r="AF1137" s="889" t="s">
        <v>459</v>
      </c>
      <c r="AG1137" s="889" t="s">
        <v>459</v>
      </c>
    </row>
    <row r="1138" spans="26:33" x14ac:dyDescent="0.35">
      <c r="Z1138" s="344">
        <v>3461</v>
      </c>
      <c r="AA1138" s="344" t="s">
        <v>574</v>
      </c>
      <c r="AB1138" s="344">
        <v>2</v>
      </c>
      <c r="AC1138" s="344" t="s">
        <v>471</v>
      </c>
      <c r="AD1138" s="1058" t="s">
        <v>577</v>
      </c>
      <c r="AE1138" s="1059">
        <v>372071</v>
      </c>
      <c r="AF1138" s="889" t="s">
        <v>459</v>
      </c>
      <c r="AG1138" s="889" t="s">
        <v>459</v>
      </c>
    </row>
    <row r="1139" spans="26:33" x14ac:dyDescent="0.35">
      <c r="Z1139" s="344">
        <v>3462</v>
      </c>
      <c r="AA1139" s="344" t="s">
        <v>574</v>
      </c>
      <c r="AB1139" s="344">
        <v>4</v>
      </c>
      <c r="AC1139" s="344" t="s">
        <v>471</v>
      </c>
      <c r="AD1139" s="1058" t="s">
        <v>578</v>
      </c>
      <c r="AE1139" s="1059">
        <v>320472</v>
      </c>
      <c r="AF1139" s="889" t="s">
        <v>459</v>
      </c>
      <c r="AG1139" s="889" t="s">
        <v>459</v>
      </c>
    </row>
    <row r="1140" spans="26:33" x14ac:dyDescent="0.35">
      <c r="Z1140" s="344">
        <v>3463</v>
      </c>
      <c r="AA1140" s="344" t="s">
        <v>574</v>
      </c>
      <c r="AB1140" s="344">
        <v>4</v>
      </c>
      <c r="AC1140" s="344" t="s">
        <v>471</v>
      </c>
      <c r="AD1140" s="1058" t="s">
        <v>578</v>
      </c>
      <c r="AE1140" s="1059">
        <v>368604</v>
      </c>
      <c r="AF1140" s="889" t="s">
        <v>459</v>
      </c>
      <c r="AG1140" s="889" t="s">
        <v>459</v>
      </c>
    </row>
    <row r="1141" spans="26:33" x14ac:dyDescent="0.35">
      <c r="Z1141" s="344">
        <v>3464</v>
      </c>
      <c r="AA1141" s="344" t="s">
        <v>574</v>
      </c>
      <c r="AB1141" s="344">
        <v>4</v>
      </c>
      <c r="AC1141" s="344" t="s">
        <v>464</v>
      </c>
      <c r="AD1141" s="1058" t="s">
        <v>578</v>
      </c>
      <c r="AE1141" s="1059">
        <v>236783</v>
      </c>
      <c r="AF1141" s="889" t="s">
        <v>459</v>
      </c>
      <c r="AG1141" s="889" t="s">
        <v>459</v>
      </c>
    </row>
    <row r="1142" spans="26:33" x14ac:dyDescent="0.35">
      <c r="Z1142" s="344">
        <v>3465</v>
      </c>
      <c r="AA1142" s="344" t="s">
        <v>574</v>
      </c>
      <c r="AB1142" s="344">
        <v>3</v>
      </c>
      <c r="AC1142" s="344" t="s">
        <v>464</v>
      </c>
      <c r="AD1142" s="1058" t="s">
        <v>576</v>
      </c>
      <c r="AE1142" s="1059">
        <v>210004</v>
      </c>
      <c r="AF1142" s="889" t="s">
        <v>459</v>
      </c>
      <c r="AG1142" s="889" t="s">
        <v>459</v>
      </c>
    </row>
    <row r="1143" spans="26:33" x14ac:dyDescent="0.35">
      <c r="Z1143" s="344">
        <v>3467</v>
      </c>
      <c r="AA1143" s="344" t="s">
        <v>574</v>
      </c>
      <c r="AB1143" s="344">
        <v>4</v>
      </c>
      <c r="AC1143" s="344" t="s">
        <v>464</v>
      </c>
      <c r="AD1143" s="1058" t="s">
        <v>578</v>
      </c>
      <c r="AE1143" s="1059">
        <v>190466</v>
      </c>
      <c r="AF1143" s="889" t="s">
        <v>459</v>
      </c>
      <c r="AG1143" s="889" t="s">
        <v>459</v>
      </c>
    </row>
    <row r="1144" spans="26:33" x14ac:dyDescent="0.35">
      <c r="Z1144" s="344">
        <v>3468</v>
      </c>
      <c r="AA1144" s="344" t="s">
        <v>574</v>
      </c>
      <c r="AB1144" s="344">
        <v>4</v>
      </c>
      <c r="AC1144" s="344" t="e">
        <v>#N/A</v>
      </c>
      <c r="AD1144" s="1058" t="s">
        <v>578</v>
      </c>
      <c r="AE1144" s="1059" t="e">
        <v>#N/A</v>
      </c>
      <c r="AF1144" s="889" t="s">
        <v>459</v>
      </c>
      <c r="AG1144" s="889" t="s">
        <v>459</v>
      </c>
    </row>
    <row r="1145" spans="26:33" x14ac:dyDescent="0.35">
      <c r="Z1145" s="344">
        <v>3469</v>
      </c>
      <c r="AA1145" s="344" t="s">
        <v>574</v>
      </c>
      <c r="AB1145" s="344">
        <v>4</v>
      </c>
      <c r="AC1145" s="344" t="e">
        <v>#N/A</v>
      </c>
      <c r="AD1145" s="1058" t="s">
        <v>578</v>
      </c>
      <c r="AE1145" s="1059" t="e">
        <v>#N/A</v>
      </c>
      <c r="AF1145" s="889" t="s">
        <v>459</v>
      </c>
      <c r="AG1145" s="889" t="s">
        <v>459</v>
      </c>
    </row>
    <row r="1146" spans="26:33" x14ac:dyDescent="0.35">
      <c r="Z1146" s="344">
        <v>3472</v>
      </c>
      <c r="AA1146" s="344" t="s">
        <v>574</v>
      </c>
      <c r="AB1146" s="344">
        <v>4</v>
      </c>
      <c r="AC1146" s="344" t="s">
        <v>464</v>
      </c>
      <c r="AD1146" s="1058" t="s">
        <v>578</v>
      </c>
      <c r="AE1146" s="1059">
        <v>195960</v>
      </c>
      <c r="AF1146" s="889" t="s">
        <v>459</v>
      </c>
      <c r="AG1146" s="889" t="s">
        <v>459</v>
      </c>
    </row>
    <row r="1147" spans="26:33" x14ac:dyDescent="0.35">
      <c r="Z1147" s="344">
        <v>3475</v>
      </c>
      <c r="AA1147" s="344" t="s">
        <v>574</v>
      </c>
      <c r="AB1147" s="344">
        <v>4</v>
      </c>
      <c r="AC1147" s="344" t="s">
        <v>464</v>
      </c>
      <c r="AD1147" s="1058" t="s">
        <v>578</v>
      </c>
      <c r="AE1147" s="1059">
        <v>111959</v>
      </c>
      <c r="AF1147" s="889" t="s">
        <v>459</v>
      </c>
      <c r="AG1147" s="889" t="s">
        <v>459</v>
      </c>
    </row>
    <row r="1148" spans="26:33" x14ac:dyDescent="0.35">
      <c r="Z1148" s="344">
        <v>3478</v>
      </c>
      <c r="AA1148" s="344" t="s">
        <v>574</v>
      </c>
      <c r="AB1148" s="344">
        <v>4</v>
      </c>
      <c r="AC1148" s="344" t="s">
        <v>464</v>
      </c>
      <c r="AD1148" s="1058" t="s">
        <v>578</v>
      </c>
      <c r="AE1148" s="1059">
        <v>160116</v>
      </c>
      <c r="AF1148" s="889" t="s">
        <v>459</v>
      </c>
      <c r="AG1148" s="889" t="s">
        <v>459</v>
      </c>
    </row>
    <row r="1149" spans="26:33" x14ac:dyDescent="0.35">
      <c r="Z1149" s="344">
        <v>3480</v>
      </c>
      <c r="AA1149" s="344" t="s">
        <v>574</v>
      </c>
      <c r="AB1149" s="344">
        <v>4</v>
      </c>
      <c r="AC1149" s="344" t="s">
        <v>464</v>
      </c>
      <c r="AD1149" s="1058" t="s">
        <v>578</v>
      </c>
      <c r="AE1149" s="1059">
        <v>153834</v>
      </c>
      <c r="AF1149" s="889" t="s">
        <v>459</v>
      </c>
      <c r="AG1149" s="889" t="s">
        <v>459</v>
      </c>
    </row>
    <row r="1150" spans="26:33" x14ac:dyDescent="0.35">
      <c r="Z1150" s="344">
        <v>3482</v>
      </c>
      <c r="AA1150" s="344" t="s">
        <v>574</v>
      </c>
      <c r="AB1150" s="344">
        <v>4</v>
      </c>
      <c r="AC1150" s="344" t="e">
        <v>#N/A</v>
      </c>
      <c r="AD1150" s="1058" t="s">
        <v>578</v>
      </c>
      <c r="AE1150" s="1059" t="e">
        <v>#N/A</v>
      </c>
      <c r="AF1150" s="889" t="s">
        <v>459</v>
      </c>
      <c r="AG1150" s="889" t="s">
        <v>459</v>
      </c>
    </row>
    <row r="1151" spans="26:33" x14ac:dyDescent="0.35">
      <c r="Z1151" s="344">
        <v>3483</v>
      </c>
      <c r="AA1151" s="344" t="s">
        <v>574</v>
      </c>
      <c r="AB1151" s="344">
        <v>4</v>
      </c>
      <c r="AC1151" s="344" t="s">
        <v>464</v>
      </c>
      <c r="AD1151" s="1058" t="s">
        <v>578</v>
      </c>
      <c r="AE1151" s="1059">
        <v>113832</v>
      </c>
      <c r="AF1151" s="889" t="s">
        <v>459</v>
      </c>
      <c r="AG1151" s="889" t="s">
        <v>459</v>
      </c>
    </row>
    <row r="1152" spans="26:33" x14ac:dyDescent="0.35">
      <c r="Z1152" s="344">
        <v>3485</v>
      </c>
      <c r="AA1152" s="344" t="s">
        <v>574</v>
      </c>
      <c r="AB1152" s="344">
        <v>4</v>
      </c>
      <c r="AC1152" s="344" t="e">
        <v>#N/A</v>
      </c>
      <c r="AD1152" s="1058" t="s">
        <v>578</v>
      </c>
      <c r="AE1152" s="1059" t="e">
        <v>#N/A</v>
      </c>
      <c r="AF1152" s="889" t="s">
        <v>459</v>
      </c>
      <c r="AG1152" s="889" t="s">
        <v>459</v>
      </c>
    </row>
    <row r="1153" spans="26:33" x14ac:dyDescent="0.35">
      <c r="Z1153" s="344">
        <v>3487</v>
      </c>
      <c r="AA1153" s="344" t="s">
        <v>574</v>
      </c>
      <c r="AB1153" s="344">
        <v>4</v>
      </c>
      <c r="AC1153" s="344" t="e">
        <v>#N/A</v>
      </c>
      <c r="AD1153" s="1058" t="s">
        <v>578</v>
      </c>
      <c r="AE1153" s="1059" t="e">
        <v>#N/A</v>
      </c>
      <c r="AF1153" s="889" t="s">
        <v>459</v>
      </c>
      <c r="AG1153" s="889" t="s">
        <v>459</v>
      </c>
    </row>
    <row r="1154" spans="26:33" x14ac:dyDescent="0.35">
      <c r="Z1154" s="344">
        <v>3488</v>
      </c>
      <c r="AA1154" s="344" t="s">
        <v>574</v>
      </c>
      <c r="AB1154" s="344">
        <v>4</v>
      </c>
      <c r="AC1154" s="344" t="e">
        <v>#N/A</v>
      </c>
      <c r="AD1154" s="1058" t="s">
        <v>578</v>
      </c>
      <c r="AE1154" s="1059" t="e">
        <v>#N/A</v>
      </c>
      <c r="AF1154" s="889" t="s">
        <v>459</v>
      </c>
      <c r="AG1154" s="889" t="s">
        <v>459</v>
      </c>
    </row>
    <row r="1155" spans="26:33" x14ac:dyDescent="0.35">
      <c r="Z1155" s="344">
        <v>3489</v>
      </c>
      <c r="AA1155" s="344" t="s">
        <v>574</v>
      </c>
      <c r="AB1155" s="344">
        <v>4</v>
      </c>
      <c r="AC1155" s="344" t="e">
        <v>#N/A</v>
      </c>
      <c r="AD1155" s="1058" t="s">
        <v>578</v>
      </c>
      <c r="AE1155" s="1059" t="e">
        <v>#N/A</v>
      </c>
      <c r="AF1155" s="889" t="s">
        <v>459</v>
      </c>
      <c r="AG1155" s="889" t="s">
        <v>459</v>
      </c>
    </row>
    <row r="1156" spans="26:33" x14ac:dyDescent="0.35">
      <c r="Z1156" s="344">
        <v>3490</v>
      </c>
      <c r="AA1156" s="344" t="s">
        <v>574</v>
      </c>
      <c r="AB1156" s="344">
        <v>4</v>
      </c>
      <c r="AC1156" s="344" t="s">
        <v>464</v>
      </c>
      <c r="AD1156" s="1058" t="s">
        <v>578</v>
      </c>
      <c r="AE1156" s="1059">
        <v>123028</v>
      </c>
      <c r="AF1156" s="889" t="s">
        <v>459</v>
      </c>
      <c r="AG1156" s="889" t="s">
        <v>459</v>
      </c>
    </row>
    <row r="1157" spans="26:33" x14ac:dyDescent="0.35">
      <c r="Z1157" s="344">
        <v>3491</v>
      </c>
      <c r="AA1157" s="344" t="s">
        <v>574</v>
      </c>
      <c r="AB1157" s="344">
        <v>4</v>
      </c>
      <c r="AC1157" s="344" t="e">
        <v>#N/A</v>
      </c>
      <c r="AD1157" s="1058" t="s">
        <v>578</v>
      </c>
      <c r="AE1157" s="1059" t="e">
        <v>#N/A</v>
      </c>
      <c r="AF1157" s="889" t="s">
        <v>459</v>
      </c>
      <c r="AG1157" s="889" t="s">
        <v>459</v>
      </c>
    </row>
    <row r="1158" spans="26:33" x14ac:dyDescent="0.35">
      <c r="Z1158" s="344">
        <v>3494</v>
      </c>
      <c r="AA1158" s="344" t="s">
        <v>574</v>
      </c>
      <c r="AB1158" s="344">
        <v>4</v>
      </c>
      <c r="AC1158" s="344" t="e">
        <v>#N/A</v>
      </c>
      <c r="AD1158" s="1058" t="s">
        <v>578</v>
      </c>
      <c r="AE1158" s="1059" t="e">
        <v>#N/A</v>
      </c>
      <c r="AF1158" s="889" t="s">
        <v>459</v>
      </c>
      <c r="AG1158" s="889" t="s">
        <v>459</v>
      </c>
    </row>
    <row r="1159" spans="26:33" x14ac:dyDescent="0.35">
      <c r="Z1159" s="344">
        <v>3496</v>
      </c>
      <c r="AA1159" s="344" t="s">
        <v>574</v>
      </c>
      <c r="AB1159" s="344">
        <v>4</v>
      </c>
      <c r="AC1159" s="344" t="s">
        <v>464</v>
      </c>
      <c r="AD1159" s="1058" t="s">
        <v>578</v>
      </c>
      <c r="AE1159" s="1059">
        <v>209183</v>
      </c>
      <c r="AF1159" s="889" t="s">
        <v>459</v>
      </c>
      <c r="AG1159" s="889" t="s">
        <v>459</v>
      </c>
    </row>
    <row r="1160" spans="26:33" x14ac:dyDescent="0.35">
      <c r="Z1160" s="344">
        <v>3498</v>
      </c>
      <c r="AA1160" s="344" t="s">
        <v>574</v>
      </c>
      <c r="AB1160" s="344">
        <v>2</v>
      </c>
      <c r="AC1160" s="344" t="s">
        <v>464</v>
      </c>
      <c r="AD1160" s="1058" t="s">
        <v>577</v>
      </c>
      <c r="AE1160" s="1059">
        <v>247353</v>
      </c>
      <c r="AF1160" s="889" t="s">
        <v>459</v>
      </c>
      <c r="AG1160" s="889" t="s">
        <v>459</v>
      </c>
    </row>
    <row r="1161" spans="26:33" x14ac:dyDescent="0.35">
      <c r="Z1161" s="344">
        <v>3500</v>
      </c>
      <c r="AA1161" s="344" t="s">
        <v>574</v>
      </c>
      <c r="AB1161" s="344">
        <v>2</v>
      </c>
      <c r="AC1161" s="344" t="s">
        <v>464</v>
      </c>
      <c r="AD1161" s="1058" t="s">
        <v>577</v>
      </c>
      <c r="AE1161" s="1059">
        <v>243389</v>
      </c>
      <c r="AF1161" s="889" t="s">
        <v>459</v>
      </c>
      <c r="AG1161" s="889" t="s">
        <v>459</v>
      </c>
    </row>
    <row r="1162" spans="26:33" x14ac:dyDescent="0.35">
      <c r="Z1162" s="344">
        <v>3501</v>
      </c>
      <c r="AA1162" s="344" t="s">
        <v>574</v>
      </c>
      <c r="AB1162" s="344">
        <v>2</v>
      </c>
      <c r="AC1162" s="344" t="s">
        <v>471</v>
      </c>
      <c r="AD1162" s="1058" t="s">
        <v>577</v>
      </c>
      <c r="AE1162" s="1059">
        <v>348485</v>
      </c>
      <c r="AF1162" s="889" t="s">
        <v>459</v>
      </c>
      <c r="AG1162" s="889" t="s">
        <v>459</v>
      </c>
    </row>
    <row r="1163" spans="26:33" x14ac:dyDescent="0.35">
      <c r="Z1163" s="344">
        <v>3502</v>
      </c>
      <c r="AA1163" s="344" t="s">
        <v>574</v>
      </c>
      <c r="AB1163" s="344">
        <v>4</v>
      </c>
      <c r="AC1163" s="344" t="e">
        <v>#N/A</v>
      </c>
      <c r="AD1163" s="1058" t="s">
        <v>578</v>
      </c>
      <c r="AE1163" s="1059" t="e">
        <v>#N/A</v>
      </c>
      <c r="AF1163" s="889" t="s">
        <v>459</v>
      </c>
      <c r="AG1163" s="889" t="s">
        <v>459</v>
      </c>
    </row>
    <row r="1164" spans="26:33" x14ac:dyDescent="0.35">
      <c r="Z1164" s="344">
        <v>3505</v>
      </c>
      <c r="AA1164" s="344" t="s">
        <v>574</v>
      </c>
      <c r="AB1164" s="344">
        <v>4</v>
      </c>
      <c r="AC1164" s="344" t="s">
        <v>471</v>
      </c>
      <c r="AD1164" s="1058" t="s">
        <v>578</v>
      </c>
      <c r="AE1164" s="1059">
        <v>310241</v>
      </c>
      <c r="AF1164" s="889" t="s">
        <v>459</v>
      </c>
      <c r="AG1164" s="889" t="s">
        <v>459</v>
      </c>
    </row>
    <row r="1165" spans="26:33" x14ac:dyDescent="0.35">
      <c r="Z1165" s="344">
        <v>3506</v>
      </c>
      <c r="AA1165" s="344" t="s">
        <v>574</v>
      </c>
      <c r="AB1165" s="344">
        <v>4</v>
      </c>
      <c r="AC1165" s="344" t="e">
        <v>#N/A</v>
      </c>
      <c r="AD1165" s="1058" t="s">
        <v>578</v>
      </c>
      <c r="AE1165" s="1059" t="e">
        <v>#N/A</v>
      </c>
      <c r="AF1165" s="889" t="s">
        <v>459</v>
      </c>
      <c r="AG1165" s="889" t="s">
        <v>459</v>
      </c>
    </row>
    <row r="1166" spans="26:33" x14ac:dyDescent="0.35">
      <c r="Z1166" s="344">
        <v>3507</v>
      </c>
      <c r="AA1166" s="344" t="s">
        <v>574</v>
      </c>
      <c r="AB1166" s="344">
        <v>4</v>
      </c>
      <c r="AC1166" s="344" t="e">
        <v>#N/A</v>
      </c>
      <c r="AD1166" s="1058" t="s">
        <v>578</v>
      </c>
      <c r="AE1166" s="1059" t="e">
        <v>#N/A</v>
      </c>
      <c r="AF1166" s="889" t="s">
        <v>459</v>
      </c>
      <c r="AG1166" s="889" t="s">
        <v>459</v>
      </c>
    </row>
    <row r="1167" spans="26:33" x14ac:dyDescent="0.35">
      <c r="Z1167" s="344">
        <v>3509</v>
      </c>
      <c r="AA1167" s="344" t="s">
        <v>574</v>
      </c>
      <c r="AB1167" s="344">
        <v>4</v>
      </c>
      <c r="AC1167" s="344" t="s">
        <v>464</v>
      </c>
      <c r="AD1167" s="1058" t="s">
        <v>578</v>
      </c>
      <c r="AE1167" s="1059">
        <v>72003</v>
      </c>
      <c r="AF1167" s="889" t="s">
        <v>459</v>
      </c>
      <c r="AG1167" s="889" t="s">
        <v>459</v>
      </c>
    </row>
    <row r="1168" spans="26:33" x14ac:dyDescent="0.35">
      <c r="Z1168" s="344">
        <v>3512</v>
      </c>
      <c r="AA1168" s="344" t="s">
        <v>574</v>
      </c>
      <c r="AB1168" s="344">
        <v>4</v>
      </c>
      <c r="AC1168" s="344" t="s">
        <v>464</v>
      </c>
      <c r="AD1168" s="1058" t="s">
        <v>578</v>
      </c>
      <c r="AE1168" s="1059">
        <v>69408</v>
      </c>
      <c r="AF1168" s="889" t="s">
        <v>459</v>
      </c>
      <c r="AG1168" s="889" t="s">
        <v>459</v>
      </c>
    </row>
    <row r="1169" spans="26:33" x14ac:dyDescent="0.35">
      <c r="Z1169" s="344">
        <v>3515</v>
      </c>
      <c r="AA1169" s="344" t="s">
        <v>574</v>
      </c>
      <c r="AB1169" s="344">
        <v>4</v>
      </c>
      <c r="AC1169" s="344" t="s">
        <v>471</v>
      </c>
      <c r="AD1169" s="1058" t="s">
        <v>578</v>
      </c>
      <c r="AE1169" s="1059">
        <v>325620</v>
      </c>
      <c r="AF1169" s="889" t="s">
        <v>459</v>
      </c>
      <c r="AG1169" s="889" t="s">
        <v>459</v>
      </c>
    </row>
    <row r="1170" spans="26:33" x14ac:dyDescent="0.35">
      <c r="Z1170" s="344">
        <v>3516</v>
      </c>
      <c r="AA1170" s="344" t="s">
        <v>574</v>
      </c>
      <c r="AB1170" s="344">
        <v>4</v>
      </c>
      <c r="AC1170" s="344" t="s">
        <v>464</v>
      </c>
      <c r="AD1170" s="1058" t="s">
        <v>578</v>
      </c>
      <c r="AE1170" s="1059">
        <v>208539</v>
      </c>
      <c r="AF1170" s="889" t="s">
        <v>459</v>
      </c>
      <c r="AG1170" s="889" t="s">
        <v>459</v>
      </c>
    </row>
    <row r="1171" spans="26:33" x14ac:dyDescent="0.35">
      <c r="Z1171" s="344">
        <v>3517</v>
      </c>
      <c r="AA1171" s="344" t="s">
        <v>574</v>
      </c>
      <c r="AB1171" s="344">
        <v>4</v>
      </c>
      <c r="AC1171" s="344" t="s">
        <v>464</v>
      </c>
      <c r="AD1171" s="1058" t="s">
        <v>578</v>
      </c>
      <c r="AE1171" s="1059">
        <v>202554</v>
      </c>
      <c r="AF1171" s="889" t="s">
        <v>459</v>
      </c>
      <c r="AG1171" s="889" t="s">
        <v>459</v>
      </c>
    </row>
    <row r="1172" spans="26:33" x14ac:dyDescent="0.35">
      <c r="Z1172" s="344">
        <v>3518</v>
      </c>
      <c r="AA1172" s="344" t="s">
        <v>574</v>
      </c>
      <c r="AB1172" s="344">
        <v>4</v>
      </c>
      <c r="AC1172" s="344" t="s">
        <v>464</v>
      </c>
      <c r="AD1172" s="1058" t="s">
        <v>578</v>
      </c>
      <c r="AE1172" s="1059">
        <v>148888</v>
      </c>
      <c r="AF1172" s="889" t="s">
        <v>459</v>
      </c>
      <c r="AG1172" s="889" t="s">
        <v>459</v>
      </c>
    </row>
    <row r="1173" spans="26:33" x14ac:dyDescent="0.35">
      <c r="Z1173" s="344">
        <v>3520</v>
      </c>
      <c r="AA1173" s="344" t="s">
        <v>574</v>
      </c>
      <c r="AB1173" s="344">
        <v>4</v>
      </c>
      <c r="AC1173" s="344" t="s">
        <v>464</v>
      </c>
      <c r="AD1173" s="1058" t="s">
        <v>578</v>
      </c>
      <c r="AE1173" s="1059">
        <v>94940</v>
      </c>
      <c r="AF1173" s="889" t="s">
        <v>459</v>
      </c>
      <c r="AG1173" s="889" t="s">
        <v>459</v>
      </c>
    </row>
    <row r="1174" spans="26:33" x14ac:dyDescent="0.35">
      <c r="Z1174" s="344">
        <v>3521</v>
      </c>
      <c r="AA1174" s="344" t="s">
        <v>574</v>
      </c>
      <c r="AB1174" s="344">
        <v>4</v>
      </c>
      <c r="AC1174" s="344" t="s">
        <v>464</v>
      </c>
      <c r="AD1174" s="1058" t="s">
        <v>578</v>
      </c>
      <c r="AE1174" s="1059">
        <v>279126</v>
      </c>
      <c r="AF1174" s="889" t="s">
        <v>459</v>
      </c>
      <c r="AG1174" s="889" t="s">
        <v>459</v>
      </c>
    </row>
    <row r="1175" spans="26:33" x14ac:dyDescent="0.35">
      <c r="Z1175" s="344">
        <v>3522</v>
      </c>
      <c r="AA1175" s="344" t="s">
        <v>574</v>
      </c>
      <c r="AB1175" s="344">
        <v>4</v>
      </c>
      <c r="AC1175" s="344" t="e">
        <v>#N/A</v>
      </c>
      <c r="AD1175" s="1058" t="s">
        <v>578</v>
      </c>
      <c r="AE1175" s="1059" t="e">
        <v>#N/A</v>
      </c>
      <c r="AF1175" s="889" t="s">
        <v>459</v>
      </c>
      <c r="AG1175" s="889" t="s">
        <v>459</v>
      </c>
    </row>
    <row r="1176" spans="26:33" x14ac:dyDescent="0.35">
      <c r="Z1176" s="344">
        <v>3523</v>
      </c>
      <c r="AA1176" s="344" t="s">
        <v>574</v>
      </c>
      <c r="AB1176" s="344">
        <v>4</v>
      </c>
      <c r="AC1176" s="344" t="s">
        <v>464</v>
      </c>
      <c r="AD1176" s="1058" t="s">
        <v>578</v>
      </c>
      <c r="AE1176" s="1059">
        <v>261601</v>
      </c>
      <c r="AF1176" s="889" t="s">
        <v>459</v>
      </c>
      <c r="AG1176" s="889" t="s">
        <v>459</v>
      </c>
    </row>
    <row r="1177" spans="26:33" x14ac:dyDescent="0.35">
      <c r="Z1177" s="344">
        <v>3525</v>
      </c>
      <c r="AA1177" s="344" t="s">
        <v>574</v>
      </c>
      <c r="AB1177" s="344">
        <v>4</v>
      </c>
      <c r="AC1177" s="344" t="s">
        <v>464</v>
      </c>
      <c r="AD1177" s="1058" t="s">
        <v>578</v>
      </c>
      <c r="AE1177" s="1059">
        <v>171633</v>
      </c>
      <c r="AF1177" s="889" t="s">
        <v>459</v>
      </c>
      <c r="AG1177" s="889" t="s">
        <v>459</v>
      </c>
    </row>
    <row r="1178" spans="26:33" x14ac:dyDescent="0.35">
      <c r="Z1178" s="344">
        <v>3527</v>
      </c>
      <c r="AA1178" s="344" t="s">
        <v>574</v>
      </c>
      <c r="AB1178" s="344">
        <v>4</v>
      </c>
      <c r="AC1178" s="344" t="s">
        <v>464</v>
      </c>
      <c r="AD1178" s="1058" t="s">
        <v>578</v>
      </c>
      <c r="AE1178" s="1059">
        <v>121459</v>
      </c>
      <c r="AF1178" s="889" t="s">
        <v>459</v>
      </c>
      <c r="AG1178" s="889" t="s">
        <v>459</v>
      </c>
    </row>
    <row r="1179" spans="26:33" x14ac:dyDescent="0.35">
      <c r="Z1179" s="344">
        <v>3529</v>
      </c>
      <c r="AA1179" s="344" t="s">
        <v>574</v>
      </c>
      <c r="AB1179" s="344">
        <v>4</v>
      </c>
      <c r="AC1179" s="344" t="e">
        <v>#N/A</v>
      </c>
      <c r="AD1179" s="1058" t="s">
        <v>578</v>
      </c>
      <c r="AE1179" s="1059" t="e">
        <v>#N/A</v>
      </c>
      <c r="AF1179" s="889" t="s">
        <v>459</v>
      </c>
      <c r="AG1179" s="889" t="s">
        <v>459</v>
      </c>
    </row>
    <row r="1180" spans="26:33" x14ac:dyDescent="0.35">
      <c r="Z1180" s="344">
        <v>3530</v>
      </c>
      <c r="AA1180" s="344" t="s">
        <v>574</v>
      </c>
      <c r="AB1180" s="344">
        <v>4</v>
      </c>
      <c r="AC1180" s="344" t="e">
        <v>#N/A</v>
      </c>
      <c r="AD1180" s="1058" t="s">
        <v>578</v>
      </c>
      <c r="AE1180" s="1059" t="e">
        <v>#N/A</v>
      </c>
      <c r="AF1180" s="889" t="s">
        <v>459</v>
      </c>
      <c r="AG1180" s="889" t="s">
        <v>459</v>
      </c>
    </row>
    <row r="1181" spans="26:33" x14ac:dyDescent="0.35">
      <c r="Z1181" s="344">
        <v>3531</v>
      </c>
      <c r="AA1181" s="344" t="s">
        <v>574</v>
      </c>
      <c r="AB1181" s="344">
        <v>4</v>
      </c>
      <c r="AC1181" s="344" t="e">
        <v>#N/A</v>
      </c>
      <c r="AD1181" s="1058" t="s">
        <v>578</v>
      </c>
      <c r="AE1181" s="1059" t="e">
        <v>#N/A</v>
      </c>
      <c r="AF1181" s="889" t="s">
        <v>459</v>
      </c>
      <c r="AG1181" s="889" t="s">
        <v>459</v>
      </c>
    </row>
    <row r="1182" spans="26:33" x14ac:dyDescent="0.35">
      <c r="Z1182" s="344">
        <v>3533</v>
      </c>
      <c r="AA1182" s="344" t="s">
        <v>574</v>
      </c>
      <c r="AB1182" s="344">
        <v>4</v>
      </c>
      <c r="AC1182" s="344" t="s">
        <v>464</v>
      </c>
      <c r="AD1182" s="1058" t="s">
        <v>578</v>
      </c>
      <c r="AE1182" s="1059">
        <v>98467</v>
      </c>
      <c r="AF1182" s="889" t="s">
        <v>459</v>
      </c>
      <c r="AG1182" s="889" t="s">
        <v>459</v>
      </c>
    </row>
    <row r="1183" spans="26:33" x14ac:dyDescent="0.35">
      <c r="Z1183" s="344">
        <v>3537</v>
      </c>
      <c r="AA1183" s="344" t="s">
        <v>574</v>
      </c>
      <c r="AB1183" s="344">
        <v>4</v>
      </c>
      <c r="AC1183" s="344" t="s">
        <v>464</v>
      </c>
      <c r="AD1183" s="1058" t="s">
        <v>578</v>
      </c>
      <c r="AE1183" s="1059">
        <v>195096</v>
      </c>
      <c r="AF1183" s="889" t="s">
        <v>459</v>
      </c>
      <c r="AG1183" s="889" t="s">
        <v>459</v>
      </c>
    </row>
    <row r="1184" spans="26:33" x14ac:dyDescent="0.35">
      <c r="Z1184" s="344">
        <v>3540</v>
      </c>
      <c r="AA1184" s="344" t="s">
        <v>574</v>
      </c>
      <c r="AB1184" s="344">
        <v>4</v>
      </c>
      <c r="AC1184" s="344" t="s">
        <v>464</v>
      </c>
      <c r="AD1184" s="1058" t="s">
        <v>578</v>
      </c>
      <c r="AE1184" s="1059">
        <v>95260</v>
      </c>
      <c r="AF1184" s="889" t="s">
        <v>459</v>
      </c>
      <c r="AG1184" s="889" t="s">
        <v>459</v>
      </c>
    </row>
    <row r="1185" spans="26:33" x14ac:dyDescent="0.35">
      <c r="Z1185" s="344">
        <v>3542</v>
      </c>
      <c r="AA1185" s="344" t="s">
        <v>574</v>
      </c>
      <c r="AB1185" s="344">
        <v>4</v>
      </c>
      <c r="AC1185" s="344" t="e">
        <v>#N/A</v>
      </c>
      <c r="AD1185" s="1058" t="s">
        <v>578</v>
      </c>
      <c r="AE1185" s="1059" t="e">
        <v>#N/A</v>
      </c>
      <c r="AF1185" s="889" t="s">
        <v>459</v>
      </c>
      <c r="AG1185" s="889" t="s">
        <v>459</v>
      </c>
    </row>
    <row r="1186" spans="26:33" x14ac:dyDescent="0.35">
      <c r="Z1186" s="344">
        <v>3544</v>
      </c>
      <c r="AA1186" s="344" t="s">
        <v>574</v>
      </c>
      <c r="AB1186" s="344">
        <v>4</v>
      </c>
      <c r="AC1186" s="344" t="s">
        <v>464</v>
      </c>
      <c r="AD1186" s="1058" t="s">
        <v>578</v>
      </c>
      <c r="AE1186" s="1059">
        <v>137320</v>
      </c>
      <c r="AF1186" s="889" t="s">
        <v>459</v>
      </c>
      <c r="AG1186" s="889" t="s">
        <v>459</v>
      </c>
    </row>
    <row r="1187" spans="26:33" x14ac:dyDescent="0.35">
      <c r="Z1187" s="344">
        <v>3546</v>
      </c>
      <c r="AA1187" s="344" t="s">
        <v>574</v>
      </c>
      <c r="AB1187" s="344">
        <v>4</v>
      </c>
      <c r="AC1187" s="344" t="s">
        <v>464</v>
      </c>
      <c r="AD1187" s="1058" t="s">
        <v>578</v>
      </c>
      <c r="AE1187" s="1059">
        <v>77946</v>
      </c>
      <c r="AF1187" s="889" t="s">
        <v>459</v>
      </c>
      <c r="AG1187" s="889" t="s">
        <v>459</v>
      </c>
    </row>
    <row r="1188" spans="26:33" x14ac:dyDescent="0.35">
      <c r="Z1188" s="344">
        <v>3549</v>
      </c>
      <c r="AA1188" s="344" t="s">
        <v>574</v>
      </c>
      <c r="AB1188" s="344">
        <v>4</v>
      </c>
      <c r="AC1188" s="344" t="s">
        <v>464</v>
      </c>
      <c r="AD1188" s="1058" t="s">
        <v>578</v>
      </c>
      <c r="AE1188" s="1059">
        <v>165402</v>
      </c>
      <c r="AF1188" s="889" t="s">
        <v>459</v>
      </c>
      <c r="AG1188" s="889" t="s">
        <v>459</v>
      </c>
    </row>
    <row r="1189" spans="26:33" x14ac:dyDescent="0.35">
      <c r="Z1189" s="344">
        <v>3550</v>
      </c>
      <c r="AA1189" s="344" t="s">
        <v>574</v>
      </c>
      <c r="AB1189" s="344">
        <v>2</v>
      </c>
      <c r="AC1189" s="344" t="s">
        <v>471</v>
      </c>
      <c r="AD1189" s="1058" t="s">
        <v>577</v>
      </c>
      <c r="AE1189" s="1059">
        <v>321192</v>
      </c>
      <c r="AF1189" s="889" t="s">
        <v>459</v>
      </c>
      <c r="AG1189" s="889" t="s">
        <v>459</v>
      </c>
    </row>
    <row r="1190" spans="26:33" x14ac:dyDescent="0.35">
      <c r="Z1190" s="344">
        <v>3551</v>
      </c>
      <c r="AA1190" s="344" t="s">
        <v>574</v>
      </c>
      <c r="AB1190" s="344">
        <v>2</v>
      </c>
      <c r="AC1190" s="344" t="s">
        <v>471</v>
      </c>
      <c r="AD1190" s="1058" t="s">
        <v>577</v>
      </c>
      <c r="AE1190" s="1059">
        <v>398941</v>
      </c>
      <c r="AF1190" s="889" t="s">
        <v>459</v>
      </c>
      <c r="AG1190" s="889" t="s">
        <v>459</v>
      </c>
    </row>
    <row r="1191" spans="26:33" x14ac:dyDescent="0.35">
      <c r="Z1191" s="344">
        <v>3552</v>
      </c>
      <c r="AA1191" s="344" t="s">
        <v>574</v>
      </c>
      <c r="AB1191" s="344">
        <v>2</v>
      </c>
      <c r="AC1191" s="344" t="e">
        <v>#N/A</v>
      </c>
      <c r="AD1191" s="1058" t="s">
        <v>577</v>
      </c>
      <c r="AE1191" s="1059" t="e">
        <v>#N/A</v>
      </c>
      <c r="AF1191" s="889" t="s">
        <v>459</v>
      </c>
      <c r="AG1191" s="889" t="s">
        <v>459</v>
      </c>
    </row>
    <row r="1192" spans="26:33" x14ac:dyDescent="0.35">
      <c r="Z1192" s="344">
        <v>3553</v>
      </c>
      <c r="AA1192" s="344" t="s">
        <v>574</v>
      </c>
      <c r="AB1192" s="344">
        <v>2</v>
      </c>
      <c r="AC1192" s="344" t="e">
        <v>#N/A</v>
      </c>
      <c r="AD1192" s="1058" t="s">
        <v>577</v>
      </c>
      <c r="AE1192" s="1059" t="e">
        <v>#N/A</v>
      </c>
      <c r="AF1192" s="889" t="s">
        <v>459</v>
      </c>
      <c r="AG1192" s="889" t="s">
        <v>459</v>
      </c>
    </row>
    <row r="1193" spans="26:33" x14ac:dyDescent="0.35">
      <c r="Z1193" s="344">
        <v>3554</v>
      </c>
      <c r="AA1193" s="344" t="s">
        <v>574</v>
      </c>
      <c r="AB1193" s="344">
        <v>2</v>
      </c>
      <c r="AC1193" s="344" t="e">
        <v>#N/A</v>
      </c>
      <c r="AD1193" s="1058" t="s">
        <v>577</v>
      </c>
      <c r="AE1193" s="1059" t="e">
        <v>#N/A</v>
      </c>
      <c r="AF1193" s="889" t="s">
        <v>459</v>
      </c>
      <c r="AG1193" s="889" t="s">
        <v>459</v>
      </c>
    </row>
    <row r="1194" spans="26:33" x14ac:dyDescent="0.35">
      <c r="Z1194" s="344">
        <v>3555</v>
      </c>
      <c r="AA1194" s="344" t="s">
        <v>574</v>
      </c>
      <c r="AB1194" s="344">
        <v>2</v>
      </c>
      <c r="AC1194" s="344" t="s">
        <v>471</v>
      </c>
      <c r="AD1194" s="1058" t="s">
        <v>577</v>
      </c>
      <c r="AE1194" s="1059">
        <v>327837</v>
      </c>
      <c r="AF1194" s="889" t="s">
        <v>459</v>
      </c>
      <c r="AG1194" s="889" t="s">
        <v>459</v>
      </c>
    </row>
    <row r="1195" spans="26:33" x14ac:dyDescent="0.35">
      <c r="Z1195" s="344">
        <v>3556</v>
      </c>
      <c r="AA1195" s="344" t="s">
        <v>574</v>
      </c>
      <c r="AB1195" s="344">
        <v>2</v>
      </c>
      <c r="AC1195" s="344" t="s">
        <v>464</v>
      </c>
      <c r="AD1195" s="1058" t="s">
        <v>577</v>
      </c>
      <c r="AE1195" s="1059">
        <v>290771</v>
      </c>
      <c r="AF1195" s="889" t="s">
        <v>459</v>
      </c>
      <c r="AG1195" s="889" t="s">
        <v>459</v>
      </c>
    </row>
    <row r="1196" spans="26:33" x14ac:dyDescent="0.35">
      <c r="Z1196" s="344">
        <v>3557</v>
      </c>
      <c r="AA1196" s="344" t="s">
        <v>574</v>
      </c>
      <c r="AB1196" s="344">
        <v>4</v>
      </c>
      <c r="AC1196" s="344" t="s">
        <v>464</v>
      </c>
      <c r="AD1196" s="1058" t="s">
        <v>578</v>
      </c>
      <c r="AE1196" s="1059">
        <v>267802</v>
      </c>
      <c r="AF1196" s="889" t="s">
        <v>459</v>
      </c>
      <c r="AG1196" s="889" t="s">
        <v>459</v>
      </c>
    </row>
    <row r="1197" spans="26:33" x14ac:dyDescent="0.35">
      <c r="Z1197" s="344">
        <v>3558</v>
      </c>
      <c r="AA1197" s="344" t="s">
        <v>574</v>
      </c>
      <c r="AB1197" s="344">
        <v>4</v>
      </c>
      <c r="AC1197" s="344" t="s">
        <v>464</v>
      </c>
      <c r="AD1197" s="1058" t="s">
        <v>578</v>
      </c>
      <c r="AE1197" s="1059">
        <v>207123</v>
      </c>
      <c r="AF1197" s="889" t="s">
        <v>459</v>
      </c>
      <c r="AG1197" s="889" t="s">
        <v>459</v>
      </c>
    </row>
    <row r="1198" spans="26:33" x14ac:dyDescent="0.35">
      <c r="Z1198" s="344">
        <v>3559</v>
      </c>
      <c r="AA1198" s="344" t="s">
        <v>574</v>
      </c>
      <c r="AB1198" s="344">
        <v>4</v>
      </c>
      <c r="AC1198" s="344" t="e">
        <v>#N/A</v>
      </c>
      <c r="AD1198" s="1058" t="s">
        <v>578</v>
      </c>
      <c r="AE1198" s="1059" t="e">
        <v>#N/A</v>
      </c>
      <c r="AF1198" s="889" t="s">
        <v>459</v>
      </c>
      <c r="AG1198" s="889" t="s">
        <v>459</v>
      </c>
    </row>
    <row r="1199" spans="26:33" x14ac:dyDescent="0.35">
      <c r="Z1199" s="344">
        <v>3561</v>
      </c>
      <c r="AA1199" s="344" t="s">
        <v>574</v>
      </c>
      <c r="AB1199" s="344">
        <v>4</v>
      </c>
      <c r="AC1199" s="344" t="s">
        <v>464</v>
      </c>
      <c r="AD1199" s="1058" t="s">
        <v>578</v>
      </c>
      <c r="AE1199" s="1059">
        <v>228261</v>
      </c>
      <c r="AF1199" s="889" t="s">
        <v>459</v>
      </c>
      <c r="AG1199" s="889" t="s">
        <v>459</v>
      </c>
    </row>
    <row r="1200" spans="26:33" x14ac:dyDescent="0.35">
      <c r="Z1200" s="344">
        <v>3562</v>
      </c>
      <c r="AA1200" s="344" t="s">
        <v>574</v>
      </c>
      <c r="AB1200" s="344">
        <v>4</v>
      </c>
      <c r="AC1200" s="344" t="e">
        <v>#N/A</v>
      </c>
      <c r="AD1200" s="1058" t="s">
        <v>578</v>
      </c>
      <c r="AE1200" s="1059" t="e">
        <v>#N/A</v>
      </c>
      <c r="AF1200" s="889" t="s">
        <v>459</v>
      </c>
      <c r="AG1200" s="889" t="s">
        <v>459</v>
      </c>
    </row>
    <row r="1201" spans="26:33" x14ac:dyDescent="0.35">
      <c r="Z1201" s="344">
        <v>3563</v>
      </c>
      <c r="AA1201" s="344" t="s">
        <v>574</v>
      </c>
      <c r="AB1201" s="344">
        <v>4</v>
      </c>
      <c r="AC1201" s="344" t="s">
        <v>464</v>
      </c>
      <c r="AD1201" s="1058" t="s">
        <v>578</v>
      </c>
      <c r="AE1201" s="1059">
        <v>179833</v>
      </c>
      <c r="AF1201" s="889" t="s">
        <v>459</v>
      </c>
      <c r="AG1201" s="889" t="s">
        <v>459</v>
      </c>
    </row>
    <row r="1202" spans="26:33" x14ac:dyDescent="0.35">
      <c r="Z1202" s="344">
        <v>3564</v>
      </c>
      <c r="AA1202" s="344" t="s">
        <v>574</v>
      </c>
      <c r="AB1202" s="344">
        <v>2</v>
      </c>
      <c r="AC1202" s="344" t="s">
        <v>471</v>
      </c>
      <c r="AD1202" s="1058" t="s">
        <v>577</v>
      </c>
      <c r="AE1202" s="1059">
        <v>321986</v>
      </c>
      <c r="AF1202" s="889" t="s">
        <v>459</v>
      </c>
      <c r="AG1202" s="889" t="s">
        <v>459</v>
      </c>
    </row>
    <row r="1203" spans="26:33" x14ac:dyDescent="0.35">
      <c r="Z1203" s="344">
        <v>3565</v>
      </c>
      <c r="AA1203" s="344" t="s">
        <v>574</v>
      </c>
      <c r="AB1203" s="344">
        <v>4</v>
      </c>
      <c r="AC1203" s="344" t="e">
        <v>#N/A</v>
      </c>
      <c r="AD1203" s="1058" t="s">
        <v>578</v>
      </c>
      <c r="AE1203" s="1059" t="e">
        <v>#N/A</v>
      </c>
      <c r="AF1203" s="889" t="s">
        <v>459</v>
      </c>
      <c r="AG1203" s="889" t="s">
        <v>459</v>
      </c>
    </row>
    <row r="1204" spans="26:33" x14ac:dyDescent="0.35">
      <c r="Z1204" s="344">
        <v>3566</v>
      </c>
      <c r="AA1204" s="344" t="s">
        <v>574</v>
      </c>
      <c r="AB1204" s="344">
        <v>4</v>
      </c>
      <c r="AC1204" s="344" t="s">
        <v>464</v>
      </c>
      <c r="AD1204" s="1058" t="s">
        <v>578</v>
      </c>
      <c r="AE1204" s="1059">
        <v>127523</v>
      </c>
      <c r="AF1204" s="889" t="s">
        <v>459</v>
      </c>
      <c r="AG1204" s="889" t="s">
        <v>459</v>
      </c>
    </row>
    <row r="1205" spans="26:33" x14ac:dyDescent="0.35">
      <c r="Z1205" s="344">
        <v>3567</v>
      </c>
      <c r="AA1205" s="344" t="s">
        <v>574</v>
      </c>
      <c r="AB1205" s="344">
        <v>4</v>
      </c>
      <c r="AC1205" s="344" t="s">
        <v>464</v>
      </c>
      <c r="AD1205" s="1058" t="s">
        <v>578</v>
      </c>
      <c r="AE1205" s="1059">
        <v>170920</v>
      </c>
      <c r="AF1205" s="889" t="s">
        <v>459</v>
      </c>
      <c r="AG1205" s="889" t="s">
        <v>459</v>
      </c>
    </row>
    <row r="1206" spans="26:33" x14ac:dyDescent="0.35">
      <c r="Z1206" s="344">
        <v>3568</v>
      </c>
      <c r="AA1206" s="344" t="s">
        <v>574</v>
      </c>
      <c r="AB1206" s="344">
        <v>4</v>
      </c>
      <c r="AC1206" s="344" t="s">
        <v>464</v>
      </c>
      <c r="AD1206" s="1058" t="s">
        <v>578</v>
      </c>
      <c r="AE1206" s="1059">
        <v>177762</v>
      </c>
      <c r="AF1206" s="889" t="s">
        <v>459</v>
      </c>
      <c r="AG1206" s="889" t="s">
        <v>459</v>
      </c>
    </row>
    <row r="1207" spans="26:33" x14ac:dyDescent="0.35">
      <c r="Z1207" s="344">
        <v>3570</v>
      </c>
      <c r="AA1207" s="344" t="s">
        <v>574</v>
      </c>
      <c r="AB1207" s="344">
        <v>4</v>
      </c>
      <c r="AC1207" s="344" t="e">
        <v>#N/A</v>
      </c>
      <c r="AD1207" s="1058" t="s">
        <v>578</v>
      </c>
      <c r="AE1207" s="1059" t="e">
        <v>#N/A</v>
      </c>
      <c r="AF1207" s="889" t="s">
        <v>459</v>
      </c>
      <c r="AG1207" s="889" t="s">
        <v>459</v>
      </c>
    </row>
    <row r="1208" spans="26:33" x14ac:dyDescent="0.35">
      <c r="Z1208" s="344">
        <v>3571</v>
      </c>
      <c r="AA1208" s="344" t="s">
        <v>574</v>
      </c>
      <c r="AB1208" s="344">
        <v>4</v>
      </c>
      <c r="AC1208" s="344" t="e">
        <v>#N/A</v>
      </c>
      <c r="AD1208" s="1058" t="s">
        <v>578</v>
      </c>
      <c r="AE1208" s="1059" t="e">
        <v>#N/A</v>
      </c>
      <c r="AF1208" s="889" t="s">
        <v>459</v>
      </c>
      <c r="AG1208" s="889" t="s">
        <v>459</v>
      </c>
    </row>
    <row r="1209" spans="26:33" x14ac:dyDescent="0.35">
      <c r="Z1209" s="344">
        <v>3572</v>
      </c>
      <c r="AA1209" s="344" t="s">
        <v>574</v>
      </c>
      <c r="AB1209" s="344">
        <v>4</v>
      </c>
      <c r="AC1209" s="344" t="e">
        <v>#N/A</v>
      </c>
      <c r="AD1209" s="1058" t="s">
        <v>578</v>
      </c>
      <c r="AE1209" s="1059" t="e">
        <v>#N/A</v>
      </c>
      <c r="AF1209" s="889" t="s">
        <v>459</v>
      </c>
      <c r="AG1209" s="889" t="s">
        <v>459</v>
      </c>
    </row>
    <row r="1210" spans="26:33" x14ac:dyDescent="0.35">
      <c r="Z1210" s="344">
        <v>3573</v>
      </c>
      <c r="AA1210" s="344" t="s">
        <v>574</v>
      </c>
      <c r="AB1210" s="344">
        <v>4</v>
      </c>
      <c r="AC1210" s="344" t="e">
        <v>#N/A</v>
      </c>
      <c r="AD1210" s="1058" t="s">
        <v>578</v>
      </c>
      <c r="AE1210" s="1059" t="e">
        <v>#N/A</v>
      </c>
      <c r="AF1210" s="889" t="s">
        <v>459</v>
      </c>
      <c r="AG1210" s="889" t="s">
        <v>459</v>
      </c>
    </row>
    <row r="1211" spans="26:33" x14ac:dyDescent="0.35">
      <c r="Z1211" s="344">
        <v>3575</v>
      </c>
      <c r="AA1211" s="344" t="s">
        <v>574</v>
      </c>
      <c r="AB1211" s="344">
        <v>4</v>
      </c>
      <c r="AC1211" s="344" t="s">
        <v>464</v>
      </c>
      <c r="AD1211" s="1058" t="s">
        <v>578</v>
      </c>
      <c r="AE1211" s="1059">
        <v>136459</v>
      </c>
      <c r="AF1211" s="889" t="s">
        <v>459</v>
      </c>
      <c r="AG1211" s="889" t="s">
        <v>459</v>
      </c>
    </row>
    <row r="1212" spans="26:33" x14ac:dyDescent="0.35">
      <c r="Z1212" s="344">
        <v>3576</v>
      </c>
      <c r="AA1212" s="344" t="s">
        <v>574</v>
      </c>
      <c r="AB1212" s="344">
        <v>4</v>
      </c>
      <c r="AC1212" s="344" t="e">
        <v>#N/A</v>
      </c>
      <c r="AD1212" s="1058" t="s">
        <v>578</v>
      </c>
      <c r="AE1212" s="1059" t="e">
        <v>#N/A</v>
      </c>
      <c r="AF1212" s="889" t="s">
        <v>459</v>
      </c>
      <c r="AG1212" s="889" t="s">
        <v>459</v>
      </c>
    </row>
    <row r="1213" spans="26:33" x14ac:dyDescent="0.35">
      <c r="Z1213" s="344">
        <v>3579</v>
      </c>
      <c r="AA1213" s="344" t="s">
        <v>574</v>
      </c>
      <c r="AB1213" s="344">
        <v>4</v>
      </c>
      <c r="AC1213" s="344" t="s">
        <v>464</v>
      </c>
      <c r="AD1213" s="1058" t="s">
        <v>578</v>
      </c>
      <c r="AE1213" s="1059">
        <v>187243</v>
      </c>
      <c r="AF1213" s="889" t="s">
        <v>459</v>
      </c>
      <c r="AG1213" s="889" t="s">
        <v>459</v>
      </c>
    </row>
    <row r="1214" spans="26:33" x14ac:dyDescent="0.35">
      <c r="Z1214" s="344">
        <v>3580</v>
      </c>
      <c r="AA1214" s="344" t="s">
        <v>574</v>
      </c>
      <c r="AB1214" s="344">
        <v>4</v>
      </c>
      <c r="AC1214" s="344" t="s">
        <v>464</v>
      </c>
      <c r="AD1214" s="1058" t="s">
        <v>578</v>
      </c>
      <c r="AE1214" s="1059">
        <v>206468</v>
      </c>
      <c r="AF1214" s="889" t="s">
        <v>459</v>
      </c>
      <c r="AG1214" s="889" t="s">
        <v>459</v>
      </c>
    </row>
    <row r="1215" spans="26:33" x14ac:dyDescent="0.35">
      <c r="Z1215" s="344">
        <v>3581</v>
      </c>
      <c r="AA1215" s="344" t="s">
        <v>574</v>
      </c>
      <c r="AB1215" s="344">
        <v>4</v>
      </c>
      <c r="AC1215" s="344" t="e">
        <v>#N/A</v>
      </c>
      <c r="AD1215" s="1058" t="s">
        <v>578</v>
      </c>
      <c r="AE1215" s="1059" t="e">
        <v>#N/A</v>
      </c>
      <c r="AF1215" s="889" t="s">
        <v>459</v>
      </c>
      <c r="AG1215" s="889" t="s">
        <v>459</v>
      </c>
    </row>
    <row r="1216" spans="26:33" x14ac:dyDescent="0.35">
      <c r="Z1216" s="344">
        <v>3583</v>
      </c>
      <c r="AA1216" s="344" t="s">
        <v>574</v>
      </c>
      <c r="AB1216" s="344">
        <v>4</v>
      </c>
      <c r="AC1216" s="344" t="e">
        <v>#N/A</v>
      </c>
      <c r="AD1216" s="1058" t="s">
        <v>578</v>
      </c>
      <c r="AE1216" s="1059" t="e">
        <v>#N/A</v>
      </c>
      <c r="AF1216" s="889" t="s">
        <v>459</v>
      </c>
      <c r="AG1216" s="889" t="s">
        <v>459</v>
      </c>
    </row>
    <row r="1217" spans="26:33" x14ac:dyDescent="0.35">
      <c r="Z1217" s="344">
        <v>3584</v>
      </c>
      <c r="AA1217" s="344" t="s">
        <v>574</v>
      </c>
      <c r="AB1217" s="344">
        <v>4</v>
      </c>
      <c r="AC1217" s="344" t="s">
        <v>464</v>
      </c>
      <c r="AD1217" s="1058" t="s">
        <v>578</v>
      </c>
      <c r="AE1217" s="1059">
        <v>171616</v>
      </c>
      <c r="AF1217" s="889" t="s">
        <v>459</v>
      </c>
      <c r="AG1217" s="889" t="s">
        <v>459</v>
      </c>
    </row>
    <row r="1218" spans="26:33" x14ac:dyDescent="0.35">
      <c r="Z1218" s="344">
        <v>3585</v>
      </c>
      <c r="AA1218" s="344" t="s">
        <v>574</v>
      </c>
      <c r="AB1218" s="344">
        <v>3</v>
      </c>
      <c r="AC1218" s="344" t="s">
        <v>464</v>
      </c>
      <c r="AD1218" s="1058" t="s">
        <v>576</v>
      </c>
      <c r="AE1218" s="1059">
        <v>221097</v>
      </c>
      <c r="AF1218" s="889" t="s">
        <v>459</v>
      </c>
      <c r="AG1218" s="889" t="s">
        <v>459</v>
      </c>
    </row>
    <row r="1219" spans="26:33" x14ac:dyDescent="0.35">
      <c r="Z1219" s="344">
        <v>3586</v>
      </c>
      <c r="AA1219" s="344" t="s">
        <v>574</v>
      </c>
      <c r="AB1219" s="344">
        <v>4</v>
      </c>
      <c r="AC1219" s="344" t="e">
        <v>#N/A</v>
      </c>
      <c r="AD1219" s="1058" t="s">
        <v>578</v>
      </c>
      <c r="AE1219" s="1059" t="e">
        <v>#N/A</v>
      </c>
      <c r="AF1219" s="889" t="s">
        <v>459</v>
      </c>
      <c r="AG1219" s="889" t="s">
        <v>459</v>
      </c>
    </row>
    <row r="1220" spans="26:33" x14ac:dyDescent="0.35">
      <c r="Z1220" s="344">
        <v>3588</v>
      </c>
      <c r="AA1220" s="344" t="s">
        <v>574</v>
      </c>
      <c r="AB1220" s="344">
        <v>4</v>
      </c>
      <c r="AC1220" s="344" t="s">
        <v>464</v>
      </c>
      <c r="AD1220" s="1058" t="s">
        <v>578</v>
      </c>
      <c r="AE1220" s="1059">
        <v>182762</v>
      </c>
      <c r="AF1220" s="889" t="s">
        <v>459</v>
      </c>
      <c r="AG1220" s="889" t="s">
        <v>459</v>
      </c>
    </row>
    <row r="1221" spans="26:33" x14ac:dyDescent="0.35">
      <c r="Z1221" s="344">
        <v>3589</v>
      </c>
      <c r="AA1221" s="344" t="s">
        <v>574</v>
      </c>
      <c r="AB1221" s="344">
        <v>4</v>
      </c>
      <c r="AC1221" s="344" t="e">
        <v>#N/A</v>
      </c>
      <c r="AD1221" s="1058" t="s">
        <v>578</v>
      </c>
      <c r="AE1221" s="1059" t="e">
        <v>#N/A</v>
      </c>
      <c r="AF1221" s="889" t="s">
        <v>459</v>
      </c>
      <c r="AG1221" s="889" t="s">
        <v>459</v>
      </c>
    </row>
    <row r="1222" spans="26:33" x14ac:dyDescent="0.35">
      <c r="Z1222" s="344">
        <v>3590</v>
      </c>
      <c r="AA1222" s="344" t="s">
        <v>574</v>
      </c>
      <c r="AB1222" s="344">
        <v>4</v>
      </c>
      <c r="AC1222" s="344" t="e">
        <v>#N/A</v>
      </c>
      <c r="AD1222" s="1058" t="s">
        <v>578</v>
      </c>
      <c r="AE1222" s="1059" t="e">
        <v>#N/A</v>
      </c>
      <c r="AF1222" s="889" t="s">
        <v>459</v>
      </c>
      <c r="AG1222" s="889" t="s">
        <v>459</v>
      </c>
    </row>
    <row r="1223" spans="26:33" x14ac:dyDescent="0.35">
      <c r="Z1223" s="344">
        <v>3591</v>
      </c>
      <c r="AA1223" s="344" t="s">
        <v>574</v>
      </c>
      <c r="AB1223" s="344">
        <v>4</v>
      </c>
      <c r="AC1223" s="344" t="e">
        <v>#N/A</v>
      </c>
      <c r="AD1223" s="1058" t="s">
        <v>578</v>
      </c>
      <c r="AE1223" s="1059" t="e">
        <v>#N/A</v>
      </c>
      <c r="AF1223" s="889" t="s">
        <v>459</v>
      </c>
      <c r="AG1223" s="889" t="s">
        <v>459</v>
      </c>
    </row>
    <row r="1224" spans="26:33" x14ac:dyDescent="0.35">
      <c r="Z1224" s="344">
        <v>3594</v>
      </c>
      <c r="AA1224" s="344" t="s">
        <v>574</v>
      </c>
      <c r="AB1224" s="344">
        <v>4</v>
      </c>
      <c r="AC1224" s="344" t="s">
        <v>464</v>
      </c>
      <c r="AD1224" s="1058" t="s">
        <v>578</v>
      </c>
      <c r="AE1224" s="1059">
        <v>168288</v>
      </c>
      <c r="AF1224" s="889" t="s">
        <v>459</v>
      </c>
      <c r="AG1224" s="889" t="s">
        <v>459</v>
      </c>
    </row>
    <row r="1225" spans="26:33" x14ac:dyDescent="0.35">
      <c r="Z1225" s="344">
        <v>3595</v>
      </c>
      <c r="AA1225" s="344" t="s">
        <v>574</v>
      </c>
      <c r="AB1225" s="344">
        <v>4</v>
      </c>
      <c r="AC1225" s="344" t="s">
        <v>464</v>
      </c>
      <c r="AD1225" s="1058" t="s">
        <v>578</v>
      </c>
      <c r="AE1225" s="1059">
        <v>123365</v>
      </c>
      <c r="AF1225" s="889" t="s">
        <v>459</v>
      </c>
      <c r="AG1225" s="889" t="s">
        <v>459</v>
      </c>
    </row>
    <row r="1226" spans="26:33" x14ac:dyDescent="0.35">
      <c r="Z1226" s="344">
        <v>3596</v>
      </c>
      <c r="AA1226" s="344" t="s">
        <v>574</v>
      </c>
      <c r="AB1226" s="344">
        <v>4</v>
      </c>
      <c r="AC1226" s="344" t="e">
        <v>#N/A</v>
      </c>
      <c r="AD1226" s="1058" t="s">
        <v>578</v>
      </c>
      <c r="AE1226" s="1059" t="e">
        <v>#N/A</v>
      </c>
      <c r="AF1226" s="889" t="s">
        <v>459</v>
      </c>
      <c r="AG1226" s="889" t="s">
        <v>459</v>
      </c>
    </row>
    <row r="1227" spans="26:33" x14ac:dyDescent="0.35">
      <c r="Z1227" s="344">
        <v>3597</v>
      </c>
      <c r="AA1227" s="344" t="s">
        <v>574</v>
      </c>
      <c r="AB1227" s="344">
        <v>4</v>
      </c>
      <c r="AC1227" s="344" t="e">
        <v>#N/A</v>
      </c>
      <c r="AD1227" s="1058" t="s">
        <v>578</v>
      </c>
      <c r="AE1227" s="1059" t="e">
        <v>#N/A</v>
      </c>
      <c r="AF1227" s="889" t="s">
        <v>459</v>
      </c>
      <c r="AG1227" s="889" t="s">
        <v>459</v>
      </c>
    </row>
    <row r="1228" spans="26:33" x14ac:dyDescent="0.35">
      <c r="Z1228" s="344">
        <v>3599</v>
      </c>
      <c r="AA1228" s="344" t="s">
        <v>574</v>
      </c>
      <c r="AB1228" s="344">
        <v>4</v>
      </c>
      <c r="AC1228" s="344" t="e">
        <v>#N/A</v>
      </c>
      <c r="AD1228" s="1058" t="s">
        <v>578</v>
      </c>
      <c r="AE1228" s="1059" t="e">
        <v>#N/A</v>
      </c>
      <c r="AF1228" s="889" t="s">
        <v>459</v>
      </c>
      <c r="AG1228" s="889" t="s">
        <v>459</v>
      </c>
    </row>
    <row r="1229" spans="26:33" x14ac:dyDescent="0.35">
      <c r="Z1229" s="344">
        <v>3607</v>
      </c>
      <c r="AA1229" s="344" t="s">
        <v>574</v>
      </c>
      <c r="AB1229" s="344">
        <v>4</v>
      </c>
      <c r="AC1229" s="344" t="e">
        <v>#N/A</v>
      </c>
      <c r="AD1229" s="1058" t="s">
        <v>578</v>
      </c>
      <c r="AE1229" s="1059" t="e">
        <v>#N/A</v>
      </c>
      <c r="AF1229" s="889" t="s">
        <v>459</v>
      </c>
      <c r="AG1229" s="889" t="s">
        <v>459</v>
      </c>
    </row>
    <row r="1230" spans="26:33" x14ac:dyDescent="0.35">
      <c r="Z1230" s="344">
        <v>3608</v>
      </c>
      <c r="AA1230" s="344" t="s">
        <v>574</v>
      </c>
      <c r="AB1230" s="344">
        <v>4</v>
      </c>
      <c r="AC1230" s="344" t="s">
        <v>471</v>
      </c>
      <c r="AD1230" s="1058" t="s">
        <v>578</v>
      </c>
      <c r="AE1230" s="1059">
        <v>375748</v>
      </c>
      <c r="AF1230" s="889" t="s">
        <v>459</v>
      </c>
      <c r="AG1230" s="889" t="s">
        <v>459</v>
      </c>
    </row>
    <row r="1231" spans="26:33" x14ac:dyDescent="0.35">
      <c r="Z1231" s="344">
        <v>3610</v>
      </c>
      <c r="AA1231" s="344" t="s">
        <v>574</v>
      </c>
      <c r="AB1231" s="344">
        <v>4</v>
      </c>
      <c r="AC1231" s="344" t="s">
        <v>464</v>
      </c>
      <c r="AD1231" s="1058" t="s">
        <v>578</v>
      </c>
      <c r="AE1231" s="1059">
        <v>217097</v>
      </c>
      <c r="AF1231" s="889" t="s">
        <v>459</v>
      </c>
      <c r="AG1231" s="889" t="s">
        <v>459</v>
      </c>
    </row>
    <row r="1232" spans="26:33" x14ac:dyDescent="0.35">
      <c r="Z1232" s="344">
        <v>3612</v>
      </c>
      <c r="AA1232" s="344" t="s">
        <v>574</v>
      </c>
      <c r="AB1232" s="344">
        <v>4</v>
      </c>
      <c r="AC1232" s="344" t="s">
        <v>464</v>
      </c>
      <c r="AD1232" s="1058" t="s">
        <v>578</v>
      </c>
      <c r="AE1232" s="1059">
        <v>192326</v>
      </c>
      <c r="AF1232" s="889" t="s">
        <v>459</v>
      </c>
      <c r="AG1232" s="889" t="s">
        <v>459</v>
      </c>
    </row>
    <row r="1233" spans="26:33" x14ac:dyDescent="0.35">
      <c r="Z1233" s="344">
        <v>3614</v>
      </c>
      <c r="AA1233" s="344" t="s">
        <v>574</v>
      </c>
      <c r="AB1233" s="344">
        <v>4</v>
      </c>
      <c r="AC1233" s="344" t="s">
        <v>464</v>
      </c>
      <c r="AD1233" s="1058" t="s">
        <v>578</v>
      </c>
      <c r="AE1233" s="1059">
        <v>261242</v>
      </c>
      <c r="AF1233" s="889" t="s">
        <v>459</v>
      </c>
      <c r="AG1233" s="889" t="s">
        <v>459</v>
      </c>
    </row>
    <row r="1234" spans="26:33" x14ac:dyDescent="0.35">
      <c r="Z1234" s="344">
        <v>3616</v>
      </c>
      <c r="AA1234" s="344" t="s">
        <v>574</v>
      </c>
      <c r="AB1234" s="344">
        <v>3</v>
      </c>
      <c r="AC1234" s="344" t="s">
        <v>464</v>
      </c>
      <c r="AD1234" s="1058" t="s">
        <v>576</v>
      </c>
      <c r="AE1234" s="1059">
        <v>236924</v>
      </c>
      <c r="AF1234" s="889" t="s">
        <v>459</v>
      </c>
      <c r="AG1234" s="889" t="s">
        <v>459</v>
      </c>
    </row>
    <row r="1235" spans="26:33" x14ac:dyDescent="0.35">
      <c r="Z1235" s="344">
        <v>3617</v>
      </c>
      <c r="AA1235" s="344" t="s">
        <v>574</v>
      </c>
      <c r="AB1235" s="344">
        <v>4</v>
      </c>
      <c r="AC1235" s="344" t="e">
        <v>#N/A</v>
      </c>
      <c r="AD1235" s="1058" t="s">
        <v>578</v>
      </c>
      <c r="AE1235" s="1059" t="e">
        <v>#N/A</v>
      </c>
      <c r="AF1235" s="889" t="s">
        <v>459</v>
      </c>
      <c r="AG1235" s="889" t="s">
        <v>459</v>
      </c>
    </row>
    <row r="1236" spans="26:33" x14ac:dyDescent="0.35">
      <c r="Z1236" s="344">
        <v>3618</v>
      </c>
      <c r="AA1236" s="344" t="s">
        <v>574</v>
      </c>
      <c r="AB1236" s="344">
        <v>4</v>
      </c>
      <c r="AC1236" s="344" t="s">
        <v>464</v>
      </c>
      <c r="AD1236" s="1058" t="s">
        <v>578</v>
      </c>
      <c r="AE1236" s="1059">
        <v>188942</v>
      </c>
      <c r="AF1236" s="889" t="s">
        <v>459</v>
      </c>
      <c r="AG1236" s="889" t="s">
        <v>459</v>
      </c>
    </row>
    <row r="1237" spans="26:33" x14ac:dyDescent="0.35">
      <c r="Z1237" s="344">
        <v>3619</v>
      </c>
      <c r="AA1237" s="344" t="s">
        <v>574</v>
      </c>
      <c r="AB1237" s="344">
        <v>4</v>
      </c>
      <c r="AC1237" s="344" t="e">
        <v>#N/A</v>
      </c>
      <c r="AD1237" s="1058" t="s">
        <v>578</v>
      </c>
      <c r="AE1237" s="1059" t="e">
        <v>#N/A</v>
      </c>
      <c r="AF1237" s="889" t="s">
        <v>459</v>
      </c>
      <c r="AG1237" s="889" t="s">
        <v>459</v>
      </c>
    </row>
    <row r="1238" spans="26:33" x14ac:dyDescent="0.35">
      <c r="Z1238" s="344">
        <v>3620</v>
      </c>
      <c r="AA1238" s="344" t="s">
        <v>574</v>
      </c>
      <c r="AB1238" s="344">
        <v>3</v>
      </c>
      <c r="AC1238" s="344" t="s">
        <v>464</v>
      </c>
      <c r="AD1238" s="1058" t="s">
        <v>576</v>
      </c>
      <c r="AE1238" s="1059">
        <v>242702</v>
      </c>
      <c r="AF1238" s="889" t="s">
        <v>459</v>
      </c>
      <c r="AG1238" s="889" t="s">
        <v>459</v>
      </c>
    </row>
    <row r="1239" spans="26:33" x14ac:dyDescent="0.35">
      <c r="Z1239" s="344">
        <v>3621</v>
      </c>
      <c r="AA1239" s="344" t="s">
        <v>574</v>
      </c>
      <c r="AB1239" s="344">
        <v>4</v>
      </c>
      <c r="AC1239" s="344" t="s">
        <v>464</v>
      </c>
      <c r="AD1239" s="1058" t="s">
        <v>578</v>
      </c>
      <c r="AE1239" s="1059">
        <v>182271</v>
      </c>
      <c r="AF1239" s="889" t="s">
        <v>459</v>
      </c>
      <c r="AG1239" s="889" t="s">
        <v>459</v>
      </c>
    </row>
    <row r="1240" spans="26:33" x14ac:dyDescent="0.35">
      <c r="Z1240" s="344">
        <v>3622</v>
      </c>
      <c r="AA1240" s="344" t="s">
        <v>574</v>
      </c>
      <c r="AB1240" s="344">
        <v>4</v>
      </c>
      <c r="AC1240" s="344" t="e">
        <v>#N/A</v>
      </c>
      <c r="AD1240" s="1058" t="s">
        <v>578</v>
      </c>
      <c r="AE1240" s="1059" t="e">
        <v>#N/A</v>
      </c>
      <c r="AF1240" s="889" t="s">
        <v>459</v>
      </c>
      <c r="AG1240" s="889" t="s">
        <v>459</v>
      </c>
    </row>
    <row r="1241" spans="26:33" x14ac:dyDescent="0.35">
      <c r="Z1241" s="344">
        <v>3623</v>
      </c>
      <c r="AA1241" s="344" t="s">
        <v>574</v>
      </c>
      <c r="AB1241" s="344">
        <v>4</v>
      </c>
      <c r="AC1241" s="344" t="s">
        <v>464</v>
      </c>
      <c r="AD1241" s="1058" t="s">
        <v>578</v>
      </c>
      <c r="AE1241" s="1059">
        <v>169510</v>
      </c>
      <c r="AF1241" s="889" t="s">
        <v>459</v>
      </c>
      <c r="AG1241" s="889" t="s">
        <v>459</v>
      </c>
    </row>
    <row r="1242" spans="26:33" x14ac:dyDescent="0.35">
      <c r="Z1242" s="344">
        <v>3624</v>
      </c>
      <c r="AA1242" s="344" t="s">
        <v>574</v>
      </c>
      <c r="AB1242" s="344">
        <v>4</v>
      </c>
      <c r="AC1242" s="344" t="s">
        <v>464</v>
      </c>
      <c r="AD1242" s="1058" t="s">
        <v>578</v>
      </c>
      <c r="AE1242" s="1059">
        <v>133386</v>
      </c>
      <c r="AF1242" s="889" t="s">
        <v>459</v>
      </c>
      <c r="AG1242" s="889" t="s">
        <v>459</v>
      </c>
    </row>
    <row r="1243" spans="26:33" x14ac:dyDescent="0.35">
      <c r="Z1243" s="344">
        <v>3629</v>
      </c>
      <c r="AA1243" s="344" t="s">
        <v>574</v>
      </c>
      <c r="AB1243" s="344">
        <v>3</v>
      </c>
      <c r="AC1243" s="344" t="s">
        <v>464</v>
      </c>
      <c r="AD1243" s="1058" t="s">
        <v>576</v>
      </c>
      <c r="AE1243" s="1059">
        <v>208712</v>
      </c>
      <c r="AF1243" s="889" t="s">
        <v>459</v>
      </c>
      <c r="AG1243" s="889" t="s">
        <v>459</v>
      </c>
    </row>
    <row r="1244" spans="26:33" x14ac:dyDescent="0.35">
      <c r="Z1244" s="344">
        <v>3630</v>
      </c>
      <c r="AA1244" s="344" t="s">
        <v>574</v>
      </c>
      <c r="AB1244" s="344">
        <v>2</v>
      </c>
      <c r="AC1244" s="344" t="s">
        <v>464</v>
      </c>
      <c r="AD1244" s="1058" t="s">
        <v>577</v>
      </c>
      <c r="AE1244" s="1059">
        <v>241080</v>
      </c>
      <c r="AF1244" s="889" t="s">
        <v>459</v>
      </c>
      <c r="AG1244" s="889" t="s">
        <v>459</v>
      </c>
    </row>
    <row r="1245" spans="26:33" x14ac:dyDescent="0.35">
      <c r="Z1245" s="344">
        <v>3631</v>
      </c>
      <c r="AA1245" s="344" t="s">
        <v>574</v>
      </c>
      <c r="AB1245" s="344">
        <v>2</v>
      </c>
      <c r="AC1245" s="344" t="s">
        <v>471</v>
      </c>
      <c r="AD1245" s="1058" t="s">
        <v>577</v>
      </c>
      <c r="AE1245" s="1059">
        <v>383430</v>
      </c>
      <c r="AF1245" s="889" t="s">
        <v>459</v>
      </c>
      <c r="AG1245" s="889" t="s">
        <v>459</v>
      </c>
    </row>
    <row r="1246" spans="26:33" x14ac:dyDescent="0.35">
      <c r="Z1246" s="344">
        <v>3632</v>
      </c>
      <c r="AA1246" s="344" t="s">
        <v>574</v>
      </c>
      <c r="AB1246" s="344">
        <v>4</v>
      </c>
      <c r="AC1246" s="344" t="e">
        <v>#N/A</v>
      </c>
      <c r="AD1246" s="1058" t="s">
        <v>578</v>
      </c>
      <c r="AE1246" s="1059" t="e">
        <v>#N/A</v>
      </c>
      <c r="AF1246" s="889" t="s">
        <v>459</v>
      </c>
      <c r="AG1246" s="889" t="s">
        <v>459</v>
      </c>
    </row>
    <row r="1247" spans="26:33" x14ac:dyDescent="0.35">
      <c r="Z1247" s="344">
        <v>3633</v>
      </c>
      <c r="AA1247" s="344" t="s">
        <v>574</v>
      </c>
      <c r="AB1247" s="344">
        <v>4</v>
      </c>
      <c r="AC1247" s="344" t="s">
        <v>457</v>
      </c>
      <c r="AD1247" s="1058" t="s">
        <v>578</v>
      </c>
      <c r="AE1247" s="1059">
        <v>493402</v>
      </c>
      <c r="AF1247" s="889" t="s">
        <v>459</v>
      </c>
      <c r="AG1247" s="889" t="s">
        <v>459</v>
      </c>
    </row>
    <row r="1248" spans="26:33" x14ac:dyDescent="0.35">
      <c r="Z1248" s="344">
        <v>3634</v>
      </c>
      <c r="AA1248" s="344" t="s">
        <v>574</v>
      </c>
      <c r="AB1248" s="344">
        <v>4</v>
      </c>
      <c r="AC1248" s="344" t="s">
        <v>464</v>
      </c>
      <c r="AD1248" s="1058" t="s">
        <v>578</v>
      </c>
      <c r="AE1248" s="1059">
        <v>255813</v>
      </c>
      <c r="AF1248" s="889" t="s">
        <v>459</v>
      </c>
      <c r="AG1248" s="889" t="s">
        <v>459</v>
      </c>
    </row>
    <row r="1249" spans="26:33" x14ac:dyDescent="0.35">
      <c r="Z1249" s="344">
        <v>3635</v>
      </c>
      <c r="AA1249" s="344" t="s">
        <v>574</v>
      </c>
      <c r="AB1249" s="344">
        <v>4</v>
      </c>
      <c r="AC1249" s="344" t="s">
        <v>464</v>
      </c>
      <c r="AD1249" s="1058" t="s">
        <v>578</v>
      </c>
      <c r="AE1249" s="1059">
        <v>204266</v>
      </c>
      <c r="AF1249" s="889" t="s">
        <v>459</v>
      </c>
      <c r="AG1249" s="889" t="s">
        <v>459</v>
      </c>
    </row>
    <row r="1250" spans="26:33" x14ac:dyDescent="0.35">
      <c r="Z1250" s="344">
        <v>3636</v>
      </c>
      <c r="AA1250" s="344" t="s">
        <v>574</v>
      </c>
      <c r="AB1250" s="344">
        <v>3</v>
      </c>
      <c r="AC1250" s="344" t="s">
        <v>464</v>
      </c>
      <c r="AD1250" s="1058" t="s">
        <v>576</v>
      </c>
      <c r="AE1250" s="1059">
        <v>208352</v>
      </c>
      <c r="AF1250" s="889" t="s">
        <v>459</v>
      </c>
      <c r="AG1250" s="889" t="s">
        <v>459</v>
      </c>
    </row>
    <row r="1251" spans="26:33" x14ac:dyDescent="0.35">
      <c r="Z1251" s="344">
        <v>3637</v>
      </c>
      <c r="AA1251" s="344" t="s">
        <v>574</v>
      </c>
      <c r="AB1251" s="344">
        <v>4</v>
      </c>
      <c r="AC1251" s="344" t="e">
        <v>#N/A</v>
      </c>
      <c r="AD1251" s="1058" t="s">
        <v>578</v>
      </c>
      <c r="AE1251" s="1059" t="e">
        <v>#N/A</v>
      </c>
      <c r="AF1251" s="889" t="s">
        <v>459</v>
      </c>
      <c r="AG1251" s="889" t="s">
        <v>459</v>
      </c>
    </row>
    <row r="1252" spans="26:33" x14ac:dyDescent="0.35">
      <c r="Z1252" s="344">
        <v>3638</v>
      </c>
      <c r="AA1252" s="344" t="s">
        <v>574</v>
      </c>
      <c r="AB1252" s="344">
        <v>4</v>
      </c>
      <c r="AC1252" s="344" t="s">
        <v>464</v>
      </c>
      <c r="AD1252" s="1058" t="s">
        <v>578</v>
      </c>
      <c r="AE1252" s="1059">
        <v>200645</v>
      </c>
      <c r="AF1252" s="889" t="s">
        <v>459</v>
      </c>
      <c r="AG1252" s="889" t="s">
        <v>459</v>
      </c>
    </row>
    <row r="1253" spans="26:33" x14ac:dyDescent="0.35">
      <c r="Z1253" s="344">
        <v>3639</v>
      </c>
      <c r="AA1253" s="344" t="s">
        <v>574</v>
      </c>
      <c r="AB1253" s="344">
        <v>4</v>
      </c>
      <c r="AC1253" s="344" t="s">
        <v>464</v>
      </c>
      <c r="AD1253" s="1058" t="s">
        <v>578</v>
      </c>
      <c r="AE1253" s="1059">
        <v>240470</v>
      </c>
      <c r="AF1253" s="889" t="s">
        <v>459</v>
      </c>
      <c r="AG1253" s="889" t="s">
        <v>459</v>
      </c>
    </row>
    <row r="1254" spans="26:33" x14ac:dyDescent="0.35">
      <c r="Z1254" s="344">
        <v>3640</v>
      </c>
      <c r="AA1254" s="344" t="s">
        <v>574</v>
      </c>
      <c r="AB1254" s="344">
        <v>4</v>
      </c>
      <c r="AC1254" s="344" t="s">
        <v>464</v>
      </c>
      <c r="AD1254" s="1058" t="s">
        <v>578</v>
      </c>
      <c r="AE1254" s="1059">
        <v>221830</v>
      </c>
      <c r="AF1254" s="889" t="s">
        <v>459</v>
      </c>
      <c r="AG1254" s="889" t="s">
        <v>459</v>
      </c>
    </row>
    <row r="1255" spans="26:33" x14ac:dyDescent="0.35">
      <c r="Z1255" s="344">
        <v>3641</v>
      </c>
      <c r="AA1255" s="344" t="s">
        <v>574</v>
      </c>
      <c r="AB1255" s="344">
        <v>4</v>
      </c>
      <c r="AC1255" s="344" t="s">
        <v>464</v>
      </c>
      <c r="AD1255" s="1058" t="s">
        <v>578</v>
      </c>
      <c r="AE1255" s="1059">
        <v>190019</v>
      </c>
      <c r="AF1255" s="889" t="s">
        <v>459</v>
      </c>
      <c r="AG1255" s="889" t="s">
        <v>459</v>
      </c>
    </row>
    <row r="1256" spans="26:33" x14ac:dyDescent="0.35">
      <c r="Z1256" s="344">
        <v>3643</v>
      </c>
      <c r="AA1256" s="344" t="s">
        <v>574</v>
      </c>
      <c r="AB1256" s="344">
        <v>4</v>
      </c>
      <c r="AC1256" s="344" t="e">
        <v>#N/A</v>
      </c>
      <c r="AD1256" s="1058" t="s">
        <v>578</v>
      </c>
      <c r="AE1256" s="1059" t="e">
        <v>#N/A</v>
      </c>
      <c r="AF1256" s="889" t="s">
        <v>459</v>
      </c>
      <c r="AG1256" s="889" t="s">
        <v>459</v>
      </c>
    </row>
    <row r="1257" spans="26:33" x14ac:dyDescent="0.35">
      <c r="Z1257" s="344">
        <v>3644</v>
      </c>
      <c r="AA1257" s="344" t="s">
        <v>574</v>
      </c>
      <c r="AB1257" s="344">
        <v>4</v>
      </c>
      <c r="AC1257" s="344" t="s">
        <v>464</v>
      </c>
      <c r="AD1257" s="1058" t="s">
        <v>578</v>
      </c>
      <c r="AE1257" s="1059">
        <v>243641</v>
      </c>
      <c r="AF1257" s="889" t="s">
        <v>459</v>
      </c>
      <c r="AG1257" s="889" t="s">
        <v>459</v>
      </c>
    </row>
    <row r="1258" spans="26:33" x14ac:dyDescent="0.35">
      <c r="Z1258" s="344">
        <v>3646</v>
      </c>
      <c r="AA1258" s="344" t="s">
        <v>574</v>
      </c>
      <c r="AB1258" s="344">
        <v>4</v>
      </c>
      <c r="AC1258" s="344" t="s">
        <v>464</v>
      </c>
      <c r="AD1258" s="1058" t="s">
        <v>578</v>
      </c>
      <c r="AE1258" s="1059">
        <v>174906</v>
      </c>
      <c r="AF1258" s="889" t="s">
        <v>459</v>
      </c>
      <c r="AG1258" s="889" t="s">
        <v>459</v>
      </c>
    </row>
    <row r="1259" spans="26:33" x14ac:dyDescent="0.35">
      <c r="Z1259" s="344">
        <v>3647</v>
      </c>
      <c r="AA1259" s="344" t="s">
        <v>574</v>
      </c>
      <c r="AB1259" s="344">
        <v>4</v>
      </c>
      <c r="AC1259" s="344" t="e">
        <v>#N/A</v>
      </c>
      <c r="AD1259" s="1058" t="s">
        <v>578</v>
      </c>
      <c r="AE1259" s="1059" t="e">
        <v>#N/A</v>
      </c>
      <c r="AF1259" s="889" t="s">
        <v>459</v>
      </c>
      <c r="AG1259" s="889" t="s">
        <v>459</v>
      </c>
    </row>
    <row r="1260" spans="26:33" x14ac:dyDescent="0.35">
      <c r="Z1260" s="344">
        <v>3649</v>
      </c>
      <c r="AA1260" s="344" t="s">
        <v>574</v>
      </c>
      <c r="AB1260" s="344">
        <v>4</v>
      </c>
      <c r="AC1260" s="344" t="s">
        <v>464</v>
      </c>
      <c r="AD1260" s="1058" t="s">
        <v>578</v>
      </c>
      <c r="AE1260" s="1059">
        <v>200262</v>
      </c>
      <c r="AF1260" s="889" t="s">
        <v>459</v>
      </c>
      <c r="AG1260" s="889" t="s">
        <v>459</v>
      </c>
    </row>
    <row r="1261" spans="26:33" x14ac:dyDescent="0.35">
      <c r="Z1261" s="344">
        <v>3658</v>
      </c>
      <c r="AA1261" s="344" t="s">
        <v>574</v>
      </c>
      <c r="AB1261" s="344">
        <v>4</v>
      </c>
      <c r="AC1261" s="344" t="s">
        <v>464</v>
      </c>
      <c r="AD1261" s="1058" t="s">
        <v>578</v>
      </c>
      <c r="AE1261" s="1059">
        <v>263665</v>
      </c>
      <c r="AF1261" s="889" t="s">
        <v>459</v>
      </c>
      <c r="AG1261" s="889" t="s">
        <v>459</v>
      </c>
    </row>
    <row r="1262" spans="26:33" x14ac:dyDescent="0.35">
      <c r="Z1262" s="344">
        <v>3659</v>
      </c>
      <c r="AA1262" s="344" t="s">
        <v>574</v>
      </c>
      <c r="AB1262" s="344">
        <v>4</v>
      </c>
      <c r="AC1262" s="344" t="s">
        <v>471</v>
      </c>
      <c r="AD1262" s="1058" t="s">
        <v>578</v>
      </c>
      <c r="AE1262" s="1059">
        <v>346672</v>
      </c>
      <c r="AF1262" s="889" t="s">
        <v>459</v>
      </c>
      <c r="AG1262" s="889" t="s">
        <v>459</v>
      </c>
    </row>
    <row r="1263" spans="26:33" x14ac:dyDescent="0.35">
      <c r="Z1263" s="344">
        <v>3660</v>
      </c>
      <c r="AA1263" s="344" t="s">
        <v>574</v>
      </c>
      <c r="AB1263" s="344">
        <v>3</v>
      </c>
      <c r="AC1263" s="344" t="s">
        <v>464</v>
      </c>
      <c r="AD1263" s="1058" t="s">
        <v>576</v>
      </c>
      <c r="AE1263" s="1059">
        <v>240237</v>
      </c>
      <c r="AF1263" s="889" t="s">
        <v>459</v>
      </c>
      <c r="AG1263" s="889" t="s">
        <v>459</v>
      </c>
    </row>
    <row r="1264" spans="26:33" x14ac:dyDescent="0.35">
      <c r="Z1264" s="344">
        <v>3661</v>
      </c>
      <c r="AA1264" s="344" t="s">
        <v>574</v>
      </c>
      <c r="AB1264" s="344">
        <v>4</v>
      </c>
      <c r="AC1264" s="344" t="e">
        <v>#N/A</v>
      </c>
      <c r="AD1264" s="1058" t="s">
        <v>578</v>
      </c>
      <c r="AE1264" s="1059" t="e">
        <v>#N/A</v>
      </c>
      <c r="AF1264" s="889" t="s">
        <v>459</v>
      </c>
      <c r="AG1264" s="889" t="s">
        <v>459</v>
      </c>
    </row>
    <row r="1265" spans="26:33" x14ac:dyDescent="0.35">
      <c r="Z1265" s="344">
        <v>3662</v>
      </c>
      <c r="AA1265" s="344" t="s">
        <v>574</v>
      </c>
      <c r="AB1265" s="344">
        <v>4</v>
      </c>
      <c r="AC1265" s="344" t="e">
        <v>#N/A</v>
      </c>
      <c r="AD1265" s="1058" t="s">
        <v>578</v>
      </c>
      <c r="AE1265" s="1059" t="e">
        <v>#N/A</v>
      </c>
      <c r="AF1265" s="889" t="s">
        <v>459</v>
      </c>
      <c r="AG1265" s="889" t="s">
        <v>459</v>
      </c>
    </row>
    <row r="1266" spans="26:33" x14ac:dyDescent="0.35">
      <c r="Z1266" s="344">
        <v>3663</v>
      </c>
      <c r="AA1266" s="344" t="s">
        <v>574</v>
      </c>
      <c r="AB1266" s="344">
        <v>4</v>
      </c>
      <c r="AC1266" s="344" t="e">
        <v>#N/A</v>
      </c>
      <c r="AD1266" s="1058" t="s">
        <v>578</v>
      </c>
      <c r="AE1266" s="1059" t="e">
        <v>#N/A</v>
      </c>
      <c r="AF1266" s="889" t="s">
        <v>459</v>
      </c>
      <c r="AG1266" s="889" t="s">
        <v>459</v>
      </c>
    </row>
    <row r="1267" spans="26:33" x14ac:dyDescent="0.35">
      <c r="Z1267" s="344">
        <v>3664</v>
      </c>
      <c r="AA1267" s="344" t="s">
        <v>574</v>
      </c>
      <c r="AB1267" s="344">
        <v>4</v>
      </c>
      <c r="AC1267" s="344" t="s">
        <v>464</v>
      </c>
      <c r="AD1267" s="1058" t="s">
        <v>578</v>
      </c>
      <c r="AE1267" s="1059">
        <v>286431</v>
      </c>
      <c r="AF1267" s="889" t="s">
        <v>459</v>
      </c>
      <c r="AG1267" s="889" t="s">
        <v>459</v>
      </c>
    </row>
    <row r="1268" spans="26:33" x14ac:dyDescent="0.35">
      <c r="Z1268" s="344">
        <v>3665</v>
      </c>
      <c r="AA1268" s="344" t="s">
        <v>574</v>
      </c>
      <c r="AB1268" s="344">
        <v>4</v>
      </c>
      <c r="AC1268" s="344" t="e">
        <v>#N/A</v>
      </c>
      <c r="AD1268" s="1058" t="s">
        <v>578</v>
      </c>
      <c r="AE1268" s="1059" t="e">
        <v>#N/A</v>
      </c>
      <c r="AF1268" s="889" t="s">
        <v>459</v>
      </c>
      <c r="AG1268" s="889" t="s">
        <v>459</v>
      </c>
    </row>
    <row r="1269" spans="26:33" x14ac:dyDescent="0.35">
      <c r="Z1269" s="344">
        <v>3666</v>
      </c>
      <c r="AA1269" s="344" t="s">
        <v>574</v>
      </c>
      <c r="AB1269" s="344">
        <v>4</v>
      </c>
      <c r="AC1269" s="344" t="s">
        <v>464</v>
      </c>
      <c r="AD1269" s="1058" t="s">
        <v>578</v>
      </c>
      <c r="AE1269" s="1059">
        <v>238302</v>
      </c>
      <c r="AF1269" s="889" t="s">
        <v>459</v>
      </c>
      <c r="AG1269" s="889" t="s">
        <v>459</v>
      </c>
    </row>
    <row r="1270" spans="26:33" x14ac:dyDescent="0.35">
      <c r="Z1270" s="344">
        <v>3669</v>
      </c>
      <c r="AA1270" s="344" t="s">
        <v>574</v>
      </c>
      <c r="AB1270" s="344">
        <v>4</v>
      </c>
      <c r="AC1270" s="344" t="s">
        <v>464</v>
      </c>
      <c r="AD1270" s="1058" t="s">
        <v>578</v>
      </c>
      <c r="AE1270" s="1059">
        <v>210941</v>
      </c>
      <c r="AF1270" s="889" t="s">
        <v>459</v>
      </c>
      <c r="AG1270" s="889" t="s">
        <v>459</v>
      </c>
    </row>
    <row r="1271" spans="26:33" x14ac:dyDescent="0.35">
      <c r="Z1271" s="344">
        <v>3670</v>
      </c>
      <c r="AA1271" s="344" t="s">
        <v>574</v>
      </c>
      <c r="AB1271" s="344">
        <v>4</v>
      </c>
      <c r="AC1271" s="344" t="e">
        <v>#N/A</v>
      </c>
      <c r="AD1271" s="1058" t="s">
        <v>578</v>
      </c>
      <c r="AE1271" s="1059" t="e">
        <v>#N/A</v>
      </c>
      <c r="AF1271" s="889" t="s">
        <v>459</v>
      </c>
      <c r="AG1271" s="889" t="s">
        <v>459</v>
      </c>
    </row>
    <row r="1272" spans="26:33" x14ac:dyDescent="0.35">
      <c r="Z1272" s="344">
        <v>3671</v>
      </c>
      <c r="AA1272" s="344" t="s">
        <v>574</v>
      </c>
      <c r="AB1272" s="344">
        <v>4</v>
      </c>
      <c r="AC1272" s="344" t="e">
        <v>#N/A</v>
      </c>
      <c r="AD1272" s="1058" t="s">
        <v>578</v>
      </c>
      <c r="AE1272" s="1059" t="e">
        <v>#N/A</v>
      </c>
      <c r="AF1272" s="889" t="s">
        <v>459</v>
      </c>
      <c r="AG1272" s="889" t="s">
        <v>459</v>
      </c>
    </row>
    <row r="1273" spans="26:33" x14ac:dyDescent="0.35">
      <c r="Z1273" s="344">
        <v>3672</v>
      </c>
      <c r="AA1273" s="344" t="s">
        <v>574</v>
      </c>
      <c r="AB1273" s="344">
        <v>3</v>
      </c>
      <c r="AC1273" s="344" t="s">
        <v>464</v>
      </c>
      <c r="AD1273" s="1058" t="s">
        <v>576</v>
      </c>
      <c r="AE1273" s="1059">
        <v>240106</v>
      </c>
      <c r="AF1273" s="889" t="s">
        <v>459</v>
      </c>
      <c r="AG1273" s="889" t="s">
        <v>459</v>
      </c>
    </row>
    <row r="1274" spans="26:33" x14ac:dyDescent="0.35">
      <c r="Z1274" s="344">
        <v>3673</v>
      </c>
      <c r="AA1274" s="344" t="s">
        <v>574</v>
      </c>
      <c r="AB1274" s="344">
        <v>4</v>
      </c>
      <c r="AC1274" s="344" t="e">
        <v>#N/A</v>
      </c>
      <c r="AD1274" s="1058" t="s">
        <v>578</v>
      </c>
      <c r="AE1274" s="1059" t="e">
        <v>#N/A</v>
      </c>
      <c r="AF1274" s="889" t="s">
        <v>459</v>
      </c>
      <c r="AG1274" s="889" t="s">
        <v>459</v>
      </c>
    </row>
    <row r="1275" spans="26:33" x14ac:dyDescent="0.35">
      <c r="Z1275" s="344">
        <v>3675</v>
      </c>
      <c r="AA1275" s="344" t="s">
        <v>574</v>
      </c>
      <c r="AB1275" s="344">
        <v>4</v>
      </c>
      <c r="AC1275" s="344" t="s">
        <v>471</v>
      </c>
      <c r="AD1275" s="1058" t="s">
        <v>578</v>
      </c>
      <c r="AE1275" s="1059">
        <v>305376</v>
      </c>
      <c r="AF1275" s="889" t="s">
        <v>459</v>
      </c>
      <c r="AG1275" s="889" t="s">
        <v>459</v>
      </c>
    </row>
    <row r="1276" spans="26:33" x14ac:dyDescent="0.35">
      <c r="Z1276" s="344">
        <v>3676</v>
      </c>
      <c r="AA1276" s="344" t="s">
        <v>574</v>
      </c>
      <c r="AB1276" s="344">
        <v>4</v>
      </c>
      <c r="AC1276" s="344" t="e">
        <v>#N/A</v>
      </c>
      <c r="AD1276" s="1058" t="s">
        <v>578</v>
      </c>
      <c r="AE1276" s="1059" t="e">
        <v>#N/A</v>
      </c>
      <c r="AF1276" s="889" t="s">
        <v>459</v>
      </c>
      <c r="AG1276" s="889" t="s">
        <v>459</v>
      </c>
    </row>
    <row r="1277" spans="26:33" x14ac:dyDescent="0.35">
      <c r="Z1277" s="344">
        <v>3677</v>
      </c>
      <c r="AA1277" s="344" t="s">
        <v>574</v>
      </c>
      <c r="AB1277" s="344">
        <v>3</v>
      </c>
      <c r="AC1277" s="344" t="s">
        <v>464</v>
      </c>
      <c r="AD1277" s="1058" t="s">
        <v>576</v>
      </c>
      <c r="AE1277" s="1059">
        <v>280801</v>
      </c>
      <c r="AF1277" s="889" t="s">
        <v>459</v>
      </c>
      <c r="AG1277" s="889" t="s">
        <v>459</v>
      </c>
    </row>
    <row r="1278" spans="26:33" x14ac:dyDescent="0.35">
      <c r="Z1278" s="344">
        <v>3678</v>
      </c>
      <c r="AA1278" s="344" t="s">
        <v>574</v>
      </c>
      <c r="AB1278" s="344">
        <v>4</v>
      </c>
      <c r="AC1278" s="344" t="s">
        <v>471</v>
      </c>
      <c r="AD1278" s="1058" t="s">
        <v>578</v>
      </c>
      <c r="AE1278" s="1059">
        <v>301197</v>
      </c>
      <c r="AF1278" s="889" t="s">
        <v>459</v>
      </c>
      <c r="AG1278" s="889" t="s">
        <v>459</v>
      </c>
    </row>
    <row r="1279" spans="26:33" x14ac:dyDescent="0.35">
      <c r="Z1279" s="344">
        <v>3682</v>
      </c>
      <c r="AA1279" s="344" t="s">
        <v>574</v>
      </c>
      <c r="AB1279" s="344">
        <v>4</v>
      </c>
      <c r="AC1279" s="344" t="e">
        <v>#N/A</v>
      </c>
      <c r="AD1279" s="1058" t="s">
        <v>578</v>
      </c>
      <c r="AE1279" s="1059" t="e">
        <v>#N/A</v>
      </c>
      <c r="AF1279" s="889" t="s">
        <v>459</v>
      </c>
      <c r="AG1279" s="889" t="s">
        <v>459</v>
      </c>
    </row>
    <row r="1280" spans="26:33" x14ac:dyDescent="0.35">
      <c r="Z1280" s="344">
        <v>3683</v>
      </c>
      <c r="AA1280" s="344" t="s">
        <v>574</v>
      </c>
      <c r="AB1280" s="344">
        <v>4</v>
      </c>
      <c r="AC1280" s="344" t="s">
        <v>464</v>
      </c>
      <c r="AD1280" s="1058" t="s">
        <v>578</v>
      </c>
      <c r="AE1280" s="1059">
        <v>229616</v>
      </c>
      <c r="AF1280" s="889" t="s">
        <v>459</v>
      </c>
      <c r="AG1280" s="889" t="s">
        <v>459</v>
      </c>
    </row>
    <row r="1281" spans="26:33" x14ac:dyDescent="0.35">
      <c r="Z1281" s="344">
        <v>3685</v>
      </c>
      <c r="AA1281" s="344" t="s">
        <v>574</v>
      </c>
      <c r="AB1281" s="344">
        <v>4</v>
      </c>
      <c r="AC1281" s="344" t="s">
        <v>464</v>
      </c>
      <c r="AD1281" s="1058" t="s">
        <v>578</v>
      </c>
      <c r="AE1281" s="1059">
        <v>229591</v>
      </c>
      <c r="AF1281" s="889" t="s">
        <v>459</v>
      </c>
      <c r="AG1281" s="889" t="s">
        <v>459</v>
      </c>
    </row>
    <row r="1282" spans="26:33" x14ac:dyDescent="0.35">
      <c r="Z1282" s="344">
        <v>3687</v>
      </c>
      <c r="AA1282" s="344" t="s">
        <v>574</v>
      </c>
      <c r="AB1282" s="344">
        <v>4</v>
      </c>
      <c r="AC1282" s="344" t="s">
        <v>464</v>
      </c>
      <c r="AD1282" s="1058" t="s">
        <v>578</v>
      </c>
      <c r="AE1282" s="1059">
        <v>235673</v>
      </c>
      <c r="AF1282" s="889" t="s">
        <v>459</v>
      </c>
      <c r="AG1282" s="889" t="s">
        <v>459</v>
      </c>
    </row>
    <row r="1283" spans="26:33" x14ac:dyDescent="0.35">
      <c r="Z1283" s="344">
        <v>3688</v>
      </c>
      <c r="AA1283" s="344" t="s">
        <v>574</v>
      </c>
      <c r="AB1283" s="344">
        <v>3</v>
      </c>
      <c r="AC1283" s="344" t="s">
        <v>464</v>
      </c>
      <c r="AD1283" s="1058" t="s">
        <v>576</v>
      </c>
      <c r="AE1283" s="1059">
        <v>251516</v>
      </c>
      <c r="AF1283" s="889" t="s">
        <v>459</v>
      </c>
      <c r="AG1283" s="889" t="s">
        <v>459</v>
      </c>
    </row>
    <row r="1284" spans="26:33" x14ac:dyDescent="0.35">
      <c r="Z1284" s="344">
        <v>3689</v>
      </c>
      <c r="AA1284" s="344" t="s">
        <v>574</v>
      </c>
      <c r="AB1284" s="344">
        <v>4</v>
      </c>
      <c r="AC1284" s="344" t="e">
        <v>#N/A</v>
      </c>
      <c r="AD1284" s="1058" t="s">
        <v>578</v>
      </c>
      <c r="AE1284" s="1059" t="e">
        <v>#N/A</v>
      </c>
      <c r="AF1284" s="889" t="s">
        <v>459</v>
      </c>
      <c r="AG1284" s="889" t="s">
        <v>459</v>
      </c>
    </row>
    <row r="1285" spans="26:33" x14ac:dyDescent="0.35">
      <c r="Z1285" s="344">
        <v>3690</v>
      </c>
      <c r="AA1285" s="344" t="s">
        <v>574</v>
      </c>
      <c r="AB1285" s="344">
        <v>1</v>
      </c>
      <c r="AC1285" s="344" t="s">
        <v>464</v>
      </c>
      <c r="AD1285" s="1058" t="s">
        <v>575</v>
      </c>
      <c r="AE1285" s="1059">
        <v>282231</v>
      </c>
      <c r="AF1285" s="889" t="s">
        <v>459</v>
      </c>
      <c r="AG1285" s="889" t="s">
        <v>459</v>
      </c>
    </row>
    <row r="1286" spans="26:33" x14ac:dyDescent="0.35">
      <c r="Z1286" s="344">
        <v>3691</v>
      </c>
      <c r="AA1286" s="344" t="s">
        <v>574</v>
      </c>
      <c r="AB1286" s="344">
        <v>1</v>
      </c>
      <c r="AC1286" s="344" t="s">
        <v>471</v>
      </c>
      <c r="AD1286" s="1058" t="s">
        <v>575</v>
      </c>
      <c r="AE1286" s="1059">
        <v>318961</v>
      </c>
      <c r="AF1286" s="889" t="s">
        <v>459</v>
      </c>
      <c r="AG1286" s="889" t="s">
        <v>459</v>
      </c>
    </row>
    <row r="1287" spans="26:33" x14ac:dyDescent="0.35">
      <c r="Z1287" s="344">
        <v>3694</v>
      </c>
      <c r="AA1287" s="344" t="s">
        <v>574</v>
      </c>
      <c r="AB1287" s="344">
        <v>4</v>
      </c>
      <c r="AC1287" s="344" t="e">
        <v>#N/A</v>
      </c>
      <c r="AD1287" s="1058" t="s">
        <v>578</v>
      </c>
      <c r="AE1287" s="1059" t="e">
        <v>#N/A</v>
      </c>
      <c r="AF1287" s="889" t="s">
        <v>459</v>
      </c>
      <c r="AG1287" s="889" t="s">
        <v>459</v>
      </c>
    </row>
    <row r="1288" spans="26:33" x14ac:dyDescent="0.35">
      <c r="Z1288" s="344">
        <v>3695</v>
      </c>
      <c r="AA1288" s="344" t="s">
        <v>574</v>
      </c>
      <c r="AB1288" s="344">
        <v>4</v>
      </c>
      <c r="AC1288" s="344" t="e">
        <v>#N/A</v>
      </c>
      <c r="AD1288" s="1058" t="s">
        <v>578</v>
      </c>
      <c r="AE1288" s="1059" t="e">
        <v>#N/A</v>
      </c>
      <c r="AF1288" s="889" t="s">
        <v>459</v>
      </c>
      <c r="AG1288" s="889" t="s">
        <v>459</v>
      </c>
    </row>
    <row r="1289" spans="26:33" x14ac:dyDescent="0.35">
      <c r="Z1289" s="344">
        <v>3697</v>
      </c>
      <c r="AA1289" s="344" t="s">
        <v>574</v>
      </c>
      <c r="AB1289" s="344">
        <v>4</v>
      </c>
      <c r="AC1289" s="344" t="s">
        <v>471</v>
      </c>
      <c r="AD1289" s="1058" t="s">
        <v>578</v>
      </c>
      <c r="AE1289" s="1059">
        <v>352974</v>
      </c>
      <c r="AF1289" s="889" t="s">
        <v>459</v>
      </c>
      <c r="AG1289" s="889" t="s">
        <v>459</v>
      </c>
    </row>
    <row r="1290" spans="26:33" x14ac:dyDescent="0.35">
      <c r="Z1290" s="344">
        <v>3698</v>
      </c>
      <c r="AA1290" s="344" t="s">
        <v>574</v>
      </c>
      <c r="AB1290" s="344">
        <v>4</v>
      </c>
      <c r="AC1290" s="344" t="s">
        <v>464</v>
      </c>
      <c r="AD1290" s="1058" t="s">
        <v>578</v>
      </c>
      <c r="AE1290" s="1059">
        <v>292729</v>
      </c>
      <c r="AF1290" s="889" t="s">
        <v>459</v>
      </c>
      <c r="AG1290" s="889" t="s">
        <v>459</v>
      </c>
    </row>
    <row r="1291" spans="26:33" x14ac:dyDescent="0.35">
      <c r="Z1291" s="344">
        <v>3699</v>
      </c>
      <c r="AA1291" s="344" t="s">
        <v>574</v>
      </c>
      <c r="AB1291" s="344">
        <v>4</v>
      </c>
      <c r="AC1291" s="344" t="s">
        <v>464</v>
      </c>
      <c r="AD1291" s="1058" t="s">
        <v>578</v>
      </c>
      <c r="AE1291" s="1059">
        <v>205784</v>
      </c>
      <c r="AF1291" s="889" t="s">
        <v>459</v>
      </c>
      <c r="AG1291" s="889" t="s">
        <v>459</v>
      </c>
    </row>
    <row r="1292" spans="26:33" x14ac:dyDescent="0.35">
      <c r="Z1292" s="344">
        <v>3700</v>
      </c>
      <c r="AA1292" s="344" t="s">
        <v>574</v>
      </c>
      <c r="AB1292" s="344">
        <v>4</v>
      </c>
      <c r="AC1292" s="344" t="s">
        <v>464</v>
      </c>
      <c r="AD1292" s="1058" t="s">
        <v>578</v>
      </c>
      <c r="AE1292" s="1059">
        <v>209620</v>
      </c>
      <c r="AF1292" s="889" t="s">
        <v>459</v>
      </c>
      <c r="AG1292" s="889" t="s">
        <v>459</v>
      </c>
    </row>
    <row r="1293" spans="26:33" x14ac:dyDescent="0.35">
      <c r="Z1293" s="344">
        <v>3701</v>
      </c>
      <c r="AA1293" s="344" t="s">
        <v>574</v>
      </c>
      <c r="AB1293" s="344">
        <v>4</v>
      </c>
      <c r="AC1293" s="344" t="s">
        <v>464</v>
      </c>
      <c r="AD1293" s="1058" t="s">
        <v>578</v>
      </c>
      <c r="AE1293" s="1059">
        <v>176233</v>
      </c>
      <c r="AF1293" s="889" t="s">
        <v>459</v>
      </c>
      <c r="AG1293" s="889" t="s">
        <v>459</v>
      </c>
    </row>
    <row r="1294" spans="26:33" x14ac:dyDescent="0.35">
      <c r="Z1294" s="344">
        <v>3704</v>
      </c>
      <c r="AA1294" s="344" t="s">
        <v>574</v>
      </c>
      <c r="AB1294" s="344">
        <v>4</v>
      </c>
      <c r="AC1294" s="344" t="e">
        <v>#N/A</v>
      </c>
      <c r="AD1294" s="1058" t="s">
        <v>578</v>
      </c>
      <c r="AE1294" s="1059" t="e">
        <v>#N/A</v>
      </c>
      <c r="AF1294" s="889" t="s">
        <v>459</v>
      </c>
      <c r="AG1294" s="889" t="s">
        <v>459</v>
      </c>
    </row>
    <row r="1295" spans="26:33" x14ac:dyDescent="0.35">
      <c r="Z1295" s="344">
        <v>3705</v>
      </c>
      <c r="AA1295" s="344" t="s">
        <v>574</v>
      </c>
      <c r="AB1295" s="344">
        <v>4</v>
      </c>
      <c r="AC1295" s="344" t="e">
        <v>#N/A</v>
      </c>
      <c r="AD1295" s="1058" t="s">
        <v>578</v>
      </c>
      <c r="AE1295" s="1059" t="e">
        <v>#N/A</v>
      </c>
      <c r="AF1295" s="889" t="s">
        <v>459</v>
      </c>
      <c r="AG1295" s="889" t="s">
        <v>459</v>
      </c>
    </row>
    <row r="1296" spans="26:33" x14ac:dyDescent="0.35">
      <c r="Z1296" s="344">
        <v>3707</v>
      </c>
      <c r="AA1296" s="344" t="s">
        <v>574</v>
      </c>
      <c r="AB1296" s="344">
        <v>4</v>
      </c>
      <c r="AC1296" s="344" t="s">
        <v>464</v>
      </c>
      <c r="AD1296" s="1058" t="s">
        <v>578</v>
      </c>
      <c r="AE1296" s="1059">
        <v>177775</v>
      </c>
      <c r="AF1296" s="889" t="s">
        <v>459</v>
      </c>
      <c r="AG1296" s="889" t="s">
        <v>459</v>
      </c>
    </row>
    <row r="1297" spans="26:33" x14ac:dyDescent="0.35">
      <c r="Z1297" s="344">
        <v>3708</v>
      </c>
      <c r="AA1297" s="344" t="s">
        <v>574</v>
      </c>
      <c r="AB1297" s="344">
        <v>4</v>
      </c>
      <c r="AC1297" s="344" t="e">
        <v>#N/A</v>
      </c>
      <c r="AD1297" s="1058" t="s">
        <v>578</v>
      </c>
      <c r="AE1297" s="1059" t="e">
        <v>#N/A</v>
      </c>
      <c r="AF1297" s="889" t="s">
        <v>459</v>
      </c>
      <c r="AG1297" s="889" t="s">
        <v>459</v>
      </c>
    </row>
    <row r="1298" spans="26:33" x14ac:dyDescent="0.35">
      <c r="Z1298" s="344">
        <v>3709</v>
      </c>
      <c r="AA1298" s="344" t="s">
        <v>574</v>
      </c>
      <c r="AB1298" s="344">
        <v>4</v>
      </c>
      <c r="AC1298" s="344" t="e">
        <v>#N/A</v>
      </c>
      <c r="AD1298" s="1058" t="s">
        <v>578</v>
      </c>
      <c r="AE1298" s="1059" t="e">
        <v>#N/A</v>
      </c>
      <c r="AF1298" s="889" t="s">
        <v>459</v>
      </c>
      <c r="AG1298" s="889" t="s">
        <v>459</v>
      </c>
    </row>
    <row r="1299" spans="26:33" x14ac:dyDescent="0.35">
      <c r="Z1299" s="344">
        <v>3711</v>
      </c>
      <c r="AA1299" s="344" t="s">
        <v>574</v>
      </c>
      <c r="AB1299" s="344">
        <v>4</v>
      </c>
      <c r="AC1299" s="344" t="s">
        <v>471</v>
      </c>
      <c r="AD1299" s="1058" t="s">
        <v>578</v>
      </c>
      <c r="AE1299" s="1059">
        <v>349766</v>
      </c>
      <c r="AF1299" s="889" t="s">
        <v>459</v>
      </c>
      <c r="AG1299" s="889" t="s">
        <v>459</v>
      </c>
    </row>
    <row r="1300" spans="26:33" x14ac:dyDescent="0.35">
      <c r="Z1300" s="344">
        <v>3712</v>
      </c>
      <c r="AA1300" s="344" t="s">
        <v>574</v>
      </c>
      <c r="AB1300" s="344">
        <v>4</v>
      </c>
      <c r="AC1300" s="344" t="s">
        <v>464</v>
      </c>
      <c r="AD1300" s="1058" t="s">
        <v>578</v>
      </c>
      <c r="AE1300" s="1059">
        <v>241270</v>
      </c>
      <c r="AF1300" s="889" t="s">
        <v>459</v>
      </c>
      <c r="AG1300" s="889" t="s">
        <v>459</v>
      </c>
    </row>
    <row r="1301" spans="26:33" x14ac:dyDescent="0.35">
      <c r="Z1301" s="344">
        <v>3713</v>
      </c>
      <c r="AA1301" s="344" t="s">
        <v>574</v>
      </c>
      <c r="AB1301" s="344">
        <v>4</v>
      </c>
      <c r="AC1301" s="344" t="s">
        <v>464</v>
      </c>
      <c r="AD1301" s="1058" t="s">
        <v>578</v>
      </c>
      <c r="AE1301" s="1059">
        <v>230504</v>
      </c>
      <c r="AF1301" s="889" t="s">
        <v>459</v>
      </c>
      <c r="AG1301" s="889" t="s">
        <v>459</v>
      </c>
    </row>
    <row r="1302" spans="26:33" x14ac:dyDescent="0.35">
      <c r="Z1302" s="344">
        <v>3714</v>
      </c>
      <c r="AA1302" s="344" t="s">
        <v>574</v>
      </c>
      <c r="AB1302" s="344">
        <v>4</v>
      </c>
      <c r="AC1302" s="344" t="s">
        <v>471</v>
      </c>
      <c r="AD1302" s="1058" t="s">
        <v>578</v>
      </c>
      <c r="AE1302" s="1059">
        <v>343955</v>
      </c>
      <c r="AF1302" s="889" t="s">
        <v>459</v>
      </c>
      <c r="AG1302" s="889" t="s">
        <v>459</v>
      </c>
    </row>
    <row r="1303" spans="26:33" x14ac:dyDescent="0.35">
      <c r="Z1303" s="344">
        <v>3715</v>
      </c>
      <c r="AA1303" s="344" t="s">
        <v>574</v>
      </c>
      <c r="AB1303" s="344">
        <v>4</v>
      </c>
      <c r="AC1303" s="344" t="e">
        <v>#N/A</v>
      </c>
      <c r="AD1303" s="1058" t="s">
        <v>578</v>
      </c>
      <c r="AE1303" s="1059" t="e">
        <v>#N/A</v>
      </c>
      <c r="AF1303" s="889" t="s">
        <v>459</v>
      </c>
      <c r="AG1303" s="889" t="s">
        <v>459</v>
      </c>
    </row>
    <row r="1304" spans="26:33" x14ac:dyDescent="0.35">
      <c r="Z1304" s="344">
        <v>3717</v>
      </c>
      <c r="AA1304" s="344" t="s">
        <v>574</v>
      </c>
      <c r="AB1304" s="344">
        <v>4</v>
      </c>
      <c r="AC1304" s="344" t="s">
        <v>464</v>
      </c>
      <c r="AD1304" s="1058" t="s">
        <v>578</v>
      </c>
      <c r="AE1304" s="1059">
        <v>288839</v>
      </c>
      <c r="AF1304" s="889" t="s">
        <v>459</v>
      </c>
      <c r="AG1304" s="889" t="s">
        <v>459</v>
      </c>
    </row>
    <row r="1305" spans="26:33" x14ac:dyDescent="0.35">
      <c r="Z1305" s="344">
        <v>3718</v>
      </c>
      <c r="AA1305" s="344" t="s">
        <v>574</v>
      </c>
      <c r="AB1305" s="344">
        <v>4</v>
      </c>
      <c r="AC1305" s="344" t="e">
        <v>#N/A</v>
      </c>
      <c r="AD1305" s="1058" t="s">
        <v>578</v>
      </c>
      <c r="AE1305" s="1059" t="e">
        <v>#N/A</v>
      </c>
      <c r="AF1305" s="889" t="s">
        <v>459</v>
      </c>
      <c r="AG1305" s="889" t="s">
        <v>459</v>
      </c>
    </row>
    <row r="1306" spans="26:33" x14ac:dyDescent="0.35">
      <c r="Z1306" s="344">
        <v>3719</v>
      </c>
      <c r="AA1306" s="344" t="s">
        <v>574</v>
      </c>
      <c r="AB1306" s="344">
        <v>4</v>
      </c>
      <c r="AC1306" s="344" t="e">
        <v>#N/A</v>
      </c>
      <c r="AD1306" s="1058" t="s">
        <v>578</v>
      </c>
      <c r="AE1306" s="1059" t="e">
        <v>#N/A</v>
      </c>
      <c r="AF1306" s="889" t="s">
        <v>459</v>
      </c>
      <c r="AG1306" s="889" t="s">
        <v>459</v>
      </c>
    </row>
    <row r="1307" spans="26:33" x14ac:dyDescent="0.35">
      <c r="Z1307" s="344">
        <v>3720</v>
      </c>
      <c r="AA1307" s="344" t="s">
        <v>574</v>
      </c>
      <c r="AB1307" s="344">
        <v>4</v>
      </c>
      <c r="AC1307" s="344" t="s">
        <v>471</v>
      </c>
      <c r="AD1307" s="1058" t="s">
        <v>578</v>
      </c>
      <c r="AE1307" s="1059">
        <v>315472</v>
      </c>
      <c r="AF1307" s="889" t="s">
        <v>459</v>
      </c>
      <c r="AG1307" s="889" t="s">
        <v>459</v>
      </c>
    </row>
    <row r="1308" spans="26:33" x14ac:dyDescent="0.35">
      <c r="Z1308" s="344">
        <v>3722</v>
      </c>
      <c r="AA1308" s="344" t="s">
        <v>574</v>
      </c>
      <c r="AB1308" s="344">
        <v>4</v>
      </c>
      <c r="AC1308" s="344" t="s">
        <v>471</v>
      </c>
      <c r="AD1308" s="1058" t="s">
        <v>578</v>
      </c>
      <c r="AE1308" s="1059">
        <v>367742</v>
      </c>
      <c r="AF1308" s="889" t="s">
        <v>459</v>
      </c>
      <c r="AG1308" s="889" t="s">
        <v>459</v>
      </c>
    </row>
    <row r="1309" spans="26:33" x14ac:dyDescent="0.35">
      <c r="Z1309" s="344">
        <v>3723</v>
      </c>
      <c r="AA1309" s="344" t="s">
        <v>574</v>
      </c>
      <c r="AB1309" s="344">
        <v>4</v>
      </c>
      <c r="AC1309" s="344" t="s">
        <v>464</v>
      </c>
      <c r="AD1309" s="1058" t="s">
        <v>578</v>
      </c>
      <c r="AE1309" s="1059">
        <v>266092</v>
      </c>
      <c r="AF1309" s="889" t="s">
        <v>459</v>
      </c>
      <c r="AG1309" s="889" t="s">
        <v>459</v>
      </c>
    </row>
    <row r="1310" spans="26:33" x14ac:dyDescent="0.35">
      <c r="Z1310" s="344">
        <v>3724</v>
      </c>
      <c r="AA1310" s="344" t="s">
        <v>574</v>
      </c>
      <c r="AB1310" s="344">
        <v>4</v>
      </c>
      <c r="AC1310" s="344" t="e">
        <v>#N/A</v>
      </c>
      <c r="AD1310" s="1058" t="s">
        <v>578</v>
      </c>
      <c r="AE1310" s="1059" t="e">
        <v>#N/A</v>
      </c>
      <c r="AF1310" s="889" t="s">
        <v>459</v>
      </c>
      <c r="AG1310" s="889" t="s">
        <v>459</v>
      </c>
    </row>
    <row r="1311" spans="26:33" x14ac:dyDescent="0.35">
      <c r="Z1311" s="344">
        <v>3725</v>
      </c>
      <c r="AA1311" s="344" t="s">
        <v>574</v>
      </c>
      <c r="AB1311" s="344">
        <v>4</v>
      </c>
      <c r="AC1311" s="344" t="e">
        <v>#N/A</v>
      </c>
      <c r="AD1311" s="1058" t="s">
        <v>578</v>
      </c>
      <c r="AE1311" s="1059" t="e">
        <v>#N/A</v>
      </c>
      <c r="AF1311" s="889" t="s">
        <v>459</v>
      </c>
      <c r="AG1311" s="889" t="s">
        <v>459</v>
      </c>
    </row>
    <row r="1312" spans="26:33" x14ac:dyDescent="0.35">
      <c r="Z1312" s="344">
        <v>3726</v>
      </c>
      <c r="AA1312" s="344" t="s">
        <v>574</v>
      </c>
      <c r="AB1312" s="344">
        <v>4</v>
      </c>
      <c r="AC1312" s="344" t="e">
        <v>#N/A</v>
      </c>
      <c r="AD1312" s="1058" t="s">
        <v>578</v>
      </c>
      <c r="AE1312" s="1059" t="e">
        <v>#N/A</v>
      </c>
      <c r="AF1312" s="889" t="s">
        <v>459</v>
      </c>
      <c r="AG1312" s="889" t="s">
        <v>459</v>
      </c>
    </row>
    <row r="1313" spans="26:33" x14ac:dyDescent="0.35">
      <c r="Z1313" s="344">
        <v>3727</v>
      </c>
      <c r="AA1313" s="344" t="s">
        <v>574</v>
      </c>
      <c r="AB1313" s="344">
        <v>4</v>
      </c>
      <c r="AC1313" s="344" t="e">
        <v>#N/A</v>
      </c>
      <c r="AD1313" s="1058" t="s">
        <v>578</v>
      </c>
      <c r="AE1313" s="1059" t="e">
        <v>#N/A</v>
      </c>
      <c r="AF1313" s="889" t="s">
        <v>459</v>
      </c>
      <c r="AG1313" s="889" t="s">
        <v>459</v>
      </c>
    </row>
    <row r="1314" spans="26:33" x14ac:dyDescent="0.35">
      <c r="Z1314" s="344">
        <v>3728</v>
      </c>
      <c r="AA1314" s="344" t="s">
        <v>574</v>
      </c>
      <c r="AB1314" s="344">
        <v>4</v>
      </c>
      <c r="AC1314" s="344" t="s">
        <v>464</v>
      </c>
      <c r="AD1314" s="1058" t="s">
        <v>578</v>
      </c>
      <c r="AE1314" s="1059">
        <v>161223</v>
      </c>
      <c r="AF1314" s="889" t="s">
        <v>459</v>
      </c>
      <c r="AG1314" s="889" t="s">
        <v>459</v>
      </c>
    </row>
    <row r="1315" spans="26:33" x14ac:dyDescent="0.35">
      <c r="Z1315" s="344">
        <v>3730</v>
      </c>
      <c r="AA1315" s="344" t="s">
        <v>574</v>
      </c>
      <c r="AB1315" s="344">
        <v>3</v>
      </c>
      <c r="AC1315" s="344" t="s">
        <v>471</v>
      </c>
      <c r="AD1315" s="1058" t="s">
        <v>576</v>
      </c>
      <c r="AE1315" s="1059">
        <v>402658</v>
      </c>
      <c r="AF1315" s="889" t="s">
        <v>459</v>
      </c>
      <c r="AG1315" s="889" t="s">
        <v>459</v>
      </c>
    </row>
    <row r="1316" spans="26:33" x14ac:dyDescent="0.35">
      <c r="Z1316" s="344">
        <v>3732</v>
      </c>
      <c r="AA1316" s="344" t="s">
        <v>574</v>
      </c>
      <c r="AB1316" s="344">
        <v>4</v>
      </c>
      <c r="AC1316" s="344" t="s">
        <v>464</v>
      </c>
      <c r="AD1316" s="1058" t="s">
        <v>578</v>
      </c>
      <c r="AE1316" s="1059">
        <v>190762</v>
      </c>
      <c r="AF1316" s="889" t="s">
        <v>459</v>
      </c>
      <c r="AG1316" s="889" t="s">
        <v>459</v>
      </c>
    </row>
    <row r="1317" spans="26:33" x14ac:dyDescent="0.35">
      <c r="Z1317" s="344">
        <v>3733</v>
      </c>
      <c r="AA1317" s="344" t="s">
        <v>574</v>
      </c>
      <c r="AB1317" s="344">
        <v>4</v>
      </c>
      <c r="AC1317" s="344" t="e">
        <v>#N/A</v>
      </c>
      <c r="AD1317" s="1058" t="s">
        <v>578</v>
      </c>
      <c r="AE1317" s="1059" t="e">
        <v>#N/A</v>
      </c>
      <c r="AF1317" s="889" t="s">
        <v>459</v>
      </c>
      <c r="AG1317" s="889" t="s">
        <v>459</v>
      </c>
    </row>
    <row r="1318" spans="26:33" x14ac:dyDescent="0.35">
      <c r="Z1318" s="344">
        <v>3735</v>
      </c>
      <c r="AA1318" s="344" t="s">
        <v>574</v>
      </c>
      <c r="AB1318" s="344">
        <v>4</v>
      </c>
      <c r="AC1318" s="344" t="e">
        <v>#N/A</v>
      </c>
      <c r="AD1318" s="1058" t="s">
        <v>578</v>
      </c>
      <c r="AE1318" s="1059" t="e">
        <v>#N/A</v>
      </c>
      <c r="AF1318" s="889" t="s">
        <v>459</v>
      </c>
      <c r="AG1318" s="889" t="s">
        <v>459</v>
      </c>
    </row>
    <row r="1319" spans="26:33" x14ac:dyDescent="0.35">
      <c r="Z1319" s="344">
        <v>3736</v>
      </c>
      <c r="AA1319" s="344" t="s">
        <v>574</v>
      </c>
      <c r="AB1319" s="344">
        <v>4</v>
      </c>
      <c r="AC1319" s="344" t="e">
        <v>#N/A</v>
      </c>
      <c r="AD1319" s="1058" t="s">
        <v>578</v>
      </c>
      <c r="AE1319" s="1059" t="e">
        <v>#N/A</v>
      </c>
      <c r="AF1319" s="889" t="s">
        <v>459</v>
      </c>
      <c r="AG1319" s="889" t="s">
        <v>459</v>
      </c>
    </row>
    <row r="1320" spans="26:33" x14ac:dyDescent="0.35">
      <c r="Z1320" s="344">
        <v>3737</v>
      </c>
      <c r="AA1320" s="344" t="s">
        <v>574</v>
      </c>
      <c r="AB1320" s="344">
        <v>4</v>
      </c>
      <c r="AC1320" s="344" t="s">
        <v>464</v>
      </c>
      <c r="AD1320" s="1058" t="s">
        <v>578</v>
      </c>
      <c r="AE1320" s="1059">
        <v>267688</v>
      </c>
      <c r="AF1320" s="889" t="s">
        <v>459</v>
      </c>
      <c r="AG1320" s="889" t="s">
        <v>459</v>
      </c>
    </row>
    <row r="1321" spans="26:33" x14ac:dyDescent="0.35">
      <c r="Z1321" s="344">
        <v>3738</v>
      </c>
      <c r="AA1321" s="344" t="s">
        <v>574</v>
      </c>
      <c r="AB1321" s="344">
        <v>4</v>
      </c>
      <c r="AC1321" s="344" t="e">
        <v>#N/A</v>
      </c>
      <c r="AD1321" s="1058" t="s">
        <v>578</v>
      </c>
      <c r="AE1321" s="1059" t="e">
        <v>#N/A</v>
      </c>
      <c r="AF1321" s="889" t="s">
        <v>459</v>
      </c>
      <c r="AG1321" s="889" t="s">
        <v>459</v>
      </c>
    </row>
    <row r="1322" spans="26:33" x14ac:dyDescent="0.35">
      <c r="Z1322" s="344">
        <v>3739</v>
      </c>
      <c r="AA1322" s="344" t="s">
        <v>574</v>
      </c>
      <c r="AB1322" s="344">
        <v>4</v>
      </c>
      <c r="AC1322" s="344" t="e">
        <v>#N/A</v>
      </c>
      <c r="AD1322" s="1058" t="s">
        <v>578</v>
      </c>
      <c r="AE1322" s="1059" t="e">
        <v>#N/A</v>
      </c>
      <c r="AF1322" s="889" t="s">
        <v>459</v>
      </c>
      <c r="AG1322" s="889" t="s">
        <v>459</v>
      </c>
    </row>
    <row r="1323" spans="26:33" x14ac:dyDescent="0.35">
      <c r="Z1323" s="344">
        <v>3740</v>
      </c>
      <c r="AA1323" s="344" t="s">
        <v>574</v>
      </c>
      <c r="AB1323" s="344">
        <v>4</v>
      </c>
      <c r="AC1323" s="344" t="s">
        <v>471</v>
      </c>
      <c r="AD1323" s="1058" t="s">
        <v>578</v>
      </c>
      <c r="AE1323" s="1059">
        <v>328522</v>
      </c>
      <c r="AF1323" s="889" t="s">
        <v>459</v>
      </c>
      <c r="AG1323" s="889" t="s">
        <v>459</v>
      </c>
    </row>
    <row r="1324" spans="26:33" x14ac:dyDescent="0.35">
      <c r="Z1324" s="344">
        <v>3741</v>
      </c>
      <c r="AA1324" s="344" t="s">
        <v>574</v>
      </c>
      <c r="AB1324" s="344">
        <v>4</v>
      </c>
      <c r="AC1324" s="344" t="s">
        <v>471</v>
      </c>
      <c r="AD1324" s="1058" t="s">
        <v>578</v>
      </c>
      <c r="AE1324" s="1059">
        <v>396202</v>
      </c>
      <c r="AF1324" s="889" t="s">
        <v>459</v>
      </c>
      <c r="AG1324" s="889" t="s">
        <v>459</v>
      </c>
    </row>
    <row r="1325" spans="26:33" x14ac:dyDescent="0.35">
      <c r="Z1325" s="344">
        <v>3744</v>
      </c>
      <c r="AA1325" s="344" t="s">
        <v>574</v>
      </c>
      <c r="AB1325" s="344">
        <v>4</v>
      </c>
      <c r="AC1325" s="344" t="s">
        <v>471</v>
      </c>
      <c r="AD1325" s="1058" t="s">
        <v>578</v>
      </c>
      <c r="AE1325" s="1059">
        <v>427115</v>
      </c>
      <c r="AF1325" s="889" t="s">
        <v>459</v>
      </c>
      <c r="AG1325" s="889" t="s">
        <v>459</v>
      </c>
    </row>
    <row r="1326" spans="26:33" x14ac:dyDescent="0.35">
      <c r="Z1326" s="344">
        <v>3746</v>
      </c>
      <c r="AA1326" s="344" t="s">
        <v>574</v>
      </c>
      <c r="AB1326" s="344">
        <v>4</v>
      </c>
      <c r="AC1326" s="344" t="s">
        <v>464</v>
      </c>
      <c r="AD1326" s="1058" t="s">
        <v>578</v>
      </c>
      <c r="AE1326" s="1059">
        <v>243468</v>
      </c>
      <c r="AF1326" s="889" t="s">
        <v>459</v>
      </c>
      <c r="AG1326" s="889" t="s">
        <v>459</v>
      </c>
    </row>
    <row r="1327" spans="26:33" x14ac:dyDescent="0.35">
      <c r="Z1327" s="344">
        <v>3747</v>
      </c>
      <c r="AA1327" s="344" t="s">
        <v>574</v>
      </c>
      <c r="AB1327" s="344">
        <v>4</v>
      </c>
      <c r="AC1327" s="344" t="s">
        <v>471</v>
      </c>
      <c r="AD1327" s="1058" t="s">
        <v>578</v>
      </c>
      <c r="AE1327" s="1059">
        <v>332863</v>
      </c>
      <c r="AF1327" s="889" t="s">
        <v>459</v>
      </c>
      <c r="AG1327" s="889" t="s">
        <v>459</v>
      </c>
    </row>
    <row r="1328" spans="26:33" x14ac:dyDescent="0.35">
      <c r="Z1328" s="344">
        <v>3749</v>
      </c>
      <c r="AA1328" s="344" t="s">
        <v>574</v>
      </c>
      <c r="AB1328" s="344">
        <v>4</v>
      </c>
      <c r="AC1328" s="344" t="s">
        <v>471</v>
      </c>
      <c r="AD1328" s="1058" t="s">
        <v>578</v>
      </c>
      <c r="AE1328" s="1059">
        <v>330652</v>
      </c>
      <c r="AF1328" s="889" t="s">
        <v>459</v>
      </c>
      <c r="AG1328" s="889" t="s">
        <v>459</v>
      </c>
    </row>
    <row r="1329" spans="26:33" x14ac:dyDescent="0.35">
      <c r="Z1329" s="344">
        <v>3750</v>
      </c>
      <c r="AA1329" s="344" t="s">
        <v>574</v>
      </c>
      <c r="AB1329" s="344">
        <v>1</v>
      </c>
      <c r="AC1329" s="344" t="s">
        <v>471</v>
      </c>
      <c r="AD1329" s="1058" t="s">
        <v>575</v>
      </c>
      <c r="AE1329" s="1059">
        <v>391995</v>
      </c>
      <c r="AF1329" s="889" t="s">
        <v>459</v>
      </c>
      <c r="AG1329" s="889" t="s">
        <v>459</v>
      </c>
    </row>
    <row r="1330" spans="26:33" x14ac:dyDescent="0.35">
      <c r="Z1330" s="344">
        <v>3751</v>
      </c>
      <c r="AA1330" s="344" t="s">
        <v>574</v>
      </c>
      <c r="AB1330" s="344">
        <v>2</v>
      </c>
      <c r="AC1330" s="344" t="e">
        <v>#N/A</v>
      </c>
      <c r="AD1330" s="1058" t="s">
        <v>577</v>
      </c>
      <c r="AE1330" s="1059" t="e">
        <v>#N/A</v>
      </c>
      <c r="AF1330" s="889" t="s">
        <v>459</v>
      </c>
      <c r="AG1330" s="889" t="s">
        <v>459</v>
      </c>
    </row>
    <row r="1331" spans="26:33" x14ac:dyDescent="0.35">
      <c r="Z1331" s="344">
        <v>3752</v>
      </c>
      <c r="AA1331" s="344" t="s">
        <v>574</v>
      </c>
      <c r="AB1331" s="344">
        <v>1</v>
      </c>
      <c r="AC1331" s="344" t="s">
        <v>471</v>
      </c>
      <c r="AD1331" s="1058" t="s">
        <v>575</v>
      </c>
      <c r="AE1331" s="1059">
        <v>431086</v>
      </c>
      <c r="AF1331" s="889" t="s">
        <v>459</v>
      </c>
      <c r="AG1331" s="889" t="s">
        <v>459</v>
      </c>
    </row>
    <row r="1332" spans="26:33" x14ac:dyDescent="0.35">
      <c r="Z1332" s="344">
        <v>3753</v>
      </c>
      <c r="AA1332" s="344" t="s">
        <v>574</v>
      </c>
      <c r="AB1332" s="344">
        <v>2</v>
      </c>
      <c r="AC1332" s="344" t="s">
        <v>471</v>
      </c>
      <c r="AD1332" s="1058" t="s">
        <v>577</v>
      </c>
      <c r="AE1332" s="1059">
        <v>415253</v>
      </c>
      <c r="AF1332" s="889" t="s">
        <v>459</v>
      </c>
      <c r="AG1332" s="889" t="s">
        <v>459</v>
      </c>
    </row>
    <row r="1333" spans="26:33" x14ac:dyDescent="0.35">
      <c r="Z1333" s="344">
        <v>3754</v>
      </c>
      <c r="AA1333" s="344" t="s">
        <v>574</v>
      </c>
      <c r="AB1333" s="344">
        <v>1</v>
      </c>
      <c r="AC1333" s="344" t="s">
        <v>471</v>
      </c>
      <c r="AD1333" s="1058" t="s">
        <v>575</v>
      </c>
      <c r="AE1333" s="1059">
        <v>419311</v>
      </c>
      <c r="AF1333" s="889" t="s">
        <v>459</v>
      </c>
      <c r="AG1333" s="889" t="s">
        <v>459</v>
      </c>
    </row>
    <row r="1334" spans="26:33" x14ac:dyDescent="0.35">
      <c r="Z1334" s="344">
        <v>3755</v>
      </c>
      <c r="AA1334" s="344" t="s">
        <v>574</v>
      </c>
      <c r="AB1334" s="344">
        <v>2</v>
      </c>
      <c r="AC1334" s="344" t="s">
        <v>471</v>
      </c>
      <c r="AD1334" s="1058" t="s">
        <v>577</v>
      </c>
      <c r="AE1334" s="1059">
        <v>442232</v>
      </c>
      <c r="AF1334" s="889" t="s">
        <v>459</v>
      </c>
      <c r="AG1334" s="889" t="s">
        <v>459</v>
      </c>
    </row>
    <row r="1335" spans="26:33" x14ac:dyDescent="0.35">
      <c r="Z1335" s="344">
        <v>3756</v>
      </c>
      <c r="AA1335" s="344" t="s">
        <v>574</v>
      </c>
      <c r="AB1335" s="344">
        <v>2</v>
      </c>
      <c r="AC1335" s="344" t="s">
        <v>471</v>
      </c>
      <c r="AD1335" s="1058" t="s">
        <v>577</v>
      </c>
      <c r="AE1335" s="1059">
        <v>367161</v>
      </c>
      <c r="AF1335" s="889" t="s">
        <v>459</v>
      </c>
      <c r="AG1335" s="889" t="s">
        <v>459</v>
      </c>
    </row>
    <row r="1336" spans="26:33" x14ac:dyDescent="0.35">
      <c r="Z1336" s="344">
        <v>3757</v>
      </c>
      <c r="AA1336" s="344" t="s">
        <v>574</v>
      </c>
      <c r="AB1336" s="344">
        <v>2</v>
      </c>
      <c r="AC1336" s="344" t="s">
        <v>457</v>
      </c>
      <c r="AD1336" s="1058" t="s">
        <v>577</v>
      </c>
      <c r="AE1336" s="1059">
        <v>457005</v>
      </c>
      <c r="AF1336" s="889" t="s">
        <v>459</v>
      </c>
      <c r="AG1336" s="889" t="s">
        <v>459</v>
      </c>
    </row>
    <row r="1337" spans="26:33" x14ac:dyDescent="0.35">
      <c r="Z1337" s="344">
        <v>3758</v>
      </c>
      <c r="AA1337" s="344" t="s">
        <v>574</v>
      </c>
      <c r="AB1337" s="344">
        <v>3</v>
      </c>
      <c r="AC1337" s="344" t="s">
        <v>471</v>
      </c>
      <c r="AD1337" s="1058" t="s">
        <v>576</v>
      </c>
      <c r="AE1337" s="1059">
        <v>427480</v>
      </c>
      <c r="AF1337" s="889" t="s">
        <v>459</v>
      </c>
      <c r="AG1337" s="889" t="s">
        <v>459</v>
      </c>
    </row>
    <row r="1338" spans="26:33" x14ac:dyDescent="0.35">
      <c r="Z1338" s="344">
        <v>3759</v>
      </c>
      <c r="AA1338" s="344" t="s">
        <v>574</v>
      </c>
      <c r="AB1338" s="344">
        <v>2</v>
      </c>
      <c r="AC1338" s="344" t="s">
        <v>457</v>
      </c>
      <c r="AD1338" s="1058" t="s">
        <v>577</v>
      </c>
      <c r="AE1338" s="1059">
        <v>711801</v>
      </c>
      <c r="AF1338" s="889" t="s">
        <v>459</v>
      </c>
      <c r="AG1338" s="889" t="s">
        <v>459</v>
      </c>
    </row>
    <row r="1339" spans="26:33" x14ac:dyDescent="0.35">
      <c r="Z1339" s="344">
        <v>3760</v>
      </c>
      <c r="AA1339" s="344" t="s">
        <v>574</v>
      </c>
      <c r="AB1339" s="344">
        <v>2</v>
      </c>
      <c r="AC1339" s="344" t="s">
        <v>479</v>
      </c>
      <c r="AD1339" s="1058" t="s">
        <v>577</v>
      </c>
      <c r="AE1339" s="1059">
        <v>898254</v>
      </c>
      <c r="AF1339" s="889" t="s">
        <v>459</v>
      </c>
      <c r="AG1339" s="889" t="s">
        <v>459</v>
      </c>
    </row>
    <row r="1340" spans="26:33" x14ac:dyDescent="0.35">
      <c r="Z1340" s="344">
        <v>3761</v>
      </c>
      <c r="AA1340" s="344" t="s">
        <v>574</v>
      </c>
      <c r="AB1340" s="344">
        <v>2</v>
      </c>
      <c r="AC1340" s="344" t="s">
        <v>457</v>
      </c>
      <c r="AD1340" s="1058" t="s">
        <v>577</v>
      </c>
      <c r="AE1340" s="1059">
        <v>544860</v>
      </c>
      <c r="AF1340" s="889" t="s">
        <v>459</v>
      </c>
      <c r="AG1340" s="889" t="s">
        <v>459</v>
      </c>
    </row>
    <row r="1341" spans="26:33" x14ac:dyDescent="0.35">
      <c r="Z1341" s="344">
        <v>3762</v>
      </c>
      <c r="AA1341" s="344" t="s">
        <v>574</v>
      </c>
      <c r="AB1341" s="344">
        <v>4</v>
      </c>
      <c r="AC1341" s="344" t="e">
        <v>#N/A</v>
      </c>
      <c r="AD1341" s="1058" t="s">
        <v>578</v>
      </c>
      <c r="AE1341" s="1059" t="e">
        <v>#N/A</v>
      </c>
      <c r="AF1341" s="889" t="s">
        <v>459</v>
      </c>
      <c r="AG1341" s="889" t="s">
        <v>459</v>
      </c>
    </row>
    <row r="1342" spans="26:33" x14ac:dyDescent="0.35">
      <c r="Z1342" s="344">
        <v>3763</v>
      </c>
      <c r="AA1342" s="344" t="s">
        <v>574</v>
      </c>
      <c r="AB1342" s="344">
        <v>2</v>
      </c>
      <c r="AC1342" s="344" t="s">
        <v>471</v>
      </c>
      <c r="AD1342" s="1058" t="s">
        <v>577</v>
      </c>
      <c r="AE1342" s="1059">
        <v>357161</v>
      </c>
      <c r="AF1342" s="889" t="s">
        <v>459</v>
      </c>
      <c r="AG1342" s="889" t="s">
        <v>459</v>
      </c>
    </row>
    <row r="1343" spans="26:33" x14ac:dyDescent="0.35">
      <c r="Z1343" s="344">
        <v>3764</v>
      </c>
      <c r="AA1343" s="344" t="s">
        <v>574</v>
      </c>
      <c r="AB1343" s="344">
        <v>3</v>
      </c>
      <c r="AC1343" s="344" t="s">
        <v>471</v>
      </c>
      <c r="AD1343" s="1058" t="s">
        <v>576</v>
      </c>
      <c r="AE1343" s="1059">
        <v>396445</v>
      </c>
      <c r="AF1343" s="889" t="s">
        <v>459</v>
      </c>
      <c r="AG1343" s="889" t="s">
        <v>459</v>
      </c>
    </row>
    <row r="1344" spans="26:33" x14ac:dyDescent="0.35">
      <c r="Z1344" s="344">
        <v>3765</v>
      </c>
      <c r="AA1344" s="344" t="s">
        <v>574</v>
      </c>
      <c r="AB1344" s="344">
        <v>1</v>
      </c>
      <c r="AC1344" s="344" t="s">
        <v>457</v>
      </c>
      <c r="AD1344" s="1058" t="s">
        <v>575</v>
      </c>
      <c r="AE1344" s="1059">
        <v>485374</v>
      </c>
      <c r="AF1344" s="889" t="s">
        <v>459</v>
      </c>
      <c r="AG1344" s="889" t="s">
        <v>459</v>
      </c>
    </row>
    <row r="1345" spans="26:33" x14ac:dyDescent="0.35">
      <c r="Z1345" s="344">
        <v>3766</v>
      </c>
      <c r="AA1345" s="344" t="s">
        <v>574</v>
      </c>
      <c r="AB1345" s="344">
        <v>1</v>
      </c>
      <c r="AC1345" s="344" t="s">
        <v>457</v>
      </c>
      <c r="AD1345" s="1058" t="s">
        <v>575</v>
      </c>
      <c r="AE1345" s="1059">
        <v>498015</v>
      </c>
      <c r="AF1345" s="889" t="s">
        <v>459</v>
      </c>
      <c r="AG1345" s="889" t="s">
        <v>459</v>
      </c>
    </row>
    <row r="1346" spans="26:33" x14ac:dyDescent="0.35">
      <c r="Z1346" s="344">
        <v>3767</v>
      </c>
      <c r="AA1346" s="344" t="s">
        <v>574</v>
      </c>
      <c r="AB1346" s="344">
        <v>1</v>
      </c>
      <c r="AC1346" s="344" t="s">
        <v>457</v>
      </c>
      <c r="AD1346" s="1058" t="s">
        <v>575</v>
      </c>
      <c r="AE1346" s="1059">
        <v>584003</v>
      </c>
      <c r="AF1346" s="889" t="s">
        <v>460</v>
      </c>
      <c r="AG1346" s="889"/>
    </row>
    <row r="1347" spans="26:33" x14ac:dyDescent="0.35">
      <c r="Z1347" s="344">
        <v>3770</v>
      </c>
      <c r="AA1347" s="344" t="s">
        <v>574</v>
      </c>
      <c r="AB1347" s="344">
        <v>2</v>
      </c>
      <c r="AC1347" s="344" t="s">
        <v>457</v>
      </c>
      <c r="AD1347" s="1058" t="s">
        <v>577</v>
      </c>
      <c r="AE1347" s="1059">
        <v>603685</v>
      </c>
      <c r="AF1347" s="889" t="s">
        <v>459</v>
      </c>
      <c r="AG1347" s="889" t="s">
        <v>459</v>
      </c>
    </row>
    <row r="1348" spans="26:33" x14ac:dyDescent="0.35">
      <c r="Z1348" s="344">
        <v>3775</v>
      </c>
      <c r="AA1348" s="344" t="s">
        <v>574</v>
      </c>
      <c r="AB1348" s="344">
        <v>2</v>
      </c>
      <c r="AC1348" s="344" t="s">
        <v>457</v>
      </c>
      <c r="AD1348" s="1058" t="s">
        <v>577</v>
      </c>
      <c r="AE1348" s="1059">
        <v>484685</v>
      </c>
      <c r="AF1348" s="889" t="s">
        <v>460</v>
      </c>
      <c r="AG1348" s="889" t="s">
        <v>459</v>
      </c>
    </row>
    <row r="1349" spans="26:33" x14ac:dyDescent="0.35">
      <c r="Z1349" s="344">
        <v>3777</v>
      </c>
      <c r="AA1349" s="344" t="s">
        <v>574</v>
      </c>
      <c r="AB1349" s="344">
        <v>2</v>
      </c>
      <c r="AC1349" s="344" t="s">
        <v>471</v>
      </c>
      <c r="AD1349" s="1058" t="s">
        <v>577</v>
      </c>
      <c r="AE1349" s="1059">
        <v>364767</v>
      </c>
      <c r="AF1349" s="889" t="s">
        <v>459</v>
      </c>
      <c r="AG1349" s="889" t="s">
        <v>459</v>
      </c>
    </row>
    <row r="1350" spans="26:33" x14ac:dyDescent="0.35">
      <c r="Z1350" s="344">
        <v>3778</v>
      </c>
      <c r="AA1350" s="344" t="s">
        <v>574</v>
      </c>
      <c r="AB1350" s="344">
        <v>4</v>
      </c>
      <c r="AC1350" s="344" t="e">
        <v>#N/A</v>
      </c>
      <c r="AD1350" s="1058" t="s">
        <v>578</v>
      </c>
      <c r="AE1350" s="1059" t="e">
        <v>#N/A</v>
      </c>
      <c r="AF1350" s="889" t="s">
        <v>459</v>
      </c>
      <c r="AG1350" s="889" t="s">
        <v>459</v>
      </c>
    </row>
    <row r="1351" spans="26:33" x14ac:dyDescent="0.35">
      <c r="Z1351" s="344">
        <v>3779</v>
      </c>
      <c r="AA1351" s="344" t="s">
        <v>574</v>
      </c>
      <c r="AB1351" s="344">
        <v>4</v>
      </c>
      <c r="AC1351" s="344" t="e">
        <v>#N/A</v>
      </c>
      <c r="AD1351" s="1058" t="s">
        <v>578</v>
      </c>
      <c r="AE1351" s="1059" t="e">
        <v>#N/A</v>
      </c>
      <c r="AF1351" s="889" t="s">
        <v>459</v>
      </c>
      <c r="AG1351" s="889" t="s">
        <v>459</v>
      </c>
    </row>
    <row r="1352" spans="26:33" x14ac:dyDescent="0.35">
      <c r="Z1352" s="344">
        <v>3781</v>
      </c>
      <c r="AA1352" s="344" t="s">
        <v>574</v>
      </c>
      <c r="AB1352" s="344">
        <v>1</v>
      </c>
      <c r="AC1352" s="344" t="s">
        <v>471</v>
      </c>
      <c r="AD1352" s="1058" t="s">
        <v>575</v>
      </c>
      <c r="AE1352" s="1059">
        <v>347282</v>
      </c>
      <c r="AF1352" s="889" t="s">
        <v>459</v>
      </c>
      <c r="AG1352" s="889" t="s">
        <v>459</v>
      </c>
    </row>
    <row r="1353" spans="26:33" x14ac:dyDescent="0.35">
      <c r="Z1353" s="344">
        <v>3782</v>
      </c>
      <c r="AA1353" s="344" t="s">
        <v>574</v>
      </c>
      <c r="AB1353" s="344">
        <v>1</v>
      </c>
      <c r="AC1353" s="344" t="s">
        <v>457</v>
      </c>
      <c r="AD1353" s="1058" t="s">
        <v>575</v>
      </c>
      <c r="AE1353" s="1059">
        <v>451669</v>
      </c>
      <c r="AF1353" s="889" t="s">
        <v>459</v>
      </c>
      <c r="AG1353" s="889" t="s">
        <v>459</v>
      </c>
    </row>
    <row r="1354" spans="26:33" x14ac:dyDescent="0.35">
      <c r="Z1354" s="344">
        <v>3783</v>
      </c>
      <c r="AA1354" s="344" t="s">
        <v>574</v>
      </c>
      <c r="AB1354" s="344">
        <v>1</v>
      </c>
      <c r="AC1354" s="344" t="s">
        <v>471</v>
      </c>
      <c r="AD1354" s="1058" t="s">
        <v>575</v>
      </c>
      <c r="AE1354" s="1059">
        <v>411830</v>
      </c>
      <c r="AF1354" s="889" t="s">
        <v>459</v>
      </c>
      <c r="AG1354" s="889" t="s">
        <v>459</v>
      </c>
    </row>
    <row r="1355" spans="26:33" x14ac:dyDescent="0.35">
      <c r="Z1355" s="344">
        <v>3784</v>
      </c>
      <c r="AA1355" s="344" t="s">
        <v>574</v>
      </c>
      <c r="AB1355" s="344">
        <v>1</v>
      </c>
      <c r="AC1355" s="344" t="e">
        <v>#N/A</v>
      </c>
      <c r="AD1355" s="1058" t="s">
        <v>575</v>
      </c>
      <c r="AE1355" s="1059" t="e">
        <v>#N/A</v>
      </c>
      <c r="AF1355" s="889" t="s">
        <v>459</v>
      </c>
      <c r="AG1355" s="889" t="s">
        <v>459</v>
      </c>
    </row>
    <row r="1356" spans="26:33" x14ac:dyDescent="0.35">
      <c r="Z1356" s="344">
        <v>3785</v>
      </c>
      <c r="AA1356" s="344" t="s">
        <v>574</v>
      </c>
      <c r="AB1356" s="344">
        <v>1</v>
      </c>
      <c r="AC1356" s="344" t="e">
        <v>#N/A</v>
      </c>
      <c r="AD1356" s="1058" t="s">
        <v>575</v>
      </c>
      <c r="AE1356" s="1059" t="e">
        <v>#N/A</v>
      </c>
      <c r="AF1356" s="889" t="s">
        <v>459</v>
      </c>
      <c r="AG1356" s="889" t="s">
        <v>459</v>
      </c>
    </row>
    <row r="1357" spans="26:33" x14ac:dyDescent="0.35">
      <c r="Z1357" s="344">
        <v>3786</v>
      </c>
      <c r="AA1357" s="344" t="s">
        <v>574</v>
      </c>
      <c r="AB1357" s="344">
        <v>1</v>
      </c>
      <c r="AC1357" s="344" t="s">
        <v>457</v>
      </c>
      <c r="AD1357" s="1058" t="s">
        <v>575</v>
      </c>
      <c r="AE1357" s="1059">
        <v>542158</v>
      </c>
      <c r="AF1357" s="889" t="s">
        <v>459</v>
      </c>
      <c r="AG1357" s="889" t="s">
        <v>459</v>
      </c>
    </row>
    <row r="1358" spans="26:33" x14ac:dyDescent="0.35">
      <c r="Z1358" s="344">
        <v>3787</v>
      </c>
      <c r="AA1358" s="344" t="s">
        <v>574</v>
      </c>
      <c r="AB1358" s="344">
        <v>1</v>
      </c>
      <c r="AC1358" s="344" t="s">
        <v>457</v>
      </c>
      <c r="AD1358" s="1058" t="s">
        <v>575</v>
      </c>
      <c r="AE1358" s="1059">
        <v>584697</v>
      </c>
      <c r="AF1358" s="889" t="s">
        <v>459</v>
      </c>
      <c r="AG1358" s="889" t="s">
        <v>459</v>
      </c>
    </row>
    <row r="1359" spans="26:33" x14ac:dyDescent="0.35">
      <c r="Z1359" s="344">
        <v>3788</v>
      </c>
      <c r="AA1359" s="344" t="s">
        <v>574</v>
      </c>
      <c r="AB1359" s="344">
        <v>1</v>
      </c>
      <c r="AC1359" s="344" t="s">
        <v>457</v>
      </c>
      <c r="AD1359" s="1058" t="s">
        <v>575</v>
      </c>
      <c r="AE1359" s="1059">
        <v>550084</v>
      </c>
      <c r="AF1359" s="889" t="s">
        <v>460</v>
      </c>
      <c r="AG1359" s="889" t="s">
        <v>459</v>
      </c>
    </row>
    <row r="1360" spans="26:33" x14ac:dyDescent="0.35">
      <c r="Z1360" s="344">
        <v>3789</v>
      </c>
      <c r="AA1360" s="344" t="s">
        <v>574</v>
      </c>
      <c r="AB1360" s="344">
        <v>1</v>
      </c>
      <c r="AC1360" s="344" t="s">
        <v>457</v>
      </c>
      <c r="AD1360" s="1058" t="s">
        <v>575</v>
      </c>
      <c r="AE1360" s="1059">
        <v>631655</v>
      </c>
      <c r="AF1360" s="889" t="s">
        <v>459</v>
      </c>
      <c r="AG1360" s="889" t="s">
        <v>459</v>
      </c>
    </row>
    <row r="1361" spans="26:33" x14ac:dyDescent="0.35">
      <c r="Z1361" s="344">
        <v>3790</v>
      </c>
      <c r="AA1361" s="344" t="s">
        <v>574</v>
      </c>
      <c r="AB1361" s="344">
        <v>1</v>
      </c>
      <c r="AC1361" s="344" t="e">
        <v>#N/A</v>
      </c>
      <c r="AD1361" s="1058" t="s">
        <v>575</v>
      </c>
      <c r="AE1361" s="1059" t="e">
        <v>#N/A</v>
      </c>
      <c r="AF1361" s="889" t="s">
        <v>459</v>
      </c>
      <c r="AG1361" s="889" t="s">
        <v>459</v>
      </c>
    </row>
    <row r="1362" spans="26:33" x14ac:dyDescent="0.35">
      <c r="Z1362" s="344">
        <v>3791</v>
      </c>
      <c r="AA1362" s="344" t="s">
        <v>574</v>
      </c>
      <c r="AB1362" s="344">
        <v>1</v>
      </c>
      <c r="AC1362" s="344" t="s">
        <v>457</v>
      </c>
      <c r="AD1362" s="1058" t="s">
        <v>575</v>
      </c>
      <c r="AE1362" s="1059">
        <v>505191</v>
      </c>
      <c r="AF1362" s="889" t="s">
        <v>459</v>
      </c>
      <c r="AG1362" s="889" t="s">
        <v>459</v>
      </c>
    </row>
    <row r="1363" spans="26:33" x14ac:dyDescent="0.35">
      <c r="Z1363" s="344">
        <v>3792</v>
      </c>
      <c r="AA1363" s="344" t="s">
        <v>574</v>
      </c>
      <c r="AB1363" s="344">
        <v>1</v>
      </c>
      <c r="AC1363" s="344" t="s">
        <v>457</v>
      </c>
      <c r="AD1363" s="1058" t="s">
        <v>575</v>
      </c>
      <c r="AE1363" s="1059">
        <v>546315</v>
      </c>
      <c r="AF1363" s="889" t="s">
        <v>459</v>
      </c>
      <c r="AG1363" s="889" t="s">
        <v>459</v>
      </c>
    </row>
    <row r="1364" spans="26:33" x14ac:dyDescent="0.35">
      <c r="Z1364" s="344">
        <v>3793</v>
      </c>
      <c r="AA1364" s="344" t="s">
        <v>574</v>
      </c>
      <c r="AB1364" s="344">
        <v>1</v>
      </c>
      <c r="AC1364" s="344" t="s">
        <v>471</v>
      </c>
      <c r="AD1364" s="1058" t="s">
        <v>575</v>
      </c>
      <c r="AE1364" s="1059">
        <v>438484</v>
      </c>
      <c r="AF1364" s="889" t="s">
        <v>459</v>
      </c>
      <c r="AG1364" s="889" t="s">
        <v>459</v>
      </c>
    </row>
    <row r="1365" spans="26:33" x14ac:dyDescent="0.35">
      <c r="Z1365" s="344">
        <v>3794</v>
      </c>
      <c r="AA1365" s="344" t="s">
        <v>574</v>
      </c>
      <c r="AB1365" s="344">
        <v>1</v>
      </c>
      <c r="AC1365" s="344" t="e">
        <v>#N/A</v>
      </c>
      <c r="AD1365" s="1058" t="s">
        <v>575</v>
      </c>
      <c r="AE1365" s="1059" t="e">
        <v>#N/A</v>
      </c>
      <c r="AF1365" s="889" t="s">
        <v>459</v>
      </c>
      <c r="AG1365" s="889" t="s">
        <v>459</v>
      </c>
    </row>
    <row r="1366" spans="26:33" x14ac:dyDescent="0.35">
      <c r="Z1366" s="344">
        <v>3795</v>
      </c>
      <c r="AA1366" s="344" t="s">
        <v>574</v>
      </c>
      <c r="AB1366" s="344">
        <v>1</v>
      </c>
      <c r="AC1366" s="344" t="s">
        <v>457</v>
      </c>
      <c r="AD1366" s="1058" t="s">
        <v>575</v>
      </c>
      <c r="AE1366" s="1059">
        <v>475980</v>
      </c>
      <c r="AF1366" s="889" t="s">
        <v>459</v>
      </c>
      <c r="AG1366" s="889" t="s">
        <v>459</v>
      </c>
    </row>
    <row r="1367" spans="26:33" x14ac:dyDescent="0.35">
      <c r="Z1367" s="344">
        <v>3796</v>
      </c>
      <c r="AA1367" s="344" t="s">
        <v>574</v>
      </c>
      <c r="AB1367" s="344">
        <v>1</v>
      </c>
      <c r="AC1367" s="344" t="s">
        <v>471</v>
      </c>
      <c r="AD1367" s="1058" t="s">
        <v>575</v>
      </c>
      <c r="AE1367" s="1059">
        <v>444415</v>
      </c>
      <c r="AF1367" s="889" t="s">
        <v>459</v>
      </c>
      <c r="AG1367" s="889" t="s">
        <v>459</v>
      </c>
    </row>
    <row r="1368" spans="26:33" x14ac:dyDescent="0.35">
      <c r="Z1368" s="344">
        <v>3797</v>
      </c>
      <c r="AA1368" s="344" t="s">
        <v>574</v>
      </c>
      <c r="AB1368" s="344">
        <v>4</v>
      </c>
      <c r="AC1368" s="344" t="s">
        <v>471</v>
      </c>
      <c r="AD1368" s="1058" t="s">
        <v>578</v>
      </c>
      <c r="AE1368" s="1059">
        <v>370965</v>
      </c>
      <c r="AF1368" s="889" t="s">
        <v>459</v>
      </c>
      <c r="AG1368" s="889" t="s">
        <v>459</v>
      </c>
    </row>
    <row r="1369" spans="26:33" x14ac:dyDescent="0.35">
      <c r="Z1369" s="344">
        <v>3799</v>
      </c>
      <c r="AA1369" s="344" t="s">
        <v>574</v>
      </c>
      <c r="AB1369" s="344">
        <v>4</v>
      </c>
      <c r="AC1369" s="344" t="s">
        <v>464</v>
      </c>
      <c r="AD1369" s="1058" t="s">
        <v>578</v>
      </c>
      <c r="AE1369" s="1059">
        <v>295923</v>
      </c>
      <c r="AF1369" s="889" t="s">
        <v>459</v>
      </c>
      <c r="AG1369" s="889" t="s">
        <v>459</v>
      </c>
    </row>
    <row r="1370" spans="26:33" x14ac:dyDescent="0.35">
      <c r="Z1370" s="344">
        <v>3802</v>
      </c>
      <c r="AA1370" s="344" t="s">
        <v>574</v>
      </c>
      <c r="AB1370" s="344">
        <v>1</v>
      </c>
      <c r="AC1370" s="344" t="s">
        <v>471</v>
      </c>
      <c r="AD1370" s="1058" t="s">
        <v>575</v>
      </c>
      <c r="AE1370" s="1059">
        <v>417920</v>
      </c>
      <c r="AF1370" s="889" t="s">
        <v>459</v>
      </c>
      <c r="AG1370" s="889" t="s">
        <v>459</v>
      </c>
    </row>
    <row r="1371" spans="26:33" x14ac:dyDescent="0.35">
      <c r="Z1371" s="344">
        <v>3803</v>
      </c>
      <c r="AA1371" s="344" t="s">
        <v>574</v>
      </c>
      <c r="AB1371" s="344">
        <v>1</v>
      </c>
      <c r="AC1371" s="344" t="s">
        <v>471</v>
      </c>
      <c r="AD1371" s="1058" t="s">
        <v>575</v>
      </c>
      <c r="AE1371" s="1059">
        <v>390592</v>
      </c>
      <c r="AF1371" s="889" t="s">
        <v>459</v>
      </c>
      <c r="AG1371" s="889" t="s">
        <v>459</v>
      </c>
    </row>
    <row r="1372" spans="26:33" x14ac:dyDescent="0.35">
      <c r="Z1372" s="344">
        <v>3804</v>
      </c>
      <c r="AA1372" s="344" t="s">
        <v>574</v>
      </c>
      <c r="AB1372" s="344">
        <v>1</v>
      </c>
      <c r="AC1372" s="344" t="s">
        <v>479</v>
      </c>
      <c r="AD1372" s="1058" t="s">
        <v>575</v>
      </c>
      <c r="AE1372" s="1059">
        <v>888959</v>
      </c>
      <c r="AF1372" s="889" t="s">
        <v>459</v>
      </c>
      <c r="AG1372" s="889" t="s">
        <v>459</v>
      </c>
    </row>
    <row r="1373" spans="26:33" x14ac:dyDescent="0.35">
      <c r="Z1373" s="344">
        <v>3805</v>
      </c>
      <c r="AA1373" s="344" t="s">
        <v>574</v>
      </c>
      <c r="AB1373" s="344">
        <v>1</v>
      </c>
      <c r="AC1373" s="344" t="s">
        <v>471</v>
      </c>
      <c r="AD1373" s="1058" t="s">
        <v>575</v>
      </c>
      <c r="AE1373" s="1059">
        <v>413252</v>
      </c>
      <c r="AF1373" s="889" t="s">
        <v>459</v>
      </c>
      <c r="AG1373" s="889" t="s">
        <v>459</v>
      </c>
    </row>
    <row r="1374" spans="26:33" x14ac:dyDescent="0.35">
      <c r="Z1374" s="344">
        <v>3806</v>
      </c>
      <c r="AA1374" s="344" t="s">
        <v>574</v>
      </c>
      <c r="AB1374" s="344">
        <v>1</v>
      </c>
      <c r="AC1374" s="344" t="s">
        <v>457</v>
      </c>
      <c r="AD1374" s="1058" t="s">
        <v>575</v>
      </c>
      <c r="AE1374" s="1059">
        <v>505013</v>
      </c>
      <c r="AF1374" s="889" t="s">
        <v>459</v>
      </c>
      <c r="AG1374" s="889" t="s">
        <v>459</v>
      </c>
    </row>
    <row r="1375" spans="26:33" x14ac:dyDescent="0.35">
      <c r="Z1375" s="344">
        <v>3807</v>
      </c>
      <c r="AA1375" s="344" t="s">
        <v>574</v>
      </c>
      <c r="AB1375" s="344">
        <v>1</v>
      </c>
      <c r="AC1375" s="344" t="s">
        <v>457</v>
      </c>
      <c r="AD1375" s="1058" t="s">
        <v>575</v>
      </c>
      <c r="AE1375" s="1059">
        <v>652704</v>
      </c>
      <c r="AF1375" s="889" t="s">
        <v>459</v>
      </c>
      <c r="AG1375" s="889" t="s">
        <v>459</v>
      </c>
    </row>
    <row r="1376" spans="26:33" x14ac:dyDescent="0.35">
      <c r="Z1376" s="344">
        <v>3808</v>
      </c>
      <c r="AA1376" s="344" t="s">
        <v>574</v>
      </c>
      <c r="AB1376" s="344">
        <v>1</v>
      </c>
      <c r="AC1376" s="344" t="s">
        <v>457</v>
      </c>
      <c r="AD1376" s="1058" t="s">
        <v>575</v>
      </c>
      <c r="AE1376" s="1059">
        <v>636003</v>
      </c>
      <c r="AF1376" s="889" t="s">
        <v>459</v>
      </c>
      <c r="AG1376" s="889" t="s">
        <v>459</v>
      </c>
    </row>
    <row r="1377" spans="26:33" x14ac:dyDescent="0.35">
      <c r="Z1377" s="344">
        <v>3809</v>
      </c>
      <c r="AA1377" s="344" t="s">
        <v>574</v>
      </c>
      <c r="AB1377" s="344">
        <v>1</v>
      </c>
      <c r="AC1377" s="344" t="s">
        <v>471</v>
      </c>
      <c r="AD1377" s="1058" t="s">
        <v>575</v>
      </c>
      <c r="AE1377" s="1059">
        <v>405176</v>
      </c>
      <c r="AF1377" s="889" t="s">
        <v>459</v>
      </c>
      <c r="AG1377" s="889" t="s">
        <v>459</v>
      </c>
    </row>
    <row r="1378" spans="26:33" x14ac:dyDescent="0.35">
      <c r="Z1378" s="344">
        <v>3810</v>
      </c>
      <c r="AA1378" s="344" t="s">
        <v>574</v>
      </c>
      <c r="AB1378" s="344">
        <v>1</v>
      </c>
      <c r="AC1378" s="344" t="s">
        <v>457</v>
      </c>
      <c r="AD1378" s="1058" t="s">
        <v>575</v>
      </c>
      <c r="AE1378" s="1059">
        <v>573130</v>
      </c>
      <c r="AF1378" s="889" t="s">
        <v>459</v>
      </c>
      <c r="AG1378" s="889" t="s">
        <v>459</v>
      </c>
    </row>
    <row r="1379" spans="26:33" x14ac:dyDescent="0.35">
      <c r="Z1379" s="344">
        <v>3812</v>
      </c>
      <c r="AA1379" s="344" t="s">
        <v>574</v>
      </c>
      <c r="AB1379" s="344">
        <v>1</v>
      </c>
      <c r="AC1379" s="344" t="s">
        <v>457</v>
      </c>
      <c r="AD1379" s="1058" t="s">
        <v>575</v>
      </c>
      <c r="AE1379" s="1059">
        <v>552015</v>
      </c>
      <c r="AF1379" s="889" t="s">
        <v>459</v>
      </c>
      <c r="AG1379" s="889" t="s">
        <v>459</v>
      </c>
    </row>
    <row r="1380" spans="26:33" x14ac:dyDescent="0.35">
      <c r="Z1380" s="344">
        <v>3813</v>
      </c>
      <c r="AA1380" s="344" t="s">
        <v>574</v>
      </c>
      <c r="AB1380" s="344">
        <v>1</v>
      </c>
      <c r="AC1380" s="344" t="s">
        <v>471</v>
      </c>
      <c r="AD1380" s="1058" t="s">
        <v>575</v>
      </c>
      <c r="AE1380" s="1059">
        <v>377503</v>
      </c>
      <c r="AF1380" s="889" t="s">
        <v>459</v>
      </c>
      <c r="AG1380" s="889" t="s">
        <v>459</v>
      </c>
    </row>
    <row r="1381" spans="26:33" x14ac:dyDescent="0.35">
      <c r="Z1381" s="344">
        <v>3814</v>
      </c>
      <c r="AA1381" s="344" t="s">
        <v>574</v>
      </c>
      <c r="AB1381" s="344">
        <v>1</v>
      </c>
      <c r="AC1381" s="344" t="s">
        <v>471</v>
      </c>
      <c r="AD1381" s="1058" t="s">
        <v>575</v>
      </c>
      <c r="AE1381" s="1059">
        <v>387544</v>
      </c>
      <c r="AF1381" s="889" t="s">
        <v>459</v>
      </c>
      <c r="AG1381" s="889" t="s">
        <v>459</v>
      </c>
    </row>
    <row r="1382" spans="26:33" x14ac:dyDescent="0.35">
      <c r="Z1382" s="344">
        <v>3815</v>
      </c>
      <c r="AA1382" s="344" t="s">
        <v>574</v>
      </c>
      <c r="AB1382" s="344">
        <v>1</v>
      </c>
      <c r="AC1382" s="344" t="s">
        <v>471</v>
      </c>
      <c r="AD1382" s="1058" t="s">
        <v>575</v>
      </c>
      <c r="AE1382" s="1059">
        <v>413271</v>
      </c>
      <c r="AF1382" s="889" t="s">
        <v>459</v>
      </c>
      <c r="AG1382" s="889" t="s">
        <v>459</v>
      </c>
    </row>
    <row r="1383" spans="26:33" x14ac:dyDescent="0.35">
      <c r="Z1383" s="344">
        <v>3816</v>
      </c>
      <c r="AA1383" s="344" t="s">
        <v>574</v>
      </c>
      <c r="AB1383" s="344">
        <v>1</v>
      </c>
      <c r="AC1383" s="344" t="s">
        <v>471</v>
      </c>
      <c r="AD1383" s="1058" t="s">
        <v>575</v>
      </c>
      <c r="AE1383" s="1059">
        <v>307254</v>
      </c>
      <c r="AF1383" s="889" t="s">
        <v>459</v>
      </c>
      <c r="AG1383" s="889" t="s">
        <v>459</v>
      </c>
    </row>
    <row r="1384" spans="26:33" x14ac:dyDescent="0.35">
      <c r="Z1384" s="344">
        <v>3818</v>
      </c>
      <c r="AA1384" s="344" t="s">
        <v>574</v>
      </c>
      <c r="AB1384" s="344">
        <v>3</v>
      </c>
      <c r="AC1384" s="344" t="s">
        <v>471</v>
      </c>
      <c r="AD1384" s="1058" t="s">
        <v>576</v>
      </c>
      <c r="AE1384" s="1059">
        <v>337987</v>
      </c>
      <c r="AF1384" s="889" t="s">
        <v>459</v>
      </c>
      <c r="AG1384" s="889" t="s">
        <v>459</v>
      </c>
    </row>
    <row r="1385" spans="26:33" x14ac:dyDescent="0.35">
      <c r="Z1385" s="344">
        <v>3820</v>
      </c>
      <c r="AA1385" s="344" t="s">
        <v>574</v>
      </c>
      <c r="AB1385" s="344">
        <v>2</v>
      </c>
      <c r="AC1385" s="344" t="s">
        <v>471</v>
      </c>
      <c r="AD1385" s="1058" t="s">
        <v>577</v>
      </c>
      <c r="AE1385" s="1059">
        <v>331745</v>
      </c>
      <c r="AF1385" s="889" t="s">
        <v>459</v>
      </c>
      <c r="AG1385" s="889" t="s">
        <v>459</v>
      </c>
    </row>
    <row r="1386" spans="26:33" x14ac:dyDescent="0.35">
      <c r="Z1386" s="344">
        <v>3821</v>
      </c>
      <c r="AA1386" s="344" t="s">
        <v>574</v>
      </c>
      <c r="AB1386" s="344">
        <v>4</v>
      </c>
      <c r="AC1386" s="344" t="s">
        <v>457</v>
      </c>
      <c r="AD1386" s="1058" t="s">
        <v>578</v>
      </c>
      <c r="AE1386" s="1059">
        <v>460347</v>
      </c>
      <c r="AF1386" s="889" t="s">
        <v>459</v>
      </c>
      <c r="AG1386" s="889" t="s">
        <v>459</v>
      </c>
    </row>
    <row r="1387" spans="26:33" x14ac:dyDescent="0.35">
      <c r="Z1387" s="344">
        <v>3822</v>
      </c>
      <c r="AA1387" s="344" t="s">
        <v>574</v>
      </c>
      <c r="AB1387" s="344">
        <v>4</v>
      </c>
      <c r="AC1387" s="344" t="s">
        <v>471</v>
      </c>
      <c r="AD1387" s="1058" t="s">
        <v>578</v>
      </c>
      <c r="AE1387" s="1059">
        <v>370445</v>
      </c>
      <c r="AF1387" s="889" t="s">
        <v>459</v>
      </c>
      <c r="AG1387" s="889" t="s">
        <v>459</v>
      </c>
    </row>
    <row r="1388" spans="26:33" x14ac:dyDescent="0.35">
      <c r="Z1388" s="344">
        <v>3823</v>
      </c>
      <c r="AA1388" s="344" t="s">
        <v>574</v>
      </c>
      <c r="AB1388" s="344">
        <v>3</v>
      </c>
      <c r="AC1388" s="344" t="s">
        <v>464</v>
      </c>
      <c r="AD1388" s="1058" t="s">
        <v>576</v>
      </c>
      <c r="AE1388" s="1059">
        <v>292000</v>
      </c>
      <c r="AF1388" s="889" t="s">
        <v>459</v>
      </c>
      <c r="AG1388" s="889" t="s">
        <v>459</v>
      </c>
    </row>
    <row r="1389" spans="26:33" x14ac:dyDescent="0.35">
      <c r="Z1389" s="344">
        <v>3824</v>
      </c>
      <c r="AA1389" s="344" t="s">
        <v>574</v>
      </c>
      <c r="AB1389" s="344">
        <v>3</v>
      </c>
      <c r="AC1389" s="344" t="s">
        <v>464</v>
      </c>
      <c r="AD1389" s="1058" t="s">
        <v>576</v>
      </c>
      <c r="AE1389" s="1059">
        <v>278355</v>
      </c>
      <c r="AF1389" s="889" t="s">
        <v>459</v>
      </c>
      <c r="AG1389" s="889" t="s">
        <v>459</v>
      </c>
    </row>
    <row r="1390" spans="26:33" x14ac:dyDescent="0.35">
      <c r="Z1390" s="344">
        <v>3825</v>
      </c>
      <c r="AA1390" s="344" t="s">
        <v>574</v>
      </c>
      <c r="AB1390" s="344">
        <v>3</v>
      </c>
      <c r="AC1390" s="344" t="s">
        <v>464</v>
      </c>
      <c r="AD1390" s="1058" t="s">
        <v>576</v>
      </c>
      <c r="AE1390" s="1059">
        <v>228092</v>
      </c>
      <c r="AF1390" s="889" t="s">
        <v>459</v>
      </c>
      <c r="AG1390" s="889" t="s">
        <v>459</v>
      </c>
    </row>
    <row r="1391" spans="26:33" x14ac:dyDescent="0.35">
      <c r="Z1391" s="344">
        <v>3831</v>
      </c>
      <c r="AA1391" s="344" t="s">
        <v>574</v>
      </c>
      <c r="AB1391" s="344">
        <v>4</v>
      </c>
      <c r="AC1391" s="344" t="s">
        <v>471</v>
      </c>
      <c r="AD1391" s="1058" t="s">
        <v>578</v>
      </c>
      <c r="AE1391" s="1059">
        <v>318959</v>
      </c>
      <c r="AF1391" s="889" t="s">
        <v>459</v>
      </c>
      <c r="AG1391" s="889" t="s">
        <v>459</v>
      </c>
    </row>
    <row r="1392" spans="26:33" x14ac:dyDescent="0.35">
      <c r="Z1392" s="344">
        <v>3833</v>
      </c>
      <c r="AA1392" s="344" t="s">
        <v>574</v>
      </c>
      <c r="AB1392" s="344">
        <v>4</v>
      </c>
      <c r="AC1392" s="344" t="s">
        <v>464</v>
      </c>
      <c r="AD1392" s="1058" t="s">
        <v>578</v>
      </c>
      <c r="AE1392" s="1059">
        <v>228821</v>
      </c>
      <c r="AF1392" s="889" t="s">
        <v>459</v>
      </c>
      <c r="AG1392" s="889" t="s">
        <v>459</v>
      </c>
    </row>
    <row r="1393" spans="26:33" x14ac:dyDescent="0.35">
      <c r="Z1393" s="344">
        <v>3835</v>
      </c>
      <c r="AA1393" s="344" t="s">
        <v>574</v>
      </c>
      <c r="AB1393" s="344">
        <v>4</v>
      </c>
      <c r="AC1393" s="344" t="s">
        <v>464</v>
      </c>
      <c r="AD1393" s="1058" t="s">
        <v>578</v>
      </c>
      <c r="AE1393" s="1059">
        <v>243483</v>
      </c>
      <c r="AF1393" s="889" t="s">
        <v>459</v>
      </c>
      <c r="AG1393" s="889" t="s">
        <v>459</v>
      </c>
    </row>
    <row r="1394" spans="26:33" x14ac:dyDescent="0.35">
      <c r="Z1394" s="344">
        <v>3840</v>
      </c>
      <c r="AA1394" s="344" t="s">
        <v>574</v>
      </c>
      <c r="AB1394" s="344">
        <v>2</v>
      </c>
      <c r="AC1394" s="344" t="s">
        <v>471</v>
      </c>
      <c r="AD1394" s="1058" t="s">
        <v>577</v>
      </c>
      <c r="AE1394" s="1059">
        <v>312629</v>
      </c>
      <c r="AF1394" s="889" t="s">
        <v>459</v>
      </c>
      <c r="AG1394" s="889" t="s">
        <v>459</v>
      </c>
    </row>
    <row r="1395" spans="26:33" x14ac:dyDescent="0.35">
      <c r="Z1395" s="344">
        <v>3842</v>
      </c>
      <c r="AA1395" s="344" t="s">
        <v>574</v>
      </c>
      <c r="AB1395" s="344">
        <v>2</v>
      </c>
      <c r="AC1395" s="344" t="s">
        <v>464</v>
      </c>
      <c r="AD1395" s="1058" t="s">
        <v>577</v>
      </c>
      <c r="AE1395" s="1059">
        <v>170241</v>
      </c>
      <c r="AF1395" s="889" t="s">
        <v>459</v>
      </c>
      <c r="AG1395" s="889" t="s">
        <v>459</v>
      </c>
    </row>
    <row r="1396" spans="26:33" x14ac:dyDescent="0.35">
      <c r="Z1396" s="344">
        <v>3844</v>
      </c>
      <c r="AA1396" s="344" t="s">
        <v>574</v>
      </c>
      <c r="AB1396" s="344">
        <v>2</v>
      </c>
      <c r="AC1396" s="344" t="s">
        <v>471</v>
      </c>
      <c r="AD1396" s="1058" t="s">
        <v>577</v>
      </c>
      <c r="AE1396" s="1059">
        <v>385808</v>
      </c>
      <c r="AF1396" s="889" t="s">
        <v>459</v>
      </c>
      <c r="AG1396" s="889" t="s">
        <v>459</v>
      </c>
    </row>
    <row r="1397" spans="26:33" x14ac:dyDescent="0.35">
      <c r="Z1397" s="344">
        <v>3847</v>
      </c>
      <c r="AA1397" s="344" t="s">
        <v>574</v>
      </c>
      <c r="AB1397" s="344">
        <v>4</v>
      </c>
      <c r="AC1397" s="344" t="s">
        <v>464</v>
      </c>
      <c r="AD1397" s="1058" t="s">
        <v>578</v>
      </c>
      <c r="AE1397" s="1059">
        <v>239476</v>
      </c>
      <c r="AF1397" s="889" t="s">
        <v>459</v>
      </c>
      <c r="AG1397" s="889" t="s">
        <v>459</v>
      </c>
    </row>
    <row r="1398" spans="26:33" x14ac:dyDescent="0.35">
      <c r="Z1398" s="344">
        <v>3850</v>
      </c>
      <c r="AA1398" s="344" t="s">
        <v>574</v>
      </c>
      <c r="AB1398" s="344">
        <v>3</v>
      </c>
      <c r="AC1398" s="344" t="s">
        <v>464</v>
      </c>
      <c r="AD1398" s="1058" t="s">
        <v>576</v>
      </c>
      <c r="AE1398" s="1059">
        <v>287293</v>
      </c>
      <c r="AF1398" s="889" t="s">
        <v>459</v>
      </c>
      <c r="AG1398" s="889" t="s">
        <v>459</v>
      </c>
    </row>
    <row r="1399" spans="26:33" x14ac:dyDescent="0.35">
      <c r="Z1399" s="344">
        <v>3851</v>
      </c>
      <c r="AA1399" s="344" t="s">
        <v>574</v>
      </c>
      <c r="AB1399" s="344">
        <v>4</v>
      </c>
      <c r="AC1399" s="344" t="s">
        <v>464</v>
      </c>
      <c r="AD1399" s="1058" t="s">
        <v>578</v>
      </c>
      <c r="AE1399" s="1059">
        <v>238570</v>
      </c>
      <c r="AF1399" s="889" t="s">
        <v>459</v>
      </c>
      <c r="AG1399" s="889" t="s">
        <v>459</v>
      </c>
    </row>
    <row r="1400" spans="26:33" x14ac:dyDescent="0.35">
      <c r="Z1400" s="344">
        <v>3852</v>
      </c>
      <c r="AA1400" s="344" t="s">
        <v>574</v>
      </c>
      <c r="AB1400" s="344">
        <v>4</v>
      </c>
      <c r="AC1400" s="344" t="e">
        <v>#N/A</v>
      </c>
      <c r="AD1400" s="1058" t="s">
        <v>578</v>
      </c>
      <c r="AE1400" s="1059" t="e">
        <v>#N/A</v>
      </c>
      <c r="AF1400" s="889" t="s">
        <v>459</v>
      </c>
      <c r="AG1400" s="889" t="s">
        <v>459</v>
      </c>
    </row>
    <row r="1401" spans="26:33" x14ac:dyDescent="0.35">
      <c r="Z1401" s="344">
        <v>3853</v>
      </c>
      <c r="AA1401" s="344" t="s">
        <v>574</v>
      </c>
      <c r="AB1401" s="344">
        <v>4</v>
      </c>
      <c r="AC1401" s="344" t="e">
        <v>#N/A</v>
      </c>
      <c r="AD1401" s="1058" t="s">
        <v>578</v>
      </c>
      <c r="AE1401" s="1059" t="e">
        <v>#N/A</v>
      </c>
      <c r="AF1401" s="889" t="s">
        <v>459</v>
      </c>
      <c r="AG1401" s="889" t="s">
        <v>459</v>
      </c>
    </row>
    <row r="1402" spans="26:33" x14ac:dyDescent="0.35">
      <c r="Z1402" s="344">
        <v>3854</v>
      </c>
      <c r="AA1402" s="344" t="s">
        <v>574</v>
      </c>
      <c r="AB1402" s="344">
        <v>4</v>
      </c>
      <c r="AC1402" s="344" t="s">
        <v>464</v>
      </c>
      <c r="AD1402" s="1058" t="s">
        <v>578</v>
      </c>
      <c r="AE1402" s="1059">
        <v>295837</v>
      </c>
      <c r="AF1402" s="889" t="s">
        <v>459</v>
      </c>
      <c r="AG1402" s="889" t="s">
        <v>459</v>
      </c>
    </row>
    <row r="1403" spans="26:33" x14ac:dyDescent="0.35">
      <c r="Z1403" s="344">
        <v>3856</v>
      </c>
      <c r="AA1403" s="344" t="s">
        <v>574</v>
      </c>
      <c r="AB1403" s="344">
        <v>4</v>
      </c>
      <c r="AC1403" s="344" t="s">
        <v>464</v>
      </c>
      <c r="AD1403" s="1058" t="s">
        <v>578</v>
      </c>
      <c r="AE1403" s="1059">
        <v>286000</v>
      </c>
      <c r="AF1403" s="889" t="s">
        <v>459</v>
      </c>
      <c r="AG1403" s="889" t="s">
        <v>459</v>
      </c>
    </row>
    <row r="1404" spans="26:33" x14ac:dyDescent="0.35">
      <c r="Z1404" s="344">
        <v>3857</v>
      </c>
      <c r="AA1404" s="344" t="s">
        <v>574</v>
      </c>
      <c r="AB1404" s="344">
        <v>4</v>
      </c>
      <c r="AC1404" s="344" t="e">
        <v>#N/A</v>
      </c>
      <c r="AD1404" s="1058" t="s">
        <v>578</v>
      </c>
      <c r="AE1404" s="1059" t="e">
        <v>#N/A</v>
      </c>
      <c r="AF1404" s="889" t="s">
        <v>459</v>
      </c>
      <c r="AG1404" s="889" t="s">
        <v>459</v>
      </c>
    </row>
    <row r="1405" spans="26:33" x14ac:dyDescent="0.35">
      <c r="Z1405" s="344">
        <v>3858</v>
      </c>
      <c r="AA1405" s="344" t="s">
        <v>574</v>
      </c>
      <c r="AB1405" s="344">
        <v>4</v>
      </c>
      <c r="AC1405" s="344" t="s">
        <v>464</v>
      </c>
      <c r="AD1405" s="1058" t="s">
        <v>578</v>
      </c>
      <c r="AE1405" s="1059">
        <v>255693</v>
      </c>
      <c r="AF1405" s="889" t="s">
        <v>459</v>
      </c>
      <c r="AG1405" s="889" t="s">
        <v>459</v>
      </c>
    </row>
    <row r="1406" spans="26:33" x14ac:dyDescent="0.35">
      <c r="Z1406" s="344">
        <v>3859</v>
      </c>
      <c r="AA1406" s="344" t="s">
        <v>574</v>
      </c>
      <c r="AB1406" s="344">
        <v>4</v>
      </c>
      <c r="AC1406" s="344" t="e">
        <v>#N/A</v>
      </c>
      <c r="AD1406" s="1058" t="s">
        <v>578</v>
      </c>
      <c r="AE1406" s="1059" t="e">
        <v>#N/A</v>
      </c>
      <c r="AF1406" s="889" t="s">
        <v>459</v>
      </c>
      <c r="AG1406" s="889" t="s">
        <v>459</v>
      </c>
    </row>
    <row r="1407" spans="26:33" x14ac:dyDescent="0.35">
      <c r="Z1407" s="344">
        <v>3860</v>
      </c>
      <c r="AA1407" s="344" t="s">
        <v>574</v>
      </c>
      <c r="AB1407" s="344">
        <v>3</v>
      </c>
      <c r="AC1407" s="344" t="s">
        <v>464</v>
      </c>
      <c r="AD1407" s="1058" t="s">
        <v>576</v>
      </c>
      <c r="AE1407" s="1059">
        <v>232363</v>
      </c>
      <c r="AF1407" s="889" t="s">
        <v>459</v>
      </c>
      <c r="AG1407" s="889" t="s">
        <v>459</v>
      </c>
    </row>
    <row r="1408" spans="26:33" x14ac:dyDescent="0.35">
      <c r="Z1408" s="344">
        <v>3862</v>
      </c>
      <c r="AA1408" s="344" t="s">
        <v>574</v>
      </c>
      <c r="AB1408" s="344">
        <v>4</v>
      </c>
      <c r="AC1408" s="344" t="s">
        <v>464</v>
      </c>
      <c r="AD1408" s="1058" t="s">
        <v>578</v>
      </c>
      <c r="AE1408" s="1059">
        <v>268089</v>
      </c>
      <c r="AF1408" s="889" t="s">
        <v>459</v>
      </c>
      <c r="AG1408" s="889" t="s">
        <v>459</v>
      </c>
    </row>
    <row r="1409" spans="26:33" x14ac:dyDescent="0.35">
      <c r="Z1409" s="344">
        <v>3864</v>
      </c>
      <c r="AA1409" s="344" t="s">
        <v>574</v>
      </c>
      <c r="AB1409" s="344">
        <v>4</v>
      </c>
      <c r="AC1409" s="344" t="e">
        <v>#N/A</v>
      </c>
      <c r="AD1409" s="1058" t="s">
        <v>578</v>
      </c>
      <c r="AE1409" s="1059" t="e">
        <v>#N/A</v>
      </c>
      <c r="AF1409" s="889" t="s">
        <v>459</v>
      </c>
      <c r="AG1409" s="889" t="s">
        <v>459</v>
      </c>
    </row>
    <row r="1410" spans="26:33" x14ac:dyDescent="0.35">
      <c r="Z1410" s="344">
        <v>3865</v>
      </c>
      <c r="AA1410" s="344" t="s">
        <v>574</v>
      </c>
      <c r="AB1410" s="344">
        <v>4</v>
      </c>
      <c r="AC1410" s="344" t="s">
        <v>464</v>
      </c>
      <c r="AD1410" s="1058" t="s">
        <v>578</v>
      </c>
      <c r="AE1410" s="1059">
        <v>235809</v>
      </c>
      <c r="AF1410" s="889" t="s">
        <v>459</v>
      </c>
      <c r="AG1410" s="889" t="s">
        <v>459</v>
      </c>
    </row>
    <row r="1411" spans="26:33" x14ac:dyDescent="0.35">
      <c r="Z1411" s="344">
        <v>3869</v>
      </c>
      <c r="AA1411" s="344" t="s">
        <v>574</v>
      </c>
      <c r="AB1411" s="344">
        <v>4</v>
      </c>
      <c r="AC1411" s="344" t="s">
        <v>464</v>
      </c>
      <c r="AD1411" s="1058" t="s">
        <v>578</v>
      </c>
      <c r="AE1411" s="1059">
        <v>244938</v>
      </c>
      <c r="AF1411" s="889" t="s">
        <v>459</v>
      </c>
      <c r="AG1411" s="889" t="s">
        <v>459</v>
      </c>
    </row>
    <row r="1412" spans="26:33" x14ac:dyDescent="0.35">
      <c r="Z1412" s="344">
        <v>3870</v>
      </c>
      <c r="AA1412" s="344" t="s">
        <v>574</v>
      </c>
      <c r="AB1412" s="344">
        <v>4</v>
      </c>
      <c r="AC1412" s="344" t="s">
        <v>464</v>
      </c>
      <c r="AD1412" s="1058" t="s">
        <v>578</v>
      </c>
      <c r="AE1412" s="1059">
        <v>243156</v>
      </c>
      <c r="AF1412" s="889" t="s">
        <v>459</v>
      </c>
      <c r="AG1412" s="889" t="s">
        <v>459</v>
      </c>
    </row>
    <row r="1413" spans="26:33" x14ac:dyDescent="0.35">
      <c r="Z1413" s="344">
        <v>3871</v>
      </c>
      <c r="AA1413" s="344" t="s">
        <v>574</v>
      </c>
      <c r="AB1413" s="344">
        <v>4</v>
      </c>
      <c r="AC1413" s="344" t="s">
        <v>464</v>
      </c>
      <c r="AD1413" s="1058" t="s">
        <v>578</v>
      </c>
      <c r="AE1413" s="1059">
        <v>270963</v>
      </c>
      <c r="AF1413" s="889" t="s">
        <v>459</v>
      </c>
      <c r="AG1413" s="889" t="s">
        <v>459</v>
      </c>
    </row>
    <row r="1414" spans="26:33" x14ac:dyDescent="0.35">
      <c r="Z1414" s="344">
        <v>3873</v>
      </c>
      <c r="AA1414" s="344" t="s">
        <v>574</v>
      </c>
      <c r="AB1414" s="344">
        <v>4</v>
      </c>
      <c r="AC1414" s="344" t="e">
        <v>#N/A</v>
      </c>
      <c r="AD1414" s="1058" t="s">
        <v>578</v>
      </c>
      <c r="AE1414" s="1059" t="e">
        <v>#N/A</v>
      </c>
      <c r="AF1414" s="889" t="s">
        <v>459</v>
      </c>
      <c r="AG1414" s="889" t="s">
        <v>459</v>
      </c>
    </row>
    <row r="1415" spans="26:33" x14ac:dyDescent="0.35">
      <c r="Z1415" s="344">
        <v>3874</v>
      </c>
      <c r="AA1415" s="344" t="s">
        <v>574</v>
      </c>
      <c r="AB1415" s="344">
        <v>4</v>
      </c>
      <c r="AC1415" s="344" t="s">
        <v>464</v>
      </c>
      <c r="AD1415" s="1058" t="s">
        <v>578</v>
      </c>
      <c r="AE1415" s="1059">
        <v>250282</v>
      </c>
      <c r="AF1415" s="889" t="s">
        <v>459</v>
      </c>
      <c r="AG1415" s="889" t="s">
        <v>459</v>
      </c>
    </row>
    <row r="1416" spans="26:33" x14ac:dyDescent="0.35">
      <c r="Z1416" s="344">
        <v>3875</v>
      </c>
      <c r="AA1416" s="344" t="s">
        <v>574</v>
      </c>
      <c r="AB1416" s="344">
        <v>3</v>
      </c>
      <c r="AC1416" s="344" t="s">
        <v>464</v>
      </c>
      <c r="AD1416" s="1058" t="s">
        <v>576</v>
      </c>
      <c r="AE1416" s="1059">
        <v>282535</v>
      </c>
      <c r="AF1416" s="889" t="s">
        <v>459</v>
      </c>
      <c r="AG1416" s="889" t="s">
        <v>459</v>
      </c>
    </row>
    <row r="1417" spans="26:33" x14ac:dyDescent="0.35">
      <c r="Z1417" s="344">
        <v>3878</v>
      </c>
      <c r="AA1417" s="344" t="s">
        <v>574</v>
      </c>
      <c r="AB1417" s="344">
        <v>4</v>
      </c>
      <c r="AC1417" s="344" t="s">
        <v>464</v>
      </c>
      <c r="AD1417" s="1058" t="s">
        <v>578</v>
      </c>
      <c r="AE1417" s="1059">
        <v>292448</v>
      </c>
      <c r="AF1417" s="889" t="s">
        <v>459</v>
      </c>
      <c r="AG1417" s="889" t="s">
        <v>459</v>
      </c>
    </row>
    <row r="1418" spans="26:33" x14ac:dyDescent="0.35">
      <c r="Z1418" s="344">
        <v>3880</v>
      </c>
      <c r="AA1418" s="344" t="s">
        <v>574</v>
      </c>
      <c r="AB1418" s="344">
        <v>4</v>
      </c>
      <c r="AC1418" s="344" t="s">
        <v>464</v>
      </c>
      <c r="AD1418" s="1058" t="s">
        <v>578</v>
      </c>
      <c r="AE1418" s="1059">
        <v>272859</v>
      </c>
      <c r="AF1418" s="889" t="s">
        <v>459</v>
      </c>
      <c r="AG1418" s="889" t="s">
        <v>459</v>
      </c>
    </row>
    <row r="1419" spans="26:33" x14ac:dyDescent="0.35">
      <c r="Z1419" s="344">
        <v>3882</v>
      </c>
      <c r="AA1419" s="344" t="s">
        <v>574</v>
      </c>
      <c r="AB1419" s="344">
        <v>4</v>
      </c>
      <c r="AC1419" s="344" t="s">
        <v>471</v>
      </c>
      <c r="AD1419" s="1058" t="s">
        <v>578</v>
      </c>
      <c r="AE1419" s="1059">
        <v>411836</v>
      </c>
      <c r="AF1419" s="889" t="s">
        <v>459</v>
      </c>
      <c r="AG1419" s="889" t="s">
        <v>459</v>
      </c>
    </row>
    <row r="1420" spans="26:33" x14ac:dyDescent="0.35">
      <c r="Z1420" s="344">
        <v>3885</v>
      </c>
      <c r="AA1420" s="344" t="s">
        <v>574</v>
      </c>
      <c r="AB1420" s="344">
        <v>4</v>
      </c>
      <c r="AC1420" s="344" t="s">
        <v>464</v>
      </c>
      <c r="AD1420" s="1058" t="s">
        <v>578</v>
      </c>
      <c r="AE1420" s="1059">
        <v>199761</v>
      </c>
      <c r="AF1420" s="889" t="s">
        <v>459</v>
      </c>
      <c r="AG1420" s="889" t="s">
        <v>459</v>
      </c>
    </row>
    <row r="1421" spans="26:33" x14ac:dyDescent="0.35">
      <c r="Z1421" s="344">
        <v>3886</v>
      </c>
      <c r="AA1421" s="344" t="s">
        <v>574</v>
      </c>
      <c r="AB1421" s="344">
        <v>4</v>
      </c>
      <c r="AC1421" s="344" t="e">
        <v>#N/A</v>
      </c>
      <c r="AD1421" s="1058" t="s">
        <v>578</v>
      </c>
      <c r="AE1421" s="1059" t="e">
        <v>#N/A</v>
      </c>
      <c r="AF1421" s="889" t="s">
        <v>459</v>
      </c>
      <c r="AG1421" s="889" t="s">
        <v>459</v>
      </c>
    </row>
    <row r="1422" spans="26:33" x14ac:dyDescent="0.35">
      <c r="Z1422" s="344">
        <v>3887</v>
      </c>
      <c r="AA1422" s="344" t="s">
        <v>574</v>
      </c>
      <c r="AB1422" s="344">
        <v>4</v>
      </c>
      <c r="AC1422" s="344" t="e">
        <v>#N/A</v>
      </c>
      <c r="AD1422" s="1058" t="s">
        <v>578</v>
      </c>
      <c r="AE1422" s="1059" t="e">
        <v>#N/A</v>
      </c>
      <c r="AF1422" s="889" t="s">
        <v>459</v>
      </c>
      <c r="AG1422" s="889" t="s">
        <v>459</v>
      </c>
    </row>
    <row r="1423" spans="26:33" x14ac:dyDescent="0.35">
      <c r="Z1423" s="344">
        <v>3888</v>
      </c>
      <c r="AA1423" s="344" t="s">
        <v>574</v>
      </c>
      <c r="AB1423" s="344">
        <v>4</v>
      </c>
      <c r="AC1423" s="344" t="s">
        <v>464</v>
      </c>
      <c r="AD1423" s="1058" t="s">
        <v>578</v>
      </c>
      <c r="AE1423" s="1059">
        <v>275724</v>
      </c>
      <c r="AF1423" s="889" t="s">
        <v>459</v>
      </c>
      <c r="AG1423" s="889" t="s">
        <v>459</v>
      </c>
    </row>
    <row r="1424" spans="26:33" x14ac:dyDescent="0.35">
      <c r="Z1424" s="344">
        <v>3889</v>
      </c>
      <c r="AA1424" s="344" t="s">
        <v>574</v>
      </c>
      <c r="AB1424" s="344">
        <v>4</v>
      </c>
      <c r="AC1424" s="344" t="e">
        <v>#N/A</v>
      </c>
      <c r="AD1424" s="1058" t="s">
        <v>578</v>
      </c>
      <c r="AE1424" s="1059" t="e">
        <v>#N/A</v>
      </c>
      <c r="AF1424" s="889" t="s">
        <v>459</v>
      </c>
      <c r="AG1424" s="889" t="s">
        <v>459</v>
      </c>
    </row>
    <row r="1425" spans="26:33" x14ac:dyDescent="0.35">
      <c r="Z1425" s="344">
        <v>3890</v>
      </c>
      <c r="AA1425" s="344" t="s">
        <v>574</v>
      </c>
      <c r="AB1425" s="344">
        <v>4</v>
      </c>
      <c r="AC1425" s="344" t="e">
        <v>#N/A</v>
      </c>
      <c r="AD1425" s="1058" t="s">
        <v>578</v>
      </c>
      <c r="AE1425" s="1059" t="e">
        <v>#N/A</v>
      </c>
      <c r="AF1425" s="889" t="s">
        <v>459</v>
      </c>
      <c r="AG1425" s="889" t="s">
        <v>459</v>
      </c>
    </row>
    <row r="1426" spans="26:33" x14ac:dyDescent="0.35">
      <c r="Z1426" s="344">
        <v>3891</v>
      </c>
      <c r="AA1426" s="344" t="s">
        <v>574</v>
      </c>
      <c r="AB1426" s="344">
        <v>4</v>
      </c>
      <c r="AC1426" s="344" t="e">
        <v>#N/A</v>
      </c>
      <c r="AD1426" s="1058" t="s">
        <v>578</v>
      </c>
      <c r="AE1426" s="1059" t="e">
        <v>#N/A</v>
      </c>
      <c r="AF1426" s="889" t="s">
        <v>459</v>
      </c>
      <c r="AG1426" s="889" t="s">
        <v>459</v>
      </c>
    </row>
    <row r="1427" spans="26:33" x14ac:dyDescent="0.35">
      <c r="Z1427" s="344">
        <v>3892</v>
      </c>
      <c r="AA1427" s="344" t="s">
        <v>574</v>
      </c>
      <c r="AB1427" s="344">
        <v>4</v>
      </c>
      <c r="AC1427" s="344" t="s">
        <v>471</v>
      </c>
      <c r="AD1427" s="1058" t="s">
        <v>578</v>
      </c>
      <c r="AE1427" s="1059">
        <v>348366</v>
      </c>
      <c r="AF1427" s="889" t="s">
        <v>459</v>
      </c>
      <c r="AG1427" s="889" t="s">
        <v>459</v>
      </c>
    </row>
    <row r="1428" spans="26:33" x14ac:dyDescent="0.35">
      <c r="Z1428" s="344">
        <v>3893</v>
      </c>
      <c r="AA1428" s="344" t="s">
        <v>574</v>
      </c>
      <c r="AB1428" s="344">
        <v>4</v>
      </c>
      <c r="AC1428" s="344" t="e">
        <v>#N/A</v>
      </c>
      <c r="AD1428" s="1058" t="s">
        <v>578</v>
      </c>
      <c r="AE1428" s="1059" t="e">
        <v>#N/A</v>
      </c>
      <c r="AF1428" s="889" t="s">
        <v>459</v>
      </c>
      <c r="AG1428" s="889" t="s">
        <v>459</v>
      </c>
    </row>
    <row r="1429" spans="26:33" x14ac:dyDescent="0.35">
      <c r="Z1429" s="344">
        <v>3895</v>
      </c>
      <c r="AA1429" s="344" t="s">
        <v>574</v>
      </c>
      <c r="AB1429" s="344">
        <v>4</v>
      </c>
      <c r="AC1429" s="344" t="e">
        <v>#N/A</v>
      </c>
      <c r="AD1429" s="1058" t="s">
        <v>578</v>
      </c>
      <c r="AE1429" s="1059" t="e">
        <v>#N/A</v>
      </c>
      <c r="AF1429" s="889" t="s">
        <v>459</v>
      </c>
      <c r="AG1429" s="889" t="s">
        <v>459</v>
      </c>
    </row>
    <row r="1430" spans="26:33" x14ac:dyDescent="0.35">
      <c r="Z1430" s="344">
        <v>3896</v>
      </c>
      <c r="AA1430" s="344" t="s">
        <v>574</v>
      </c>
      <c r="AB1430" s="344">
        <v>4</v>
      </c>
      <c r="AC1430" s="344" t="e">
        <v>#N/A</v>
      </c>
      <c r="AD1430" s="1058" t="s">
        <v>578</v>
      </c>
      <c r="AE1430" s="1059" t="e">
        <v>#N/A</v>
      </c>
      <c r="AF1430" s="889" t="s">
        <v>459</v>
      </c>
      <c r="AG1430" s="889" t="s">
        <v>459</v>
      </c>
    </row>
    <row r="1431" spans="26:33" x14ac:dyDescent="0.35">
      <c r="Z1431" s="344">
        <v>3898</v>
      </c>
      <c r="AA1431" s="344" t="s">
        <v>574</v>
      </c>
      <c r="AB1431" s="344">
        <v>4</v>
      </c>
      <c r="AC1431" s="344" t="s">
        <v>471</v>
      </c>
      <c r="AD1431" s="1058" t="s">
        <v>578</v>
      </c>
      <c r="AE1431" s="1059">
        <v>368539</v>
      </c>
      <c r="AF1431" s="889" t="s">
        <v>459</v>
      </c>
      <c r="AG1431" s="889" t="s">
        <v>459</v>
      </c>
    </row>
    <row r="1432" spans="26:33" x14ac:dyDescent="0.35">
      <c r="Z1432" s="344">
        <v>3900</v>
      </c>
      <c r="AA1432" s="344" t="s">
        <v>574</v>
      </c>
      <c r="AB1432" s="344">
        <v>4</v>
      </c>
      <c r="AC1432" s="344" t="e">
        <v>#N/A</v>
      </c>
      <c r="AD1432" s="1058" t="s">
        <v>578</v>
      </c>
      <c r="AE1432" s="1059" t="e">
        <v>#N/A</v>
      </c>
      <c r="AF1432" s="889" t="s">
        <v>459</v>
      </c>
      <c r="AG1432" s="889" t="s">
        <v>459</v>
      </c>
    </row>
    <row r="1433" spans="26:33" x14ac:dyDescent="0.35">
      <c r="Z1433" s="344">
        <v>3902</v>
      </c>
      <c r="AA1433" s="344" t="s">
        <v>574</v>
      </c>
      <c r="AB1433" s="344">
        <v>4</v>
      </c>
      <c r="AC1433" s="344" t="s">
        <v>464</v>
      </c>
      <c r="AD1433" s="1058" t="s">
        <v>578</v>
      </c>
      <c r="AE1433" s="1059">
        <v>230655</v>
      </c>
      <c r="AF1433" s="889" t="s">
        <v>459</v>
      </c>
      <c r="AG1433" s="889" t="s">
        <v>459</v>
      </c>
    </row>
    <row r="1434" spans="26:33" x14ac:dyDescent="0.35">
      <c r="Z1434" s="344">
        <v>3903</v>
      </c>
      <c r="AA1434" s="344" t="s">
        <v>574</v>
      </c>
      <c r="AB1434" s="344">
        <v>4</v>
      </c>
      <c r="AC1434" s="344" t="s">
        <v>471</v>
      </c>
      <c r="AD1434" s="1058" t="s">
        <v>578</v>
      </c>
      <c r="AE1434" s="1059">
        <v>380425</v>
      </c>
      <c r="AF1434" s="889" t="s">
        <v>459</v>
      </c>
      <c r="AG1434" s="889" t="s">
        <v>459</v>
      </c>
    </row>
    <row r="1435" spans="26:33" x14ac:dyDescent="0.35">
      <c r="Z1435" s="344">
        <v>3904</v>
      </c>
      <c r="AA1435" s="344" t="s">
        <v>574</v>
      </c>
      <c r="AB1435" s="344">
        <v>4</v>
      </c>
      <c r="AC1435" s="344" t="s">
        <v>471</v>
      </c>
      <c r="AD1435" s="1058" t="s">
        <v>578</v>
      </c>
      <c r="AE1435" s="1059">
        <v>410028</v>
      </c>
      <c r="AF1435" s="889" t="s">
        <v>459</v>
      </c>
      <c r="AG1435" s="889" t="s">
        <v>459</v>
      </c>
    </row>
    <row r="1436" spans="26:33" x14ac:dyDescent="0.35">
      <c r="Z1436" s="344">
        <v>3909</v>
      </c>
      <c r="AA1436" s="344" t="s">
        <v>574</v>
      </c>
      <c r="AB1436" s="344">
        <v>3</v>
      </c>
      <c r="AC1436" s="344" t="s">
        <v>471</v>
      </c>
      <c r="AD1436" s="1058" t="s">
        <v>576</v>
      </c>
      <c r="AE1436" s="1059">
        <v>335383</v>
      </c>
      <c r="AF1436" s="889" t="s">
        <v>459</v>
      </c>
      <c r="AG1436" s="889" t="s">
        <v>459</v>
      </c>
    </row>
    <row r="1437" spans="26:33" x14ac:dyDescent="0.35">
      <c r="Z1437" s="344">
        <v>3910</v>
      </c>
      <c r="AA1437" s="344" t="s">
        <v>574</v>
      </c>
      <c r="AB1437" s="344">
        <v>1</v>
      </c>
      <c r="AC1437" s="344" t="s">
        <v>471</v>
      </c>
      <c r="AD1437" s="1058" t="s">
        <v>575</v>
      </c>
      <c r="AE1437" s="1059">
        <v>424227</v>
      </c>
      <c r="AF1437" s="889" t="s">
        <v>459</v>
      </c>
      <c r="AG1437" s="889" t="s">
        <v>459</v>
      </c>
    </row>
    <row r="1438" spans="26:33" x14ac:dyDescent="0.35">
      <c r="Z1438" s="344">
        <v>3911</v>
      </c>
      <c r="AA1438" s="344" t="s">
        <v>574</v>
      </c>
      <c r="AB1438" s="344">
        <v>1</v>
      </c>
      <c r="AC1438" s="344" t="s">
        <v>457</v>
      </c>
      <c r="AD1438" s="1058" t="s">
        <v>575</v>
      </c>
      <c r="AE1438" s="1059">
        <v>552512</v>
      </c>
      <c r="AF1438" s="889" t="s">
        <v>459</v>
      </c>
      <c r="AG1438" s="889" t="s">
        <v>459</v>
      </c>
    </row>
    <row r="1439" spans="26:33" x14ac:dyDescent="0.35">
      <c r="Z1439" s="344">
        <v>3912</v>
      </c>
      <c r="AA1439" s="344" t="s">
        <v>574</v>
      </c>
      <c r="AB1439" s="344">
        <v>1</v>
      </c>
      <c r="AC1439" s="344" t="s">
        <v>457</v>
      </c>
      <c r="AD1439" s="1058" t="s">
        <v>575</v>
      </c>
      <c r="AE1439" s="1059">
        <v>453339</v>
      </c>
      <c r="AF1439" s="889" t="s">
        <v>459</v>
      </c>
      <c r="AG1439" s="889" t="s">
        <v>459</v>
      </c>
    </row>
    <row r="1440" spans="26:33" x14ac:dyDescent="0.35">
      <c r="Z1440" s="344">
        <v>3913</v>
      </c>
      <c r="AA1440" s="344" t="s">
        <v>574</v>
      </c>
      <c r="AB1440" s="344">
        <v>1</v>
      </c>
      <c r="AC1440" s="344" t="s">
        <v>471</v>
      </c>
      <c r="AD1440" s="1058" t="s">
        <v>575</v>
      </c>
      <c r="AE1440" s="1059">
        <v>385422</v>
      </c>
      <c r="AF1440" s="889" t="s">
        <v>459</v>
      </c>
      <c r="AG1440" s="889" t="s">
        <v>459</v>
      </c>
    </row>
    <row r="1441" spans="26:33" x14ac:dyDescent="0.35">
      <c r="Z1441" s="344">
        <v>3914</v>
      </c>
      <c r="AA1441" s="344" t="s">
        <v>574</v>
      </c>
      <c r="AB1441" s="344">
        <v>1</v>
      </c>
      <c r="AC1441" s="344" t="e">
        <v>#N/A</v>
      </c>
      <c r="AD1441" s="1058" t="s">
        <v>575</v>
      </c>
      <c r="AE1441" s="1059" t="e">
        <v>#N/A</v>
      </c>
      <c r="AF1441" s="889" t="s">
        <v>459</v>
      </c>
      <c r="AG1441" s="889" t="s">
        <v>459</v>
      </c>
    </row>
    <row r="1442" spans="26:33" x14ac:dyDescent="0.35">
      <c r="Z1442" s="344">
        <v>3915</v>
      </c>
      <c r="AA1442" s="344" t="s">
        <v>574</v>
      </c>
      <c r="AB1442" s="344">
        <v>1</v>
      </c>
      <c r="AC1442" s="344" t="s">
        <v>471</v>
      </c>
      <c r="AD1442" s="1058" t="s">
        <v>575</v>
      </c>
      <c r="AE1442" s="1059">
        <v>328935</v>
      </c>
      <c r="AF1442" s="889" t="s">
        <v>459</v>
      </c>
      <c r="AG1442" s="889" t="s">
        <v>459</v>
      </c>
    </row>
    <row r="1443" spans="26:33" x14ac:dyDescent="0.35">
      <c r="Z1443" s="344">
        <v>3916</v>
      </c>
      <c r="AA1443" s="344" t="s">
        <v>574</v>
      </c>
      <c r="AB1443" s="344">
        <v>1</v>
      </c>
      <c r="AC1443" s="344" t="s">
        <v>482</v>
      </c>
      <c r="AD1443" s="1058" t="s">
        <v>575</v>
      </c>
      <c r="AE1443" s="1059">
        <v>942171</v>
      </c>
      <c r="AF1443" s="889" t="s">
        <v>459</v>
      </c>
      <c r="AG1443" s="889" t="s">
        <v>459</v>
      </c>
    </row>
    <row r="1444" spans="26:33" x14ac:dyDescent="0.35">
      <c r="Z1444" s="344">
        <v>3917</v>
      </c>
      <c r="AA1444" s="344" t="s">
        <v>574</v>
      </c>
      <c r="AB1444" s="344">
        <v>1</v>
      </c>
      <c r="AC1444" s="344" t="e">
        <v>#N/A</v>
      </c>
      <c r="AD1444" s="1058" t="s">
        <v>575</v>
      </c>
      <c r="AE1444" s="1059" t="e">
        <v>#N/A</v>
      </c>
      <c r="AF1444" s="889" t="s">
        <v>459</v>
      </c>
      <c r="AG1444" s="889" t="s">
        <v>459</v>
      </c>
    </row>
    <row r="1445" spans="26:33" x14ac:dyDescent="0.35">
      <c r="Z1445" s="344">
        <v>3918</v>
      </c>
      <c r="AA1445" s="344" t="s">
        <v>574</v>
      </c>
      <c r="AB1445" s="344">
        <v>1</v>
      </c>
      <c r="AC1445" s="344" t="s">
        <v>457</v>
      </c>
      <c r="AD1445" s="1058" t="s">
        <v>575</v>
      </c>
      <c r="AE1445" s="1059">
        <v>451572</v>
      </c>
      <c r="AF1445" s="889" t="s">
        <v>459</v>
      </c>
      <c r="AG1445" s="889" t="s">
        <v>459</v>
      </c>
    </row>
    <row r="1446" spans="26:33" x14ac:dyDescent="0.35">
      <c r="Z1446" s="344">
        <v>3919</v>
      </c>
      <c r="AA1446" s="344" t="s">
        <v>574</v>
      </c>
      <c r="AB1446" s="344">
        <v>1</v>
      </c>
      <c r="AC1446" s="344" t="s">
        <v>471</v>
      </c>
      <c r="AD1446" s="1058" t="s">
        <v>575</v>
      </c>
      <c r="AE1446" s="1059">
        <v>360482</v>
      </c>
      <c r="AF1446" s="889" t="s">
        <v>459</v>
      </c>
      <c r="AG1446" s="889" t="s">
        <v>459</v>
      </c>
    </row>
    <row r="1447" spans="26:33" x14ac:dyDescent="0.35">
      <c r="Z1447" s="344">
        <v>3920</v>
      </c>
      <c r="AA1447" s="344" t="s">
        <v>574</v>
      </c>
      <c r="AB1447" s="344">
        <v>4</v>
      </c>
      <c r="AC1447" s="344" t="e">
        <v>#N/A</v>
      </c>
      <c r="AD1447" s="1058" t="s">
        <v>578</v>
      </c>
      <c r="AE1447" s="1059" t="e">
        <v>#N/A</v>
      </c>
      <c r="AF1447" s="889" t="s">
        <v>459</v>
      </c>
      <c r="AG1447" s="889" t="s">
        <v>459</v>
      </c>
    </row>
    <row r="1448" spans="26:33" x14ac:dyDescent="0.35">
      <c r="Z1448" s="344">
        <v>3921</v>
      </c>
      <c r="AA1448" s="344" t="s">
        <v>574</v>
      </c>
      <c r="AB1448" s="344">
        <v>4</v>
      </c>
      <c r="AC1448" s="344" t="e">
        <v>#N/A</v>
      </c>
      <c r="AD1448" s="1058" t="s">
        <v>578</v>
      </c>
      <c r="AE1448" s="1059" t="e">
        <v>#N/A</v>
      </c>
      <c r="AF1448" s="889" t="s">
        <v>459</v>
      </c>
      <c r="AG1448" s="889" t="s">
        <v>459</v>
      </c>
    </row>
    <row r="1449" spans="26:33" x14ac:dyDescent="0.35">
      <c r="Z1449" s="344">
        <v>3922</v>
      </c>
      <c r="AA1449" s="344" t="s">
        <v>574</v>
      </c>
      <c r="AB1449" s="344">
        <v>3</v>
      </c>
      <c r="AC1449" s="344" t="s">
        <v>471</v>
      </c>
      <c r="AD1449" s="1058" t="s">
        <v>576</v>
      </c>
      <c r="AE1449" s="1059">
        <v>385587</v>
      </c>
      <c r="AF1449" s="889" t="s">
        <v>459</v>
      </c>
      <c r="AG1449" s="889" t="s">
        <v>459</v>
      </c>
    </row>
    <row r="1450" spans="26:33" x14ac:dyDescent="0.35">
      <c r="Z1450" s="344">
        <v>3923</v>
      </c>
      <c r="AA1450" s="344" t="s">
        <v>574</v>
      </c>
      <c r="AB1450" s="344">
        <v>4</v>
      </c>
      <c r="AC1450" s="344" t="s">
        <v>457</v>
      </c>
      <c r="AD1450" s="1058" t="s">
        <v>578</v>
      </c>
      <c r="AE1450" s="1059">
        <v>454550</v>
      </c>
      <c r="AF1450" s="889" t="s">
        <v>459</v>
      </c>
      <c r="AG1450" s="889" t="s">
        <v>459</v>
      </c>
    </row>
    <row r="1451" spans="26:33" x14ac:dyDescent="0.35">
      <c r="Z1451" s="344">
        <v>3925</v>
      </c>
      <c r="AA1451" s="344" t="s">
        <v>574</v>
      </c>
      <c r="AB1451" s="344">
        <v>3</v>
      </c>
      <c r="AC1451" s="344" t="s">
        <v>471</v>
      </c>
      <c r="AD1451" s="1058" t="s">
        <v>576</v>
      </c>
      <c r="AE1451" s="1059">
        <v>404142</v>
      </c>
      <c r="AF1451" s="889" t="s">
        <v>459</v>
      </c>
      <c r="AG1451" s="889" t="s">
        <v>459</v>
      </c>
    </row>
    <row r="1452" spans="26:33" x14ac:dyDescent="0.35">
      <c r="Z1452" s="1092">
        <v>3926</v>
      </c>
      <c r="AA1452" s="1092" t="s">
        <v>574</v>
      </c>
      <c r="AB1452" s="1092">
        <v>1</v>
      </c>
      <c r="AC1452" s="1092" t="s">
        <v>457</v>
      </c>
      <c r="AD1452" s="1093" t="s">
        <v>575</v>
      </c>
      <c r="AE1452" s="1094">
        <v>746606</v>
      </c>
      <c r="AF1452" s="1095" t="s">
        <v>459</v>
      </c>
      <c r="AG1452" s="1095" t="s">
        <v>459</v>
      </c>
    </row>
    <row r="1453" spans="26:33" x14ac:dyDescent="0.35">
      <c r="Z1453" s="1092">
        <v>3927</v>
      </c>
      <c r="AA1453" s="1092" t="s">
        <v>574</v>
      </c>
      <c r="AB1453" s="1092">
        <v>1</v>
      </c>
      <c r="AC1453" s="1092" t="s">
        <v>457</v>
      </c>
      <c r="AD1453" s="1093" t="s">
        <v>575</v>
      </c>
      <c r="AE1453" s="1094">
        <v>701836</v>
      </c>
      <c r="AF1453" s="1095" t="s">
        <v>459</v>
      </c>
      <c r="AG1453" s="1095" t="s">
        <v>459</v>
      </c>
    </row>
    <row r="1454" spans="26:33" x14ac:dyDescent="0.35">
      <c r="Z1454" s="344">
        <v>3928</v>
      </c>
      <c r="AA1454" s="344" t="s">
        <v>574</v>
      </c>
      <c r="AB1454" s="344">
        <v>1</v>
      </c>
      <c r="AC1454" s="344" t="s">
        <v>482</v>
      </c>
      <c r="AD1454" s="1058" t="s">
        <v>575</v>
      </c>
      <c r="AE1454" s="1059">
        <v>1082924</v>
      </c>
      <c r="AF1454" s="889" t="s">
        <v>459</v>
      </c>
      <c r="AG1454" s="889" t="s">
        <v>459</v>
      </c>
    </row>
    <row r="1455" spans="26:33" x14ac:dyDescent="0.35">
      <c r="Z1455" s="344">
        <v>3929</v>
      </c>
      <c r="AA1455" s="344" t="s">
        <v>574</v>
      </c>
      <c r="AB1455" s="344">
        <v>1</v>
      </c>
      <c r="AC1455" s="344" t="s">
        <v>479</v>
      </c>
      <c r="AD1455" s="1058" t="s">
        <v>575</v>
      </c>
      <c r="AE1455" s="1059">
        <v>845776</v>
      </c>
      <c r="AF1455" s="889" t="s">
        <v>459</v>
      </c>
      <c r="AG1455" s="889" t="s">
        <v>459</v>
      </c>
    </row>
    <row r="1456" spans="26:33" x14ac:dyDescent="0.35">
      <c r="Z1456" s="344">
        <v>3930</v>
      </c>
      <c r="AA1456" s="344" t="s">
        <v>574</v>
      </c>
      <c r="AB1456" s="344">
        <v>1</v>
      </c>
      <c r="AC1456" s="344" t="s">
        <v>479</v>
      </c>
      <c r="AD1456" s="1058" t="s">
        <v>575</v>
      </c>
      <c r="AE1456" s="1059">
        <v>828495</v>
      </c>
      <c r="AF1456" s="889" t="s">
        <v>459</v>
      </c>
      <c r="AG1456" s="889" t="s">
        <v>459</v>
      </c>
    </row>
    <row r="1457" spans="26:33" x14ac:dyDescent="0.35">
      <c r="Z1457" s="344">
        <v>3931</v>
      </c>
      <c r="AA1457" s="344" t="s">
        <v>574</v>
      </c>
      <c r="AB1457" s="344">
        <v>1</v>
      </c>
      <c r="AC1457" s="344" t="s">
        <v>457</v>
      </c>
      <c r="AD1457" s="1058" t="s">
        <v>575</v>
      </c>
      <c r="AE1457" s="1059">
        <v>532877</v>
      </c>
      <c r="AF1457" s="889" t="s">
        <v>459</v>
      </c>
      <c r="AG1457" s="889" t="s">
        <v>459</v>
      </c>
    </row>
    <row r="1458" spans="26:33" x14ac:dyDescent="0.35">
      <c r="Z1458" s="344">
        <v>3932</v>
      </c>
      <c r="AA1458" s="344" t="s">
        <v>574</v>
      </c>
      <c r="AB1458" s="344">
        <v>1</v>
      </c>
      <c r="AC1458" s="344" t="e">
        <v>#N/A</v>
      </c>
      <c r="AD1458" s="1058" t="s">
        <v>575</v>
      </c>
      <c r="AE1458" s="1059" t="e">
        <v>#N/A</v>
      </c>
      <c r="AF1458" s="889" t="s">
        <v>459</v>
      </c>
      <c r="AG1458" s="889" t="s">
        <v>459</v>
      </c>
    </row>
    <row r="1459" spans="26:33" x14ac:dyDescent="0.35">
      <c r="Z1459" s="344">
        <v>3933</v>
      </c>
      <c r="AA1459" s="344" t="s">
        <v>574</v>
      </c>
      <c r="AB1459" s="344">
        <v>1</v>
      </c>
      <c r="AC1459" s="344" t="e">
        <v>#N/A</v>
      </c>
      <c r="AD1459" s="1058" t="s">
        <v>575</v>
      </c>
      <c r="AE1459" s="1059" t="e">
        <v>#N/A</v>
      </c>
      <c r="AF1459" s="889" t="s">
        <v>459</v>
      </c>
      <c r="AG1459" s="889" t="s">
        <v>459</v>
      </c>
    </row>
    <row r="1460" spans="26:33" x14ac:dyDescent="0.35">
      <c r="Z1460" s="344">
        <v>3934</v>
      </c>
      <c r="AA1460" s="344" t="s">
        <v>574</v>
      </c>
      <c r="AB1460" s="344">
        <v>1</v>
      </c>
      <c r="AC1460" s="344" t="s">
        <v>457</v>
      </c>
      <c r="AD1460" s="1058" t="s">
        <v>575</v>
      </c>
      <c r="AE1460" s="1059">
        <v>679590</v>
      </c>
      <c r="AF1460" s="889" t="s">
        <v>459</v>
      </c>
      <c r="AG1460" s="889" t="s">
        <v>459</v>
      </c>
    </row>
    <row r="1461" spans="26:33" x14ac:dyDescent="0.35">
      <c r="Z1461" s="344">
        <v>3935</v>
      </c>
      <c r="AA1461" s="344" t="s">
        <v>574</v>
      </c>
      <c r="AB1461" s="344">
        <v>1</v>
      </c>
      <c r="AC1461" s="344" t="e">
        <v>#N/A</v>
      </c>
      <c r="AD1461" s="1058" t="s">
        <v>575</v>
      </c>
      <c r="AE1461" s="1059" t="e">
        <v>#N/A</v>
      </c>
      <c r="AF1461" s="889" t="s">
        <v>459</v>
      </c>
      <c r="AG1461" s="889" t="s">
        <v>459</v>
      </c>
    </row>
    <row r="1462" spans="26:33" x14ac:dyDescent="0.35">
      <c r="Z1462" s="344">
        <v>3936</v>
      </c>
      <c r="AA1462" s="344" t="s">
        <v>574</v>
      </c>
      <c r="AB1462" s="344">
        <v>1</v>
      </c>
      <c r="AC1462" s="344" t="s">
        <v>457</v>
      </c>
      <c r="AD1462" s="1058" t="s">
        <v>575</v>
      </c>
      <c r="AE1462" s="1059">
        <v>604063</v>
      </c>
      <c r="AF1462" s="889" t="s">
        <v>459</v>
      </c>
      <c r="AG1462" s="889" t="s">
        <v>459</v>
      </c>
    </row>
    <row r="1463" spans="26:33" x14ac:dyDescent="0.35">
      <c r="Z1463" s="344">
        <v>3937</v>
      </c>
      <c r="AA1463" s="344" t="s">
        <v>574</v>
      </c>
      <c r="AB1463" s="344">
        <v>1</v>
      </c>
      <c r="AC1463" s="344" t="s">
        <v>457</v>
      </c>
      <c r="AD1463" s="1058" t="s">
        <v>575</v>
      </c>
      <c r="AE1463" s="1059">
        <v>734651</v>
      </c>
      <c r="AF1463" s="889" t="s">
        <v>269</v>
      </c>
      <c r="AG1463" s="889" t="s">
        <v>459</v>
      </c>
    </row>
    <row r="1464" spans="26:33" x14ac:dyDescent="0.35">
      <c r="Z1464" s="344">
        <v>3938</v>
      </c>
      <c r="AA1464" s="344" t="s">
        <v>574</v>
      </c>
      <c r="AB1464" s="344">
        <v>1</v>
      </c>
      <c r="AC1464" s="344" t="s">
        <v>457</v>
      </c>
      <c r="AD1464" s="1058" t="s">
        <v>575</v>
      </c>
      <c r="AE1464" s="1059">
        <v>566494</v>
      </c>
      <c r="AF1464" s="889" t="s">
        <v>459</v>
      </c>
      <c r="AG1464" s="889" t="s">
        <v>459</v>
      </c>
    </row>
    <row r="1465" spans="26:33" x14ac:dyDescent="0.35">
      <c r="Z1465" s="344">
        <v>3939</v>
      </c>
      <c r="AA1465" s="344" t="s">
        <v>574</v>
      </c>
      <c r="AB1465" s="344">
        <v>1</v>
      </c>
      <c r="AC1465" s="344" t="s">
        <v>457</v>
      </c>
      <c r="AD1465" s="1058" t="s">
        <v>575</v>
      </c>
      <c r="AE1465" s="1059">
        <v>632991</v>
      </c>
      <c r="AF1465" s="889" t="s">
        <v>459</v>
      </c>
      <c r="AG1465" s="889" t="s">
        <v>459</v>
      </c>
    </row>
    <row r="1466" spans="26:33" x14ac:dyDescent="0.35">
      <c r="Z1466" s="344">
        <v>3940</v>
      </c>
      <c r="AA1466" s="344" t="s">
        <v>574</v>
      </c>
      <c r="AB1466" s="344">
        <v>1</v>
      </c>
      <c r="AC1466" s="344" t="s">
        <v>471</v>
      </c>
      <c r="AD1466" s="1058" t="s">
        <v>575</v>
      </c>
      <c r="AE1466" s="1059">
        <v>369290</v>
      </c>
      <c r="AF1466" s="889" t="s">
        <v>459</v>
      </c>
      <c r="AG1466" s="889" t="s">
        <v>459</v>
      </c>
    </row>
    <row r="1467" spans="26:33" x14ac:dyDescent="0.35">
      <c r="Z1467" s="344">
        <v>3941</v>
      </c>
      <c r="AA1467" s="344" t="s">
        <v>574</v>
      </c>
      <c r="AB1467" s="344">
        <v>1</v>
      </c>
      <c r="AC1467" s="344" t="s">
        <v>457</v>
      </c>
      <c r="AD1467" s="1058" t="s">
        <v>575</v>
      </c>
      <c r="AE1467" s="1059">
        <v>485404</v>
      </c>
      <c r="AF1467" s="889" t="s">
        <v>459</v>
      </c>
      <c r="AG1467" s="889" t="s">
        <v>459</v>
      </c>
    </row>
    <row r="1468" spans="26:33" x14ac:dyDescent="0.35">
      <c r="Z1468" s="344">
        <v>3942</v>
      </c>
      <c r="AA1468" s="344" t="s">
        <v>574</v>
      </c>
      <c r="AB1468" s="344">
        <v>1</v>
      </c>
      <c r="AC1468" s="344" t="s">
        <v>457</v>
      </c>
      <c r="AD1468" s="1058" t="s">
        <v>575</v>
      </c>
      <c r="AE1468" s="1059">
        <v>677330</v>
      </c>
      <c r="AF1468" s="889" t="s">
        <v>459</v>
      </c>
      <c r="AG1468" s="889" t="s">
        <v>459</v>
      </c>
    </row>
    <row r="1469" spans="26:33" x14ac:dyDescent="0.35">
      <c r="Z1469" s="344">
        <v>3943</v>
      </c>
      <c r="AA1469" s="344" t="s">
        <v>574</v>
      </c>
      <c r="AB1469" s="344">
        <v>1</v>
      </c>
      <c r="AC1469" s="344" t="s">
        <v>479</v>
      </c>
      <c r="AD1469" s="1058" t="s">
        <v>575</v>
      </c>
      <c r="AE1469" s="1059">
        <v>890577</v>
      </c>
      <c r="AF1469" s="889" t="s">
        <v>459</v>
      </c>
      <c r="AG1469" s="889" t="s">
        <v>459</v>
      </c>
    </row>
    <row r="1470" spans="26:33" x14ac:dyDescent="0.35">
      <c r="Z1470" s="344">
        <v>3944</v>
      </c>
      <c r="AA1470" s="344" t="s">
        <v>574</v>
      </c>
      <c r="AB1470" s="344">
        <v>1</v>
      </c>
      <c r="AC1470" s="344" t="s">
        <v>482</v>
      </c>
      <c r="AD1470" s="1058" t="s">
        <v>575</v>
      </c>
      <c r="AE1470" s="1059">
        <v>1330651</v>
      </c>
      <c r="AF1470" s="889" t="s">
        <v>459</v>
      </c>
      <c r="AG1470" s="889" t="s">
        <v>459</v>
      </c>
    </row>
    <row r="1471" spans="26:33" x14ac:dyDescent="0.35">
      <c r="Z1471" s="344">
        <v>3945</v>
      </c>
      <c r="AA1471" s="344" t="s">
        <v>574</v>
      </c>
      <c r="AB1471" s="344">
        <v>4</v>
      </c>
      <c r="AC1471" s="344" t="s">
        <v>464</v>
      </c>
      <c r="AD1471" s="1058" t="s">
        <v>578</v>
      </c>
      <c r="AE1471" s="1059">
        <v>294617</v>
      </c>
      <c r="AF1471" s="889" t="s">
        <v>459</v>
      </c>
      <c r="AG1471" s="889" t="s">
        <v>459</v>
      </c>
    </row>
    <row r="1472" spans="26:33" x14ac:dyDescent="0.35">
      <c r="Z1472" s="344">
        <v>3946</v>
      </c>
      <c r="AA1472" s="344" t="s">
        <v>574</v>
      </c>
      <c r="AB1472" s="344">
        <v>4</v>
      </c>
      <c r="AC1472" s="344" t="e">
        <v>#N/A</v>
      </c>
      <c r="AD1472" s="1058" t="s">
        <v>578</v>
      </c>
      <c r="AE1472" s="1059" t="e">
        <v>#N/A</v>
      </c>
      <c r="AF1472" s="889" t="s">
        <v>459</v>
      </c>
      <c r="AG1472" s="889" t="s">
        <v>459</v>
      </c>
    </row>
    <row r="1473" spans="26:33" x14ac:dyDescent="0.35">
      <c r="Z1473" s="344">
        <v>3950</v>
      </c>
      <c r="AA1473" s="344" t="s">
        <v>574</v>
      </c>
      <c r="AB1473" s="344">
        <v>4</v>
      </c>
      <c r="AC1473" s="344" t="s">
        <v>464</v>
      </c>
      <c r="AD1473" s="1058" t="s">
        <v>578</v>
      </c>
      <c r="AE1473" s="1059">
        <v>283659</v>
      </c>
      <c r="AF1473" s="889" t="s">
        <v>459</v>
      </c>
      <c r="AG1473" s="889" t="s">
        <v>459</v>
      </c>
    </row>
    <row r="1474" spans="26:33" x14ac:dyDescent="0.35">
      <c r="Z1474" s="344">
        <v>3951</v>
      </c>
      <c r="AA1474" s="344" t="s">
        <v>574</v>
      </c>
      <c r="AB1474" s="344">
        <v>4</v>
      </c>
      <c r="AC1474" s="344" t="e">
        <v>#N/A</v>
      </c>
      <c r="AD1474" s="1058" t="s">
        <v>578</v>
      </c>
      <c r="AE1474" s="1059" t="e">
        <v>#N/A</v>
      </c>
      <c r="AF1474" s="889" t="s">
        <v>459</v>
      </c>
      <c r="AG1474" s="889" t="s">
        <v>459</v>
      </c>
    </row>
    <row r="1475" spans="26:33" x14ac:dyDescent="0.35">
      <c r="Z1475" s="344">
        <v>3953</v>
      </c>
      <c r="AA1475" s="344" t="s">
        <v>574</v>
      </c>
      <c r="AB1475" s="344">
        <v>3</v>
      </c>
      <c r="AC1475" s="344" t="s">
        <v>471</v>
      </c>
      <c r="AD1475" s="1058" t="s">
        <v>576</v>
      </c>
      <c r="AE1475" s="1059">
        <v>314677</v>
      </c>
      <c r="AF1475" s="889" t="s">
        <v>459</v>
      </c>
      <c r="AG1475" s="889" t="s">
        <v>459</v>
      </c>
    </row>
    <row r="1476" spans="26:33" x14ac:dyDescent="0.35">
      <c r="Z1476" s="344">
        <v>3954</v>
      </c>
      <c r="AA1476" s="344" t="s">
        <v>574</v>
      </c>
      <c r="AB1476" s="344">
        <v>4</v>
      </c>
      <c r="AC1476" s="344" t="e">
        <v>#N/A</v>
      </c>
      <c r="AD1476" s="1058" t="s">
        <v>578</v>
      </c>
      <c r="AE1476" s="1059" t="e">
        <v>#N/A</v>
      </c>
      <c r="AF1476" s="889" t="s">
        <v>459</v>
      </c>
      <c r="AG1476" s="889" t="s">
        <v>459</v>
      </c>
    </row>
    <row r="1477" spans="26:33" x14ac:dyDescent="0.35">
      <c r="Z1477" s="344">
        <v>3956</v>
      </c>
      <c r="AA1477" s="344" t="s">
        <v>574</v>
      </c>
      <c r="AB1477" s="344">
        <v>4</v>
      </c>
      <c r="AC1477" s="344" t="s">
        <v>464</v>
      </c>
      <c r="AD1477" s="1058" t="s">
        <v>578</v>
      </c>
      <c r="AE1477" s="1059">
        <v>257854</v>
      </c>
      <c r="AF1477" s="889" t="s">
        <v>459</v>
      </c>
      <c r="AG1477" s="889" t="s">
        <v>459</v>
      </c>
    </row>
    <row r="1478" spans="26:33" x14ac:dyDescent="0.35">
      <c r="Z1478" s="344">
        <v>3957</v>
      </c>
      <c r="AA1478" s="344" t="s">
        <v>574</v>
      </c>
      <c r="AB1478" s="344">
        <v>4</v>
      </c>
      <c r="AC1478" s="344" t="e">
        <v>#N/A</v>
      </c>
      <c r="AD1478" s="1058" t="s">
        <v>578</v>
      </c>
      <c r="AE1478" s="1059" t="e">
        <v>#N/A</v>
      </c>
      <c r="AF1478" s="889" t="s">
        <v>459</v>
      </c>
      <c r="AG1478" s="889" t="s">
        <v>459</v>
      </c>
    </row>
    <row r="1479" spans="26:33" x14ac:dyDescent="0.35">
      <c r="Z1479" s="344">
        <v>3958</v>
      </c>
      <c r="AA1479" s="344" t="s">
        <v>574</v>
      </c>
      <c r="AB1479" s="344">
        <v>4</v>
      </c>
      <c r="AC1479" s="344" t="e">
        <v>#N/A</v>
      </c>
      <c r="AD1479" s="1058" t="s">
        <v>578</v>
      </c>
      <c r="AE1479" s="1059" t="e">
        <v>#N/A</v>
      </c>
      <c r="AF1479" s="889" t="s">
        <v>459</v>
      </c>
      <c r="AG1479" s="889" t="s">
        <v>459</v>
      </c>
    </row>
    <row r="1480" spans="26:33" x14ac:dyDescent="0.35">
      <c r="Z1480" s="344">
        <v>3959</v>
      </c>
      <c r="AA1480" s="344" t="s">
        <v>574</v>
      </c>
      <c r="AB1480" s="344">
        <v>4</v>
      </c>
      <c r="AC1480" s="344" t="s">
        <v>471</v>
      </c>
      <c r="AD1480" s="1058" t="s">
        <v>578</v>
      </c>
      <c r="AE1480" s="1059">
        <v>351200</v>
      </c>
      <c r="AF1480" s="889" t="s">
        <v>459</v>
      </c>
      <c r="AG1480" s="889" t="s">
        <v>459</v>
      </c>
    </row>
    <row r="1481" spans="26:33" x14ac:dyDescent="0.35">
      <c r="Z1481" s="344">
        <v>3960</v>
      </c>
      <c r="AA1481" s="344" t="s">
        <v>574</v>
      </c>
      <c r="AB1481" s="344">
        <v>4</v>
      </c>
      <c r="AC1481" s="344" t="s">
        <v>471</v>
      </c>
      <c r="AD1481" s="1058" t="s">
        <v>578</v>
      </c>
      <c r="AE1481" s="1059">
        <v>313701</v>
      </c>
      <c r="AF1481" s="889" t="s">
        <v>459</v>
      </c>
      <c r="AG1481" s="889" t="s">
        <v>459</v>
      </c>
    </row>
    <row r="1482" spans="26:33" x14ac:dyDescent="0.35">
      <c r="Z1482" s="344">
        <v>3962</v>
      </c>
      <c r="AA1482" s="344" t="s">
        <v>574</v>
      </c>
      <c r="AB1482" s="344">
        <v>4</v>
      </c>
      <c r="AC1482" s="344" t="s">
        <v>464</v>
      </c>
      <c r="AD1482" s="1058" t="s">
        <v>578</v>
      </c>
      <c r="AE1482" s="1059">
        <v>236783</v>
      </c>
      <c r="AF1482" s="889" t="s">
        <v>459</v>
      </c>
      <c r="AG1482" s="889" t="s">
        <v>459</v>
      </c>
    </row>
    <row r="1483" spans="26:33" x14ac:dyDescent="0.35">
      <c r="Z1483" s="344">
        <v>3964</v>
      </c>
      <c r="AA1483" s="344" t="s">
        <v>574</v>
      </c>
      <c r="AB1483" s="344">
        <v>4</v>
      </c>
      <c r="AC1483" s="344" t="s">
        <v>464</v>
      </c>
      <c r="AD1483" s="1058" t="s">
        <v>578</v>
      </c>
      <c r="AE1483" s="1059">
        <v>233499</v>
      </c>
      <c r="AF1483" s="889" t="s">
        <v>459</v>
      </c>
      <c r="AG1483" s="889" t="s">
        <v>459</v>
      </c>
    </row>
    <row r="1484" spans="26:33" x14ac:dyDescent="0.35">
      <c r="Z1484" s="344">
        <v>3965</v>
      </c>
      <c r="AA1484" s="344" t="s">
        <v>574</v>
      </c>
      <c r="AB1484" s="344">
        <v>4</v>
      </c>
      <c r="AC1484" s="344" t="s">
        <v>464</v>
      </c>
      <c r="AD1484" s="1058" t="s">
        <v>578</v>
      </c>
      <c r="AE1484" s="1059">
        <v>286029</v>
      </c>
      <c r="AF1484" s="889" t="s">
        <v>459</v>
      </c>
      <c r="AG1484" s="889" t="s">
        <v>459</v>
      </c>
    </row>
    <row r="1485" spans="26:33" x14ac:dyDescent="0.35">
      <c r="Z1485" s="344">
        <v>3966</v>
      </c>
      <c r="AA1485" s="344" t="s">
        <v>574</v>
      </c>
      <c r="AB1485" s="344">
        <v>4</v>
      </c>
      <c r="AC1485" s="344" t="s">
        <v>464</v>
      </c>
      <c r="AD1485" s="1058" t="s">
        <v>578</v>
      </c>
      <c r="AE1485" s="1059">
        <v>236600</v>
      </c>
      <c r="AF1485" s="889" t="s">
        <v>459</v>
      </c>
      <c r="AG1485" s="889" t="s">
        <v>459</v>
      </c>
    </row>
    <row r="1486" spans="26:33" x14ac:dyDescent="0.35">
      <c r="Z1486" s="344">
        <v>3967</v>
      </c>
      <c r="AA1486" s="344" t="s">
        <v>574</v>
      </c>
      <c r="AB1486" s="344">
        <v>4</v>
      </c>
      <c r="AC1486" s="344" t="e">
        <v>#N/A</v>
      </c>
      <c r="AD1486" s="1058" t="s">
        <v>578</v>
      </c>
      <c r="AE1486" s="1059" t="e">
        <v>#N/A</v>
      </c>
      <c r="AF1486" s="889" t="s">
        <v>459</v>
      </c>
      <c r="AG1486" s="889" t="s">
        <v>459</v>
      </c>
    </row>
    <row r="1487" spans="26:33" x14ac:dyDescent="0.35">
      <c r="Z1487" s="344">
        <v>3971</v>
      </c>
      <c r="AA1487" s="344" t="s">
        <v>574</v>
      </c>
      <c r="AB1487" s="344">
        <v>4</v>
      </c>
      <c r="AC1487" s="344" t="s">
        <v>464</v>
      </c>
      <c r="AD1487" s="1058" t="s">
        <v>578</v>
      </c>
      <c r="AE1487" s="1059">
        <v>247554</v>
      </c>
      <c r="AF1487" s="889" t="s">
        <v>459</v>
      </c>
      <c r="AG1487" s="889" t="s">
        <v>459</v>
      </c>
    </row>
    <row r="1488" spans="26:33" x14ac:dyDescent="0.35">
      <c r="Z1488" s="344">
        <v>3975</v>
      </c>
      <c r="AA1488" s="344" t="s">
        <v>574</v>
      </c>
      <c r="AB1488" s="344">
        <v>1</v>
      </c>
      <c r="AC1488" s="344" t="s">
        <v>457</v>
      </c>
      <c r="AD1488" s="1058" t="s">
        <v>575</v>
      </c>
      <c r="AE1488" s="1059">
        <v>475328</v>
      </c>
      <c r="AF1488" s="889" t="s">
        <v>459</v>
      </c>
      <c r="AG1488" s="889" t="s">
        <v>459</v>
      </c>
    </row>
    <row r="1489" spans="26:33" x14ac:dyDescent="0.35">
      <c r="Z1489" s="344">
        <v>3976</v>
      </c>
      <c r="AA1489" s="344" t="s">
        <v>574</v>
      </c>
      <c r="AB1489" s="344">
        <v>1</v>
      </c>
      <c r="AC1489" s="344" t="s">
        <v>471</v>
      </c>
      <c r="AD1489" s="1058" t="s">
        <v>575</v>
      </c>
      <c r="AE1489" s="1059">
        <v>339594</v>
      </c>
      <c r="AF1489" s="889" t="s">
        <v>459</v>
      </c>
      <c r="AG1489" s="889" t="s">
        <v>459</v>
      </c>
    </row>
    <row r="1490" spans="26:33" x14ac:dyDescent="0.35">
      <c r="Z1490" s="344">
        <v>3977</v>
      </c>
      <c r="AA1490" s="344" t="s">
        <v>574</v>
      </c>
      <c r="AB1490" s="344">
        <v>1</v>
      </c>
      <c r="AC1490" s="344" t="s">
        <v>457</v>
      </c>
      <c r="AD1490" s="1058" t="s">
        <v>575</v>
      </c>
      <c r="AE1490" s="1059">
        <v>461495</v>
      </c>
      <c r="AF1490" s="889" t="s">
        <v>460</v>
      </c>
      <c r="AG1490" s="889" t="s">
        <v>459</v>
      </c>
    </row>
    <row r="1491" spans="26:33" x14ac:dyDescent="0.35">
      <c r="Z1491" s="344">
        <v>3978</v>
      </c>
      <c r="AA1491" s="344" t="s">
        <v>574</v>
      </c>
      <c r="AB1491" s="344">
        <v>1</v>
      </c>
      <c r="AC1491" s="344" t="s">
        <v>471</v>
      </c>
      <c r="AD1491" s="1058" t="s">
        <v>575</v>
      </c>
      <c r="AE1491" s="1059">
        <v>429094</v>
      </c>
      <c r="AF1491" s="889" t="s">
        <v>459</v>
      </c>
      <c r="AG1491" s="889" t="s">
        <v>459</v>
      </c>
    </row>
    <row r="1492" spans="26:33" x14ac:dyDescent="0.35">
      <c r="Z1492" s="344">
        <v>3979</v>
      </c>
      <c r="AA1492" s="344" t="s">
        <v>574</v>
      </c>
      <c r="AB1492" s="344">
        <v>4</v>
      </c>
      <c r="AC1492" s="344" t="e">
        <v>#N/A</v>
      </c>
      <c r="AD1492" s="1058" t="s">
        <v>578</v>
      </c>
      <c r="AE1492" s="1059" t="e">
        <v>#N/A</v>
      </c>
      <c r="AF1492" s="889" t="s">
        <v>459</v>
      </c>
      <c r="AG1492" s="889" t="s">
        <v>459</v>
      </c>
    </row>
    <row r="1493" spans="26:33" x14ac:dyDescent="0.35">
      <c r="Z1493" s="344">
        <v>3980</v>
      </c>
      <c r="AA1493" s="344" t="s">
        <v>574</v>
      </c>
      <c r="AB1493" s="344">
        <v>1</v>
      </c>
      <c r="AC1493" s="344" t="s">
        <v>471</v>
      </c>
      <c r="AD1493" s="1058" t="s">
        <v>575</v>
      </c>
      <c r="AE1493" s="1059">
        <v>402339</v>
      </c>
      <c r="AF1493" s="889" t="s">
        <v>459</v>
      </c>
      <c r="AG1493" s="889" t="s">
        <v>459</v>
      </c>
    </row>
    <row r="1494" spans="26:33" x14ac:dyDescent="0.35">
      <c r="Z1494" s="344">
        <v>3981</v>
      </c>
      <c r="AA1494" s="344" t="s">
        <v>574</v>
      </c>
      <c r="AB1494" s="344">
        <v>1</v>
      </c>
      <c r="AC1494" s="344" t="s">
        <v>471</v>
      </c>
      <c r="AD1494" s="1058" t="s">
        <v>575</v>
      </c>
      <c r="AE1494" s="1059">
        <v>373241</v>
      </c>
      <c r="AF1494" s="889" t="s">
        <v>459</v>
      </c>
      <c r="AG1494" s="889" t="s">
        <v>459</v>
      </c>
    </row>
    <row r="1495" spans="26:33" x14ac:dyDescent="0.35">
      <c r="Z1495" s="344">
        <v>3984</v>
      </c>
      <c r="AA1495" s="344" t="s">
        <v>574</v>
      </c>
      <c r="AB1495" s="344">
        <v>3</v>
      </c>
      <c r="AC1495" s="344" t="s">
        <v>464</v>
      </c>
      <c r="AD1495" s="1058" t="s">
        <v>576</v>
      </c>
      <c r="AE1495" s="1059">
        <v>295121</v>
      </c>
      <c r="AF1495" s="889" t="s">
        <v>459</v>
      </c>
      <c r="AG1495" s="889" t="s">
        <v>459</v>
      </c>
    </row>
    <row r="1496" spans="26:33" x14ac:dyDescent="0.35">
      <c r="Z1496" s="344">
        <v>3987</v>
      </c>
      <c r="AA1496" s="344" t="s">
        <v>574</v>
      </c>
      <c r="AB1496" s="344">
        <v>4</v>
      </c>
      <c r="AC1496" s="344" t="s">
        <v>471</v>
      </c>
      <c r="AD1496" s="1058" t="s">
        <v>578</v>
      </c>
      <c r="AE1496" s="1059">
        <v>341162</v>
      </c>
      <c r="AF1496" s="889" t="s">
        <v>459</v>
      </c>
      <c r="AG1496" s="889" t="s">
        <v>459</v>
      </c>
    </row>
    <row r="1497" spans="26:33" x14ac:dyDescent="0.35">
      <c r="Z1497" s="344">
        <v>3988</v>
      </c>
      <c r="AA1497" s="344" t="s">
        <v>574</v>
      </c>
      <c r="AB1497" s="344">
        <v>4</v>
      </c>
      <c r="AC1497" s="344" t="s">
        <v>464</v>
      </c>
      <c r="AD1497" s="1058" t="s">
        <v>578</v>
      </c>
      <c r="AE1497" s="1059">
        <v>256061</v>
      </c>
      <c r="AF1497" s="889" t="s">
        <v>459</v>
      </c>
      <c r="AG1497" s="889" t="s">
        <v>459</v>
      </c>
    </row>
    <row r="1498" spans="26:33" x14ac:dyDescent="0.35">
      <c r="Z1498" s="344">
        <v>3989</v>
      </c>
      <c r="AA1498" s="344" t="s">
        <v>574</v>
      </c>
      <c r="AB1498" s="344">
        <v>4</v>
      </c>
      <c r="AC1498" s="344" t="e">
        <v>#N/A</v>
      </c>
      <c r="AD1498" s="1058" t="s">
        <v>578</v>
      </c>
      <c r="AE1498" s="1059" t="e">
        <v>#N/A</v>
      </c>
      <c r="AF1498" s="889" t="s">
        <v>459</v>
      </c>
      <c r="AG1498" s="889" t="s">
        <v>459</v>
      </c>
    </row>
    <row r="1499" spans="26:33" x14ac:dyDescent="0.35">
      <c r="Z1499" s="344">
        <v>3990</v>
      </c>
      <c r="AA1499" s="344" t="s">
        <v>574</v>
      </c>
      <c r="AB1499" s="344">
        <v>4</v>
      </c>
      <c r="AC1499" s="344" t="e">
        <v>#N/A</v>
      </c>
      <c r="AD1499" s="1058" t="s">
        <v>578</v>
      </c>
      <c r="AE1499" s="1059" t="e">
        <v>#N/A</v>
      </c>
      <c r="AF1499" s="889" t="s">
        <v>459</v>
      </c>
      <c r="AG1499" s="889" t="s">
        <v>459</v>
      </c>
    </row>
    <row r="1500" spans="26:33" x14ac:dyDescent="0.35">
      <c r="Z1500" s="344">
        <v>3991</v>
      </c>
      <c r="AA1500" s="344" t="s">
        <v>574</v>
      </c>
      <c r="AB1500" s="344">
        <v>4</v>
      </c>
      <c r="AC1500" s="344" t="e">
        <v>#N/A</v>
      </c>
      <c r="AD1500" s="1058" t="s">
        <v>578</v>
      </c>
      <c r="AE1500" s="1059" t="e">
        <v>#N/A</v>
      </c>
      <c r="AF1500" s="889" t="s">
        <v>459</v>
      </c>
      <c r="AG1500" s="889" t="s">
        <v>459</v>
      </c>
    </row>
    <row r="1501" spans="26:33" x14ac:dyDescent="0.35">
      <c r="Z1501" s="344">
        <v>3992</v>
      </c>
      <c r="AA1501" s="344" t="s">
        <v>574</v>
      </c>
      <c r="AB1501" s="344">
        <v>4</v>
      </c>
      <c r="AC1501" s="344" t="s">
        <v>464</v>
      </c>
      <c r="AD1501" s="1058" t="s">
        <v>578</v>
      </c>
      <c r="AE1501" s="1059">
        <v>256347</v>
      </c>
      <c r="AF1501" s="889" t="s">
        <v>459</v>
      </c>
      <c r="AG1501" s="889" t="s">
        <v>459</v>
      </c>
    </row>
    <row r="1502" spans="26:33" x14ac:dyDescent="0.35">
      <c r="Z1502" s="344">
        <v>3995</v>
      </c>
      <c r="AA1502" s="344" t="s">
        <v>574</v>
      </c>
      <c r="AB1502" s="344">
        <v>3</v>
      </c>
      <c r="AC1502" s="344" t="s">
        <v>471</v>
      </c>
      <c r="AD1502" s="1058" t="s">
        <v>576</v>
      </c>
      <c r="AE1502" s="1059">
        <v>302884</v>
      </c>
      <c r="AF1502" s="889" t="s">
        <v>459</v>
      </c>
      <c r="AG1502" s="889" t="s">
        <v>459</v>
      </c>
    </row>
    <row r="1503" spans="26:33" x14ac:dyDescent="0.35">
      <c r="Z1503" s="344">
        <v>3996</v>
      </c>
      <c r="AA1503" s="344" t="s">
        <v>574</v>
      </c>
      <c r="AB1503" s="344">
        <v>3</v>
      </c>
      <c r="AC1503" s="344" t="s">
        <v>471</v>
      </c>
      <c r="AD1503" s="1058" t="s">
        <v>576</v>
      </c>
      <c r="AE1503" s="1059">
        <v>434349</v>
      </c>
      <c r="AF1503" s="889" t="s">
        <v>459</v>
      </c>
      <c r="AG1503" s="889" t="s">
        <v>459</v>
      </c>
    </row>
    <row r="1504" spans="26:33" x14ac:dyDescent="0.35">
      <c r="Z1504" s="344">
        <v>4000</v>
      </c>
      <c r="AA1504" s="344" t="s">
        <v>579</v>
      </c>
      <c r="AB1504" s="344">
        <v>1</v>
      </c>
      <c r="AC1504" s="344" t="s">
        <v>457</v>
      </c>
      <c r="AD1504" s="1058" t="s">
        <v>580</v>
      </c>
      <c r="AE1504" s="1059">
        <v>708143</v>
      </c>
      <c r="AF1504" s="889" t="s">
        <v>459</v>
      </c>
      <c r="AG1504" s="889" t="s">
        <v>460</v>
      </c>
    </row>
    <row r="1505" spans="26:33" x14ac:dyDescent="0.35">
      <c r="Z1505" s="344">
        <v>4001</v>
      </c>
      <c r="AA1505" s="344" t="s">
        <v>579</v>
      </c>
      <c r="AB1505" s="344">
        <v>1</v>
      </c>
      <c r="AC1505" s="344" t="e">
        <v>#N/A</v>
      </c>
      <c r="AD1505" s="1058" t="s">
        <v>580</v>
      </c>
      <c r="AE1505" s="1059" t="e">
        <v>#N/A</v>
      </c>
      <c r="AF1505" s="889" t="s">
        <v>459</v>
      </c>
      <c r="AG1505" s="889" t="s">
        <v>459</v>
      </c>
    </row>
    <row r="1506" spans="26:33" x14ac:dyDescent="0.35">
      <c r="Z1506" s="344">
        <v>4002</v>
      </c>
      <c r="AA1506" s="344" t="s">
        <v>579</v>
      </c>
      <c r="AB1506" s="344">
        <v>1</v>
      </c>
      <c r="AC1506" s="344" t="e">
        <v>#N/A</v>
      </c>
      <c r="AD1506" s="1058" t="s">
        <v>580</v>
      </c>
      <c r="AE1506" s="1059" t="e">
        <v>#N/A</v>
      </c>
      <c r="AF1506" s="889" t="s">
        <v>459</v>
      </c>
      <c r="AG1506" s="889" t="s">
        <v>459</v>
      </c>
    </row>
    <row r="1507" spans="26:33" x14ac:dyDescent="0.35">
      <c r="Z1507" s="344">
        <v>4003</v>
      </c>
      <c r="AA1507" s="344" t="s">
        <v>579</v>
      </c>
      <c r="AB1507" s="344">
        <v>1</v>
      </c>
      <c r="AC1507" s="344" t="e">
        <v>#N/A</v>
      </c>
      <c r="AD1507" s="1058" t="s">
        <v>580</v>
      </c>
      <c r="AE1507" s="1059" t="e">
        <v>#N/A</v>
      </c>
      <c r="AF1507" s="889" t="s">
        <v>459</v>
      </c>
      <c r="AG1507" s="889" t="s">
        <v>459</v>
      </c>
    </row>
    <row r="1508" spans="26:33" x14ac:dyDescent="0.35">
      <c r="Z1508" s="344">
        <v>4004</v>
      </c>
      <c r="AA1508" s="344" t="s">
        <v>579</v>
      </c>
      <c r="AB1508" s="344">
        <v>1</v>
      </c>
      <c r="AC1508" s="344" t="e">
        <v>#N/A</v>
      </c>
      <c r="AD1508" s="1058" t="s">
        <v>580</v>
      </c>
      <c r="AE1508" s="1059" t="e">
        <v>#N/A</v>
      </c>
      <c r="AF1508" s="889" t="s">
        <v>459</v>
      </c>
      <c r="AG1508" s="889" t="s">
        <v>459</v>
      </c>
    </row>
    <row r="1509" spans="26:33" x14ac:dyDescent="0.35">
      <c r="Z1509" s="344">
        <v>4005</v>
      </c>
      <c r="AA1509" s="344" t="s">
        <v>579</v>
      </c>
      <c r="AB1509" s="344">
        <v>1</v>
      </c>
      <c r="AC1509" s="344" t="s">
        <v>482</v>
      </c>
      <c r="AD1509" s="1058" t="s">
        <v>580</v>
      </c>
      <c r="AE1509" s="1059">
        <v>1173954</v>
      </c>
      <c r="AF1509" s="889" t="s">
        <v>459</v>
      </c>
      <c r="AG1509" s="889" t="s">
        <v>459</v>
      </c>
    </row>
    <row r="1510" spans="26:33" x14ac:dyDescent="0.35">
      <c r="Z1510" s="344">
        <v>4006</v>
      </c>
      <c r="AA1510" s="344" t="s">
        <v>579</v>
      </c>
      <c r="AB1510" s="344">
        <v>1</v>
      </c>
      <c r="AC1510" s="344" t="s">
        <v>457</v>
      </c>
      <c r="AD1510" s="1058" t="s">
        <v>580</v>
      </c>
      <c r="AE1510" s="1059">
        <v>725755</v>
      </c>
      <c r="AF1510" s="889" t="s">
        <v>459</v>
      </c>
      <c r="AG1510" s="889" t="s">
        <v>460</v>
      </c>
    </row>
    <row r="1511" spans="26:33" x14ac:dyDescent="0.35">
      <c r="Z1511" s="344">
        <v>4007</v>
      </c>
      <c r="AA1511" s="344" t="s">
        <v>579</v>
      </c>
      <c r="AB1511" s="344">
        <v>1</v>
      </c>
      <c r="AC1511" s="344" t="s">
        <v>482</v>
      </c>
      <c r="AD1511" s="1058" t="s">
        <v>580</v>
      </c>
      <c r="AE1511" s="1059">
        <v>1211319</v>
      </c>
      <c r="AF1511" s="889" t="s">
        <v>459</v>
      </c>
      <c r="AG1511" s="889" t="s">
        <v>460</v>
      </c>
    </row>
    <row r="1512" spans="26:33" x14ac:dyDescent="0.35">
      <c r="Z1512" s="344">
        <v>4008</v>
      </c>
      <c r="AA1512" s="344" t="s">
        <v>579</v>
      </c>
      <c r="AB1512" s="344">
        <v>1</v>
      </c>
      <c r="AC1512" s="344" t="s">
        <v>471</v>
      </c>
      <c r="AD1512" s="1058" t="s">
        <v>580</v>
      </c>
      <c r="AE1512" s="1059">
        <v>375796</v>
      </c>
      <c r="AF1512" s="889" t="s">
        <v>459</v>
      </c>
      <c r="AG1512" s="889" t="s">
        <v>459</v>
      </c>
    </row>
    <row r="1513" spans="26:33" x14ac:dyDescent="0.35">
      <c r="Z1513" s="344">
        <v>4009</v>
      </c>
      <c r="AA1513" s="344" t="s">
        <v>579</v>
      </c>
      <c r="AB1513" s="344">
        <v>1</v>
      </c>
      <c r="AC1513" s="344" t="e">
        <v>#N/A</v>
      </c>
      <c r="AD1513" s="1058" t="s">
        <v>580</v>
      </c>
      <c r="AE1513" s="1059" t="e">
        <v>#N/A</v>
      </c>
      <c r="AF1513" s="889" t="s">
        <v>459</v>
      </c>
      <c r="AG1513" s="889" t="s">
        <v>459</v>
      </c>
    </row>
    <row r="1514" spans="26:33" x14ac:dyDescent="0.35">
      <c r="Z1514" s="344">
        <v>4010</v>
      </c>
      <c r="AA1514" s="344" t="s">
        <v>579</v>
      </c>
      <c r="AB1514" s="344">
        <v>1</v>
      </c>
      <c r="AC1514" s="344" t="s">
        <v>457</v>
      </c>
      <c r="AD1514" s="1058" t="s">
        <v>580</v>
      </c>
      <c r="AE1514" s="1059">
        <v>686533</v>
      </c>
      <c r="AF1514" s="889" t="s">
        <v>459</v>
      </c>
      <c r="AG1514" s="889" t="s">
        <v>269</v>
      </c>
    </row>
    <row r="1515" spans="26:33" x14ac:dyDescent="0.35">
      <c r="Z1515" s="344">
        <v>4011</v>
      </c>
      <c r="AA1515" s="344" t="s">
        <v>579</v>
      </c>
      <c r="AB1515" s="344">
        <v>1</v>
      </c>
      <c r="AC1515" s="344" t="s">
        <v>482</v>
      </c>
      <c r="AD1515" s="1058" t="s">
        <v>580</v>
      </c>
      <c r="AE1515" s="1059">
        <v>938689</v>
      </c>
      <c r="AF1515" s="889" t="s">
        <v>459</v>
      </c>
      <c r="AG1515" s="889" t="s">
        <v>459</v>
      </c>
    </row>
    <row r="1516" spans="26:33" x14ac:dyDescent="0.35">
      <c r="Z1516" s="344">
        <v>4012</v>
      </c>
      <c r="AA1516" s="344" t="s">
        <v>579</v>
      </c>
      <c r="AB1516" s="344">
        <v>1</v>
      </c>
      <c r="AC1516" s="344" t="s">
        <v>457</v>
      </c>
      <c r="AD1516" s="1058" t="s">
        <v>580</v>
      </c>
      <c r="AE1516" s="1059">
        <v>612640</v>
      </c>
      <c r="AF1516" s="889" t="s">
        <v>459</v>
      </c>
      <c r="AG1516" s="889" t="s">
        <v>459</v>
      </c>
    </row>
    <row r="1517" spans="26:33" x14ac:dyDescent="0.35">
      <c r="Z1517" s="344">
        <v>4013</v>
      </c>
      <c r="AA1517" s="344" t="s">
        <v>579</v>
      </c>
      <c r="AB1517" s="344">
        <v>1</v>
      </c>
      <c r="AC1517" s="344" t="s">
        <v>457</v>
      </c>
      <c r="AD1517" s="1058" t="s">
        <v>580</v>
      </c>
      <c r="AE1517" s="1059">
        <v>594432</v>
      </c>
      <c r="AF1517" s="889" t="s">
        <v>459</v>
      </c>
      <c r="AG1517" s="889" t="s">
        <v>459</v>
      </c>
    </row>
    <row r="1518" spans="26:33" x14ac:dyDescent="0.35">
      <c r="Z1518" s="344">
        <v>4014</v>
      </c>
      <c r="AA1518" s="344" t="s">
        <v>579</v>
      </c>
      <c r="AB1518" s="344">
        <v>1</v>
      </c>
      <c r="AC1518" s="344" t="s">
        <v>457</v>
      </c>
      <c r="AD1518" s="1058" t="s">
        <v>580</v>
      </c>
      <c r="AE1518" s="1059">
        <v>519188</v>
      </c>
      <c r="AF1518" s="889" t="s">
        <v>459</v>
      </c>
      <c r="AG1518" s="889" t="s">
        <v>459</v>
      </c>
    </row>
    <row r="1519" spans="26:33" x14ac:dyDescent="0.35">
      <c r="Z1519" s="344">
        <v>4015</v>
      </c>
      <c r="AA1519" s="344" t="s">
        <v>579</v>
      </c>
      <c r="AB1519" s="344">
        <v>1</v>
      </c>
      <c r="AC1519" s="344" t="e">
        <v>#N/A</v>
      </c>
      <c r="AD1519" s="1058" t="s">
        <v>580</v>
      </c>
      <c r="AE1519" s="1059" t="e">
        <v>#N/A</v>
      </c>
      <c r="AF1519" s="889" t="s">
        <v>459</v>
      </c>
      <c r="AG1519" s="889" t="s">
        <v>459</v>
      </c>
    </row>
    <row r="1520" spans="26:33" x14ac:dyDescent="0.35">
      <c r="Z1520" s="344">
        <v>4016</v>
      </c>
      <c r="AA1520" s="344" t="s">
        <v>579</v>
      </c>
      <c r="AB1520" s="344">
        <v>1</v>
      </c>
      <c r="AC1520" s="344" t="e">
        <v>#N/A</v>
      </c>
      <c r="AD1520" s="1058" t="s">
        <v>580</v>
      </c>
      <c r="AE1520" s="1059" t="e">
        <v>#N/A</v>
      </c>
      <c r="AF1520" s="889" t="s">
        <v>459</v>
      </c>
      <c r="AG1520" s="889" t="s">
        <v>459</v>
      </c>
    </row>
    <row r="1521" spans="26:33" x14ac:dyDescent="0.35">
      <c r="Z1521" s="344">
        <v>4017</v>
      </c>
      <c r="AA1521" s="344" t="s">
        <v>579</v>
      </c>
      <c r="AB1521" s="344">
        <v>1</v>
      </c>
      <c r="AC1521" s="344" t="s">
        <v>457</v>
      </c>
      <c r="AD1521" s="1058" t="s">
        <v>580</v>
      </c>
      <c r="AE1521" s="1059">
        <v>518045</v>
      </c>
      <c r="AF1521" s="889" t="s">
        <v>459</v>
      </c>
      <c r="AG1521" s="889" t="s">
        <v>459</v>
      </c>
    </row>
    <row r="1522" spans="26:33" x14ac:dyDescent="0.35">
      <c r="Z1522" s="344">
        <v>4018</v>
      </c>
      <c r="AA1522" s="344" t="s">
        <v>579</v>
      </c>
      <c r="AB1522" s="344">
        <v>1</v>
      </c>
      <c r="AC1522" s="344" t="s">
        <v>471</v>
      </c>
      <c r="AD1522" s="1058" t="s">
        <v>580</v>
      </c>
      <c r="AE1522" s="1059">
        <v>421804</v>
      </c>
      <c r="AF1522" s="889" t="s">
        <v>459</v>
      </c>
      <c r="AG1522" s="889" t="s">
        <v>459</v>
      </c>
    </row>
    <row r="1523" spans="26:33" x14ac:dyDescent="0.35">
      <c r="Z1523" s="344">
        <v>4019</v>
      </c>
      <c r="AA1523" s="344" t="s">
        <v>579</v>
      </c>
      <c r="AB1523" s="344">
        <v>1</v>
      </c>
      <c r="AC1523" s="344" t="s">
        <v>471</v>
      </c>
      <c r="AD1523" s="1058" t="s">
        <v>580</v>
      </c>
      <c r="AE1523" s="1059">
        <v>391730</v>
      </c>
      <c r="AF1523" s="889" t="s">
        <v>459</v>
      </c>
      <c r="AG1523" s="889" t="s">
        <v>459</v>
      </c>
    </row>
    <row r="1524" spans="26:33" x14ac:dyDescent="0.35">
      <c r="Z1524" s="344">
        <v>4020</v>
      </c>
      <c r="AA1524" s="344" t="s">
        <v>579</v>
      </c>
      <c r="AB1524" s="344">
        <v>1</v>
      </c>
      <c r="AC1524" s="344" t="s">
        <v>457</v>
      </c>
      <c r="AD1524" s="1058" t="s">
        <v>580</v>
      </c>
      <c r="AE1524" s="1059">
        <v>561367</v>
      </c>
      <c r="AF1524" s="889" t="s">
        <v>459</v>
      </c>
      <c r="AG1524" s="889" t="s">
        <v>459</v>
      </c>
    </row>
    <row r="1525" spans="26:33" x14ac:dyDescent="0.35">
      <c r="Z1525" s="344">
        <v>4021</v>
      </c>
      <c r="AA1525" s="344" t="s">
        <v>579</v>
      </c>
      <c r="AB1525" s="344">
        <v>1</v>
      </c>
      <c r="AC1525" s="344" t="s">
        <v>471</v>
      </c>
      <c r="AD1525" s="1058" t="s">
        <v>580</v>
      </c>
      <c r="AE1525" s="1059">
        <v>373746</v>
      </c>
      <c r="AF1525" s="889" t="s">
        <v>459</v>
      </c>
      <c r="AG1525" s="889" t="s">
        <v>459</v>
      </c>
    </row>
    <row r="1526" spans="26:33" x14ac:dyDescent="0.35">
      <c r="Z1526" s="344">
        <v>4022</v>
      </c>
      <c r="AA1526" s="344" t="s">
        <v>579</v>
      </c>
      <c r="AB1526" s="344">
        <v>1</v>
      </c>
      <c r="AC1526" s="344" t="s">
        <v>471</v>
      </c>
      <c r="AD1526" s="1058" t="s">
        <v>580</v>
      </c>
      <c r="AE1526" s="1059">
        <v>375591</v>
      </c>
      <c r="AF1526" s="889" t="s">
        <v>459</v>
      </c>
      <c r="AG1526" s="889" t="s">
        <v>459</v>
      </c>
    </row>
    <row r="1527" spans="26:33" x14ac:dyDescent="0.35">
      <c r="Z1527" s="344">
        <v>4025</v>
      </c>
      <c r="AA1527" s="344" t="s">
        <v>579</v>
      </c>
      <c r="AB1527" s="344">
        <v>4</v>
      </c>
      <c r="AC1527" s="344" t="s">
        <v>457</v>
      </c>
      <c r="AD1527" s="1058" t="s">
        <v>581</v>
      </c>
      <c r="AE1527" s="1059">
        <v>509418</v>
      </c>
      <c r="AF1527" s="889" t="s">
        <v>459</v>
      </c>
      <c r="AG1527" s="889" t="s">
        <v>459</v>
      </c>
    </row>
    <row r="1528" spans="26:33" x14ac:dyDescent="0.35">
      <c r="Z1528" s="344">
        <v>4030</v>
      </c>
      <c r="AA1528" s="344" t="s">
        <v>579</v>
      </c>
      <c r="AB1528" s="344">
        <v>1</v>
      </c>
      <c r="AC1528" s="344" t="s">
        <v>457</v>
      </c>
      <c r="AD1528" s="1058" t="s">
        <v>580</v>
      </c>
      <c r="AE1528" s="1059">
        <v>702380</v>
      </c>
      <c r="AF1528" s="889" t="s">
        <v>459</v>
      </c>
      <c r="AG1528" s="889" t="s">
        <v>459</v>
      </c>
    </row>
    <row r="1529" spans="26:33" x14ac:dyDescent="0.35">
      <c r="Z1529" s="344">
        <v>4031</v>
      </c>
      <c r="AA1529" s="344" t="s">
        <v>579</v>
      </c>
      <c r="AB1529" s="344">
        <v>1</v>
      </c>
      <c r="AC1529" s="344" t="s">
        <v>457</v>
      </c>
      <c r="AD1529" s="1058" t="s">
        <v>580</v>
      </c>
      <c r="AE1529" s="1059">
        <v>654728</v>
      </c>
      <c r="AF1529" s="889" t="s">
        <v>459</v>
      </c>
      <c r="AG1529" s="889" t="s">
        <v>459</v>
      </c>
    </row>
    <row r="1530" spans="26:33" x14ac:dyDescent="0.35">
      <c r="Z1530" s="344">
        <v>4032</v>
      </c>
      <c r="AA1530" s="344" t="s">
        <v>579</v>
      </c>
      <c r="AB1530" s="344">
        <v>1</v>
      </c>
      <c r="AC1530" s="344" t="s">
        <v>457</v>
      </c>
      <c r="AD1530" s="1058" t="s">
        <v>580</v>
      </c>
      <c r="AE1530" s="1059">
        <v>505106</v>
      </c>
      <c r="AF1530" s="889" t="s">
        <v>459</v>
      </c>
      <c r="AG1530" s="889" t="s">
        <v>460</v>
      </c>
    </row>
    <row r="1531" spans="26:33" x14ac:dyDescent="0.35">
      <c r="Z1531" s="344">
        <v>4033</v>
      </c>
      <c r="AA1531" s="344" t="s">
        <v>579</v>
      </c>
      <c r="AB1531" s="344">
        <v>1</v>
      </c>
      <c r="AC1531" s="344" t="e">
        <v>#N/A</v>
      </c>
      <c r="AD1531" s="1058" t="s">
        <v>580</v>
      </c>
      <c r="AE1531" s="1059" t="e">
        <v>#N/A</v>
      </c>
      <c r="AF1531" s="889" t="s">
        <v>459</v>
      </c>
      <c r="AG1531" s="889" t="s">
        <v>459</v>
      </c>
    </row>
    <row r="1532" spans="26:33" x14ac:dyDescent="0.35">
      <c r="Z1532" s="344">
        <v>4034</v>
      </c>
      <c r="AA1532" s="344" t="s">
        <v>579</v>
      </c>
      <c r="AB1532" s="344">
        <v>1</v>
      </c>
      <c r="AC1532" s="344" t="s">
        <v>457</v>
      </c>
      <c r="AD1532" s="1058" t="s">
        <v>580</v>
      </c>
      <c r="AE1532" s="1059">
        <v>467115</v>
      </c>
      <c r="AF1532" s="889" t="s">
        <v>459</v>
      </c>
      <c r="AG1532" s="889" t="s">
        <v>459</v>
      </c>
    </row>
    <row r="1533" spans="26:33" x14ac:dyDescent="0.35">
      <c r="Z1533" s="344">
        <v>4035</v>
      </c>
      <c r="AA1533" s="344" t="s">
        <v>579</v>
      </c>
      <c r="AB1533" s="344">
        <v>1</v>
      </c>
      <c r="AC1533" s="344" t="s">
        <v>457</v>
      </c>
      <c r="AD1533" s="1058" t="s">
        <v>580</v>
      </c>
      <c r="AE1533" s="1059">
        <v>605366</v>
      </c>
      <c r="AF1533" s="889" t="s">
        <v>459</v>
      </c>
      <c r="AG1533" s="889" t="s">
        <v>459</v>
      </c>
    </row>
    <row r="1534" spans="26:33" x14ac:dyDescent="0.35">
      <c r="Z1534" s="344">
        <v>4036</v>
      </c>
      <c r="AA1534" s="344" t="s">
        <v>579</v>
      </c>
      <c r="AB1534" s="344">
        <v>1</v>
      </c>
      <c r="AC1534" s="344" t="s">
        <v>471</v>
      </c>
      <c r="AD1534" s="1058" t="s">
        <v>580</v>
      </c>
      <c r="AE1534" s="1059">
        <v>386458</v>
      </c>
      <c r="AF1534" s="889" t="s">
        <v>459</v>
      </c>
      <c r="AG1534" s="889" t="s">
        <v>459</v>
      </c>
    </row>
    <row r="1535" spans="26:33" x14ac:dyDescent="0.35">
      <c r="Z1535" s="344">
        <v>4037</v>
      </c>
      <c r="AA1535" s="344" t="s">
        <v>579</v>
      </c>
      <c r="AB1535" s="344">
        <v>1</v>
      </c>
      <c r="AC1535" s="344" t="s">
        <v>457</v>
      </c>
      <c r="AD1535" s="1058" t="s">
        <v>580</v>
      </c>
      <c r="AE1535" s="1059">
        <v>545051</v>
      </c>
      <c r="AF1535" s="889" t="s">
        <v>459</v>
      </c>
      <c r="AG1535" s="889" t="s">
        <v>459</v>
      </c>
    </row>
    <row r="1536" spans="26:33" x14ac:dyDescent="0.35">
      <c r="Z1536" s="344">
        <v>4038</v>
      </c>
      <c r="AA1536" s="344" t="s">
        <v>579</v>
      </c>
      <c r="AB1536" s="344">
        <v>1</v>
      </c>
      <c r="AC1536" s="344" t="e">
        <v>#N/A</v>
      </c>
      <c r="AD1536" s="1058" t="s">
        <v>580</v>
      </c>
      <c r="AE1536" s="1059" t="e">
        <v>#N/A</v>
      </c>
      <c r="AF1536" s="889" t="s">
        <v>459</v>
      </c>
      <c r="AG1536" s="889" t="s">
        <v>459</v>
      </c>
    </row>
    <row r="1537" spans="26:33" x14ac:dyDescent="0.35">
      <c r="Z1537" s="344">
        <v>4039</v>
      </c>
      <c r="AA1537" s="344" t="s">
        <v>579</v>
      </c>
      <c r="AB1537" s="344">
        <v>1</v>
      </c>
      <c r="AC1537" s="344" t="e">
        <v>#N/A</v>
      </c>
      <c r="AD1537" s="1058" t="s">
        <v>580</v>
      </c>
      <c r="AE1537" s="1059" t="e">
        <v>#N/A</v>
      </c>
      <c r="AF1537" s="889" t="s">
        <v>459</v>
      </c>
      <c r="AG1537" s="889" t="s">
        <v>459</v>
      </c>
    </row>
    <row r="1538" spans="26:33" x14ac:dyDescent="0.35">
      <c r="Z1538" s="344">
        <v>4040</v>
      </c>
      <c r="AA1538" s="344" t="s">
        <v>579</v>
      </c>
      <c r="AB1538" s="344">
        <v>1</v>
      </c>
      <c r="AC1538" s="344" t="e">
        <v>#N/A</v>
      </c>
      <c r="AD1538" s="1058" t="s">
        <v>580</v>
      </c>
      <c r="AE1538" s="1059" t="e">
        <v>#N/A</v>
      </c>
      <c r="AF1538" s="889" t="s">
        <v>459</v>
      </c>
      <c r="AG1538" s="889" t="s">
        <v>459</v>
      </c>
    </row>
    <row r="1539" spans="26:33" x14ac:dyDescent="0.35">
      <c r="Z1539" s="344">
        <v>4041</v>
      </c>
      <c r="AA1539" s="344" t="s">
        <v>579</v>
      </c>
      <c r="AB1539" s="344">
        <v>1</v>
      </c>
      <c r="AC1539" s="344" t="e">
        <v>#N/A</v>
      </c>
      <c r="AD1539" s="1058" t="s">
        <v>580</v>
      </c>
      <c r="AE1539" s="1059" t="e">
        <v>#N/A</v>
      </c>
      <c r="AF1539" s="889" t="s">
        <v>459</v>
      </c>
      <c r="AG1539" s="889" t="s">
        <v>459</v>
      </c>
    </row>
    <row r="1540" spans="26:33" x14ac:dyDescent="0.35">
      <c r="Z1540" s="344">
        <v>4042</v>
      </c>
      <c r="AA1540" s="344" t="s">
        <v>579</v>
      </c>
      <c r="AB1540" s="344">
        <v>1</v>
      </c>
      <c r="AC1540" s="344" t="e">
        <v>#N/A</v>
      </c>
      <c r="AD1540" s="1058" t="s">
        <v>580</v>
      </c>
      <c r="AE1540" s="1059" t="e">
        <v>#N/A</v>
      </c>
      <c r="AF1540" s="889" t="s">
        <v>459</v>
      </c>
      <c r="AG1540" s="889" t="s">
        <v>459</v>
      </c>
    </row>
    <row r="1541" spans="26:33" x14ac:dyDescent="0.35">
      <c r="Z1541" s="344">
        <v>4043</v>
      </c>
      <c r="AA1541" s="344" t="s">
        <v>579</v>
      </c>
      <c r="AB1541" s="344">
        <v>1</v>
      </c>
      <c r="AC1541" s="344" t="e">
        <v>#N/A</v>
      </c>
      <c r="AD1541" s="1058" t="s">
        <v>580</v>
      </c>
      <c r="AE1541" s="1059" t="e">
        <v>#N/A</v>
      </c>
      <c r="AF1541" s="889" t="s">
        <v>459</v>
      </c>
      <c r="AG1541" s="889" t="s">
        <v>459</v>
      </c>
    </row>
    <row r="1542" spans="26:33" x14ac:dyDescent="0.35">
      <c r="Z1542" s="344">
        <v>4044</v>
      </c>
      <c r="AA1542" s="344" t="s">
        <v>579</v>
      </c>
      <c r="AB1542" s="344">
        <v>1</v>
      </c>
      <c r="AC1542" s="344" t="e">
        <v>#N/A</v>
      </c>
      <c r="AD1542" s="1058" t="s">
        <v>580</v>
      </c>
      <c r="AE1542" s="1059" t="e">
        <v>#N/A</v>
      </c>
      <c r="AF1542" s="889" t="s">
        <v>459</v>
      </c>
      <c r="AG1542" s="889" t="s">
        <v>459</v>
      </c>
    </row>
    <row r="1543" spans="26:33" x14ac:dyDescent="0.35">
      <c r="Z1543" s="344">
        <v>4045</v>
      </c>
      <c r="AA1543" s="344" t="s">
        <v>579</v>
      </c>
      <c r="AB1543" s="344">
        <v>1</v>
      </c>
      <c r="AC1543" s="344" t="e">
        <v>#N/A</v>
      </c>
      <c r="AD1543" s="1058" t="s">
        <v>580</v>
      </c>
      <c r="AE1543" s="1059" t="e">
        <v>#N/A</v>
      </c>
      <c r="AF1543" s="889" t="s">
        <v>459</v>
      </c>
      <c r="AG1543" s="889" t="s">
        <v>459</v>
      </c>
    </row>
    <row r="1544" spans="26:33" x14ac:dyDescent="0.35">
      <c r="Z1544" s="344">
        <v>4046</v>
      </c>
      <c r="AA1544" s="344" t="s">
        <v>579</v>
      </c>
      <c r="AB1544" s="344">
        <v>1</v>
      </c>
      <c r="AC1544" s="344" t="e">
        <v>#N/A</v>
      </c>
      <c r="AD1544" s="1058" t="s">
        <v>580</v>
      </c>
      <c r="AE1544" s="1059" t="e">
        <v>#N/A</v>
      </c>
      <c r="AF1544" s="889" t="s">
        <v>459</v>
      </c>
      <c r="AG1544" s="889" t="s">
        <v>459</v>
      </c>
    </row>
    <row r="1545" spans="26:33" x14ac:dyDescent="0.35">
      <c r="Z1545" s="344">
        <v>4047</v>
      </c>
      <c r="AA1545" s="344" t="s">
        <v>579</v>
      </c>
      <c r="AB1545" s="344">
        <v>1</v>
      </c>
      <c r="AC1545" s="344" t="e">
        <v>#N/A</v>
      </c>
      <c r="AD1545" s="1058" t="s">
        <v>580</v>
      </c>
      <c r="AE1545" s="1059" t="e">
        <v>#N/A</v>
      </c>
      <c r="AF1545" s="889" t="s">
        <v>459</v>
      </c>
      <c r="AG1545" s="889" t="s">
        <v>459</v>
      </c>
    </row>
    <row r="1546" spans="26:33" x14ac:dyDescent="0.35">
      <c r="Z1546" s="344">
        <v>4048</v>
      </c>
      <c r="AA1546" s="344" t="s">
        <v>579</v>
      </c>
      <c r="AB1546" s="344">
        <v>1</v>
      </c>
      <c r="AC1546" s="344" t="e">
        <v>#N/A</v>
      </c>
      <c r="AD1546" s="1058" t="s">
        <v>580</v>
      </c>
      <c r="AE1546" s="1059" t="e">
        <v>#N/A</v>
      </c>
      <c r="AF1546" s="889" t="s">
        <v>459</v>
      </c>
      <c r="AG1546" s="889" t="s">
        <v>459</v>
      </c>
    </row>
    <row r="1547" spans="26:33" x14ac:dyDescent="0.35">
      <c r="Z1547" s="344">
        <v>4049</v>
      </c>
      <c r="AA1547" s="344" t="s">
        <v>579</v>
      </c>
      <c r="AB1547" s="344">
        <v>1</v>
      </c>
      <c r="AC1547" s="344" t="e">
        <v>#N/A</v>
      </c>
      <c r="AD1547" s="1058" t="s">
        <v>580</v>
      </c>
      <c r="AE1547" s="1059" t="e">
        <v>#N/A</v>
      </c>
      <c r="AF1547" s="889" t="s">
        <v>459</v>
      </c>
      <c r="AG1547" s="889" t="s">
        <v>459</v>
      </c>
    </row>
    <row r="1548" spans="26:33" x14ac:dyDescent="0.35">
      <c r="Z1548" s="344">
        <v>4050</v>
      </c>
      <c r="AA1548" s="344" t="s">
        <v>579</v>
      </c>
      <c r="AB1548" s="344">
        <v>1</v>
      </c>
      <c r="AC1548" s="344" t="e">
        <v>#N/A</v>
      </c>
      <c r="AD1548" s="1058" t="s">
        <v>580</v>
      </c>
      <c r="AE1548" s="1059" t="e">
        <v>#N/A</v>
      </c>
      <c r="AF1548" s="889" t="s">
        <v>459</v>
      </c>
      <c r="AG1548" s="889" t="s">
        <v>459</v>
      </c>
    </row>
    <row r="1549" spans="26:33" x14ac:dyDescent="0.35">
      <c r="Z1549" s="344">
        <v>4051</v>
      </c>
      <c r="AA1549" s="344" t="s">
        <v>579</v>
      </c>
      <c r="AB1549" s="344">
        <v>1</v>
      </c>
      <c r="AC1549" s="344" t="s">
        <v>457</v>
      </c>
      <c r="AD1549" s="1058" t="s">
        <v>580</v>
      </c>
      <c r="AE1549" s="1059">
        <v>685770</v>
      </c>
      <c r="AF1549" s="889" t="s">
        <v>459</v>
      </c>
      <c r="AG1549" s="889" t="s">
        <v>459</v>
      </c>
    </row>
    <row r="1550" spans="26:33" x14ac:dyDescent="0.35">
      <c r="Z1550" s="344">
        <v>4052</v>
      </c>
      <c r="AA1550" s="344" t="s">
        <v>579</v>
      </c>
      <c r="AB1550" s="344">
        <v>1</v>
      </c>
      <c r="AC1550" s="344" t="e">
        <v>#N/A</v>
      </c>
      <c r="AD1550" s="1058" t="s">
        <v>580</v>
      </c>
      <c r="AE1550" s="1059" t="e">
        <v>#N/A</v>
      </c>
      <c r="AF1550" s="889" t="s">
        <v>459</v>
      </c>
      <c r="AG1550" s="889" t="s">
        <v>459</v>
      </c>
    </row>
    <row r="1551" spans="26:33" x14ac:dyDescent="0.35">
      <c r="Z1551" s="344">
        <v>4053</v>
      </c>
      <c r="AA1551" s="344" t="s">
        <v>579</v>
      </c>
      <c r="AB1551" s="344">
        <v>1</v>
      </c>
      <c r="AC1551" s="344" t="s">
        <v>457</v>
      </c>
      <c r="AD1551" s="1058" t="s">
        <v>580</v>
      </c>
      <c r="AE1551" s="1059">
        <v>525564</v>
      </c>
      <c r="AF1551" s="889" t="s">
        <v>459</v>
      </c>
      <c r="AG1551" s="889" t="s">
        <v>459</v>
      </c>
    </row>
    <row r="1552" spans="26:33" x14ac:dyDescent="0.35">
      <c r="Z1552" s="344">
        <v>4054</v>
      </c>
      <c r="AA1552" s="344" t="s">
        <v>579</v>
      </c>
      <c r="AB1552" s="344">
        <v>1</v>
      </c>
      <c r="AC1552" s="344" t="s">
        <v>471</v>
      </c>
      <c r="AD1552" s="1058" t="s">
        <v>580</v>
      </c>
      <c r="AE1552" s="1059">
        <v>440831</v>
      </c>
      <c r="AF1552" s="889" t="s">
        <v>459</v>
      </c>
      <c r="AG1552" s="889" t="s">
        <v>459</v>
      </c>
    </row>
    <row r="1553" spans="26:33" x14ac:dyDescent="0.35">
      <c r="Z1553" s="344">
        <v>4055</v>
      </c>
      <c r="AA1553" s="344" t="s">
        <v>579</v>
      </c>
      <c r="AB1553" s="344">
        <v>1</v>
      </c>
      <c r="AC1553" s="344" t="s">
        <v>457</v>
      </c>
      <c r="AD1553" s="1058" t="s">
        <v>580</v>
      </c>
      <c r="AE1553" s="1059">
        <v>572218</v>
      </c>
      <c r="AF1553" s="889" t="s">
        <v>459</v>
      </c>
      <c r="AG1553" s="889" t="s">
        <v>459</v>
      </c>
    </row>
    <row r="1554" spans="26:33" x14ac:dyDescent="0.35">
      <c r="Z1554" s="344">
        <v>4056</v>
      </c>
      <c r="AA1554" s="344" t="s">
        <v>579</v>
      </c>
      <c r="AB1554" s="344">
        <v>1</v>
      </c>
      <c r="AC1554" s="344" t="e">
        <v>#N/A</v>
      </c>
      <c r="AD1554" s="1058" t="s">
        <v>580</v>
      </c>
      <c r="AE1554" s="1059" t="e">
        <v>#N/A</v>
      </c>
      <c r="AF1554" s="889" t="s">
        <v>459</v>
      </c>
      <c r="AG1554" s="889" t="s">
        <v>459</v>
      </c>
    </row>
    <row r="1555" spans="26:33" x14ac:dyDescent="0.35">
      <c r="Z1555" s="344">
        <v>4057</v>
      </c>
      <c r="AA1555" s="344" t="s">
        <v>579</v>
      </c>
      <c r="AB1555" s="344">
        <v>1</v>
      </c>
      <c r="AC1555" s="344" t="e">
        <v>#N/A</v>
      </c>
      <c r="AD1555" s="1058" t="s">
        <v>580</v>
      </c>
      <c r="AE1555" s="1059" t="e">
        <v>#N/A</v>
      </c>
      <c r="AF1555" s="889" t="s">
        <v>459</v>
      </c>
      <c r="AG1555" s="889" t="s">
        <v>459</v>
      </c>
    </row>
    <row r="1556" spans="26:33" x14ac:dyDescent="0.35">
      <c r="Z1556" s="344">
        <v>4058</v>
      </c>
      <c r="AA1556" s="344" t="s">
        <v>579</v>
      </c>
      <c r="AB1556" s="344">
        <v>1</v>
      </c>
      <c r="AC1556" s="344" t="e">
        <v>#N/A</v>
      </c>
      <c r="AD1556" s="1058" t="s">
        <v>580</v>
      </c>
      <c r="AE1556" s="1059" t="e">
        <v>#N/A</v>
      </c>
      <c r="AF1556" s="889" t="s">
        <v>459</v>
      </c>
      <c r="AG1556" s="889" t="s">
        <v>459</v>
      </c>
    </row>
    <row r="1557" spans="26:33" x14ac:dyDescent="0.35">
      <c r="Z1557" s="344">
        <v>4059</v>
      </c>
      <c r="AA1557" s="344" t="s">
        <v>579</v>
      </c>
      <c r="AB1557" s="344">
        <v>1</v>
      </c>
      <c r="AC1557" s="344" t="s">
        <v>479</v>
      </c>
      <c r="AD1557" s="1058" t="s">
        <v>580</v>
      </c>
      <c r="AE1557" s="1059">
        <v>761363</v>
      </c>
      <c r="AF1557" s="889" t="s">
        <v>459</v>
      </c>
      <c r="AG1557" s="889" t="s">
        <v>459</v>
      </c>
    </row>
    <row r="1558" spans="26:33" x14ac:dyDescent="0.35">
      <c r="Z1558" s="344">
        <v>4060</v>
      </c>
      <c r="AA1558" s="344" t="s">
        <v>579</v>
      </c>
      <c r="AB1558" s="344">
        <v>1</v>
      </c>
      <c r="AC1558" s="344" t="s">
        <v>479</v>
      </c>
      <c r="AD1558" s="1058" t="s">
        <v>580</v>
      </c>
      <c r="AE1558" s="1059">
        <v>857511</v>
      </c>
      <c r="AF1558" s="889" t="s">
        <v>459</v>
      </c>
      <c r="AG1558" s="889" t="s">
        <v>459</v>
      </c>
    </row>
    <row r="1559" spans="26:33" x14ac:dyDescent="0.35">
      <c r="Z1559" s="344">
        <v>4061</v>
      </c>
      <c r="AA1559" s="344" t="s">
        <v>579</v>
      </c>
      <c r="AB1559" s="344">
        <v>1</v>
      </c>
      <c r="AC1559" s="344" t="s">
        <v>457</v>
      </c>
      <c r="AD1559" s="1058" t="s">
        <v>580</v>
      </c>
      <c r="AE1559" s="1059">
        <v>586938</v>
      </c>
      <c r="AF1559" s="889" t="s">
        <v>459</v>
      </c>
      <c r="AG1559" s="889" t="s">
        <v>459</v>
      </c>
    </row>
    <row r="1560" spans="26:33" x14ac:dyDescent="0.35">
      <c r="Z1560" s="344">
        <v>4062</v>
      </c>
      <c r="AA1560" s="344" t="s">
        <v>579</v>
      </c>
      <c r="AB1560" s="344">
        <v>1</v>
      </c>
      <c r="AC1560" s="344" t="e">
        <v>#N/A</v>
      </c>
      <c r="AD1560" s="1058" t="s">
        <v>580</v>
      </c>
      <c r="AE1560" s="1059" t="e">
        <v>#N/A</v>
      </c>
      <c r="AF1560" s="889" t="s">
        <v>459</v>
      </c>
      <c r="AG1560" s="889" t="s">
        <v>459</v>
      </c>
    </row>
    <row r="1561" spans="26:33" x14ac:dyDescent="0.35">
      <c r="Z1561" s="344">
        <v>4063</v>
      </c>
      <c r="AA1561" s="344" t="s">
        <v>579</v>
      </c>
      <c r="AB1561" s="344">
        <v>1</v>
      </c>
      <c r="AC1561" s="344" t="e">
        <v>#N/A</v>
      </c>
      <c r="AD1561" s="1058" t="s">
        <v>580</v>
      </c>
      <c r="AE1561" s="1059" t="e">
        <v>#N/A</v>
      </c>
      <c r="AF1561" s="889" t="s">
        <v>459</v>
      </c>
      <c r="AG1561" s="889" t="s">
        <v>459</v>
      </c>
    </row>
    <row r="1562" spans="26:33" x14ac:dyDescent="0.35">
      <c r="Z1562" s="344">
        <v>4064</v>
      </c>
      <c r="AA1562" s="344" t="s">
        <v>579</v>
      </c>
      <c r="AB1562" s="344">
        <v>1</v>
      </c>
      <c r="AC1562" s="344" t="s">
        <v>479</v>
      </c>
      <c r="AD1562" s="1058" t="s">
        <v>580</v>
      </c>
      <c r="AE1562" s="1059">
        <v>789076</v>
      </c>
      <c r="AF1562" s="889" t="s">
        <v>459</v>
      </c>
      <c r="AG1562" s="889" t="s">
        <v>459</v>
      </c>
    </row>
    <row r="1563" spans="26:33" x14ac:dyDescent="0.35">
      <c r="Z1563" s="344">
        <v>4065</v>
      </c>
      <c r="AA1563" s="344" t="s">
        <v>579</v>
      </c>
      <c r="AB1563" s="344">
        <v>1</v>
      </c>
      <c r="AC1563" s="344" t="s">
        <v>479</v>
      </c>
      <c r="AD1563" s="1058" t="s">
        <v>580</v>
      </c>
      <c r="AE1563" s="1059">
        <v>823023</v>
      </c>
      <c r="AF1563" s="889" t="s">
        <v>459</v>
      </c>
      <c r="AG1563" s="889" t="s">
        <v>459</v>
      </c>
    </row>
    <row r="1564" spans="26:33" x14ac:dyDescent="0.35">
      <c r="Z1564" s="344">
        <v>4066</v>
      </c>
      <c r="AA1564" s="344" t="s">
        <v>579</v>
      </c>
      <c r="AB1564" s="344">
        <v>1</v>
      </c>
      <c r="AC1564" s="344" t="s">
        <v>479</v>
      </c>
      <c r="AD1564" s="1058" t="s">
        <v>580</v>
      </c>
      <c r="AE1564" s="1059">
        <v>806145</v>
      </c>
      <c r="AF1564" s="889" t="s">
        <v>459</v>
      </c>
      <c r="AG1564" s="889" t="s">
        <v>459</v>
      </c>
    </row>
    <row r="1565" spans="26:33" x14ac:dyDescent="0.35">
      <c r="Z1565" s="344">
        <v>4067</v>
      </c>
      <c r="AA1565" s="344" t="s">
        <v>579</v>
      </c>
      <c r="AB1565" s="344">
        <v>1</v>
      </c>
      <c r="AC1565" s="344" t="s">
        <v>482</v>
      </c>
      <c r="AD1565" s="1058" t="s">
        <v>580</v>
      </c>
      <c r="AE1565" s="1059">
        <v>950737</v>
      </c>
      <c r="AF1565" s="889" t="s">
        <v>459</v>
      </c>
      <c r="AG1565" s="889" t="s">
        <v>459</v>
      </c>
    </row>
    <row r="1566" spans="26:33" x14ac:dyDescent="0.35">
      <c r="Z1566" s="344">
        <v>4068</v>
      </c>
      <c r="AA1566" s="344" t="s">
        <v>579</v>
      </c>
      <c r="AB1566" s="344">
        <v>1</v>
      </c>
      <c r="AC1566" s="344" t="s">
        <v>479</v>
      </c>
      <c r="AD1566" s="1058" t="s">
        <v>580</v>
      </c>
      <c r="AE1566" s="1059">
        <v>817730</v>
      </c>
      <c r="AF1566" s="889" t="s">
        <v>459</v>
      </c>
      <c r="AG1566" s="889" t="s">
        <v>459</v>
      </c>
    </row>
    <row r="1567" spans="26:33" x14ac:dyDescent="0.35">
      <c r="Z1567" s="344">
        <v>4069</v>
      </c>
      <c r="AA1567" s="344" t="s">
        <v>579</v>
      </c>
      <c r="AB1567" s="344">
        <v>1</v>
      </c>
      <c r="AC1567" s="344" t="s">
        <v>479</v>
      </c>
      <c r="AD1567" s="1058" t="s">
        <v>580</v>
      </c>
      <c r="AE1567" s="1059">
        <v>796581</v>
      </c>
      <c r="AF1567" s="889" t="s">
        <v>459</v>
      </c>
      <c r="AG1567" s="889" t="s">
        <v>459</v>
      </c>
    </row>
    <row r="1568" spans="26:33" x14ac:dyDescent="0.35">
      <c r="Z1568" s="344">
        <v>4070</v>
      </c>
      <c r="AA1568" s="344" t="s">
        <v>579</v>
      </c>
      <c r="AB1568" s="344">
        <v>1</v>
      </c>
      <c r="AC1568" s="344" t="s">
        <v>457</v>
      </c>
      <c r="AD1568" s="1058" t="s">
        <v>580</v>
      </c>
      <c r="AE1568" s="1059">
        <v>559176</v>
      </c>
      <c r="AF1568" s="889" t="s">
        <v>459</v>
      </c>
      <c r="AG1568" s="889" t="s">
        <v>459</v>
      </c>
    </row>
    <row r="1569" spans="26:33" x14ac:dyDescent="0.35">
      <c r="Z1569" s="344">
        <v>4071</v>
      </c>
      <c r="AA1569" s="344" t="s">
        <v>579</v>
      </c>
      <c r="AB1569" s="344">
        <v>1</v>
      </c>
      <c r="AC1569" s="344" t="e">
        <v>#N/A</v>
      </c>
      <c r="AD1569" s="1058" t="s">
        <v>580</v>
      </c>
      <c r="AE1569" s="1059" t="e">
        <v>#N/A</v>
      </c>
      <c r="AF1569" s="889" t="s">
        <v>459</v>
      </c>
      <c r="AG1569" s="889" t="s">
        <v>459</v>
      </c>
    </row>
    <row r="1570" spans="26:33" x14ac:dyDescent="0.35">
      <c r="Z1570" s="344">
        <v>4072</v>
      </c>
      <c r="AA1570" s="344" t="s">
        <v>579</v>
      </c>
      <c r="AB1570" s="344">
        <v>1</v>
      </c>
      <c r="AC1570" s="344" t="e">
        <v>#N/A</v>
      </c>
      <c r="AD1570" s="1058" t="s">
        <v>580</v>
      </c>
      <c r="AE1570" s="1059" t="e">
        <v>#N/A</v>
      </c>
      <c r="AF1570" s="889" t="s">
        <v>459</v>
      </c>
      <c r="AG1570" s="889" t="s">
        <v>459</v>
      </c>
    </row>
    <row r="1571" spans="26:33" x14ac:dyDescent="0.35">
      <c r="Z1571" s="344">
        <v>4073</v>
      </c>
      <c r="AA1571" s="344" t="s">
        <v>579</v>
      </c>
      <c r="AB1571" s="344">
        <v>1</v>
      </c>
      <c r="AC1571" s="344" t="s">
        <v>457</v>
      </c>
      <c r="AD1571" s="1058" t="s">
        <v>580</v>
      </c>
      <c r="AE1571" s="1059">
        <v>546839</v>
      </c>
      <c r="AF1571" s="889" t="s">
        <v>459</v>
      </c>
      <c r="AG1571" s="889" t="s">
        <v>459</v>
      </c>
    </row>
    <row r="1572" spans="26:33" x14ac:dyDescent="0.35">
      <c r="Z1572" s="344">
        <v>4074</v>
      </c>
      <c r="AA1572" s="344" t="s">
        <v>579</v>
      </c>
      <c r="AB1572" s="344">
        <v>1</v>
      </c>
      <c r="AC1572" s="344" t="s">
        <v>457</v>
      </c>
      <c r="AD1572" s="1058" t="s">
        <v>580</v>
      </c>
      <c r="AE1572" s="1059">
        <v>547766</v>
      </c>
      <c r="AF1572" s="889" t="s">
        <v>459</v>
      </c>
      <c r="AG1572" s="889" t="s">
        <v>459</v>
      </c>
    </row>
    <row r="1573" spans="26:33" x14ac:dyDescent="0.35">
      <c r="Z1573" s="344">
        <v>4075</v>
      </c>
      <c r="AA1573" s="344" t="s">
        <v>579</v>
      </c>
      <c r="AB1573" s="344">
        <v>1</v>
      </c>
      <c r="AC1573" s="344" t="s">
        <v>457</v>
      </c>
      <c r="AD1573" s="1058" t="s">
        <v>580</v>
      </c>
      <c r="AE1573" s="1059">
        <v>655695</v>
      </c>
      <c r="AF1573" s="889" t="s">
        <v>459</v>
      </c>
      <c r="AG1573" s="889" t="s">
        <v>459</v>
      </c>
    </row>
    <row r="1574" spans="26:33" x14ac:dyDescent="0.35">
      <c r="Z1574" s="344">
        <v>4076</v>
      </c>
      <c r="AA1574" s="344" t="s">
        <v>579</v>
      </c>
      <c r="AB1574" s="344">
        <v>1</v>
      </c>
      <c r="AC1574" s="344" t="s">
        <v>471</v>
      </c>
      <c r="AD1574" s="1058" t="s">
        <v>580</v>
      </c>
      <c r="AE1574" s="1059">
        <v>359308</v>
      </c>
      <c r="AF1574" s="889" t="s">
        <v>459</v>
      </c>
      <c r="AG1574" s="889" t="s">
        <v>459</v>
      </c>
    </row>
    <row r="1575" spans="26:33" x14ac:dyDescent="0.35">
      <c r="Z1575" s="344">
        <v>4077</v>
      </c>
      <c r="AA1575" s="344" t="s">
        <v>579</v>
      </c>
      <c r="AB1575" s="344">
        <v>1</v>
      </c>
      <c r="AC1575" s="344" t="s">
        <v>471</v>
      </c>
      <c r="AD1575" s="1058" t="s">
        <v>580</v>
      </c>
      <c r="AE1575" s="1059">
        <v>377337</v>
      </c>
      <c r="AF1575" s="889" t="s">
        <v>459</v>
      </c>
      <c r="AG1575" s="889" t="s">
        <v>459</v>
      </c>
    </row>
    <row r="1576" spans="26:33" x14ac:dyDescent="0.35">
      <c r="Z1576" s="344">
        <v>4078</v>
      </c>
      <c r="AA1576" s="344" t="s">
        <v>579</v>
      </c>
      <c r="AB1576" s="344">
        <v>1</v>
      </c>
      <c r="AC1576" s="344" t="s">
        <v>471</v>
      </c>
      <c r="AD1576" s="1058" t="s">
        <v>580</v>
      </c>
      <c r="AE1576" s="1059">
        <v>354705</v>
      </c>
      <c r="AF1576" s="889" t="s">
        <v>459</v>
      </c>
      <c r="AG1576" s="889" t="s">
        <v>459</v>
      </c>
    </row>
    <row r="1577" spans="26:33" x14ac:dyDescent="0.35">
      <c r="Z1577" s="344">
        <v>4079</v>
      </c>
      <c r="AA1577" s="344" t="s">
        <v>579</v>
      </c>
      <c r="AB1577" s="344">
        <v>1</v>
      </c>
      <c r="AC1577" s="344" t="e">
        <v>#N/A</v>
      </c>
      <c r="AD1577" s="1058" t="s">
        <v>580</v>
      </c>
      <c r="AE1577" s="1059" t="e">
        <v>#N/A</v>
      </c>
      <c r="AF1577" s="889" t="s">
        <v>459</v>
      </c>
      <c r="AG1577" s="889" t="s">
        <v>459</v>
      </c>
    </row>
    <row r="1578" spans="26:33" x14ac:dyDescent="0.35">
      <c r="Z1578" s="344">
        <v>4080</v>
      </c>
      <c r="AA1578" s="344" t="s">
        <v>579</v>
      </c>
      <c r="AB1578" s="344">
        <v>1</v>
      </c>
      <c r="AC1578" s="344" t="e">
        <v>#N/A</v>
      </c>
      <c r="AD1578" s="1058" t="s">
        <v>580</v>
      </c>
      <c r="AE1578" s="1059" t="e">
        <v>#N/A</v>
      </c>
      <c r="AF1578" s="889" t="s">
        <v>459</v>
      </c>
      <c r="AG1578" s="889" t="s">
        <v>459</v>
      </c>
    </row>
    <row r="1579" spans="26:33" x14ac:dyDescent="0.35">
      <c r="Z1579" s="344">
        <v>4081</v>
      </c>
      <c r="AA1579" s="344" t="s">
        <v>579</v>
      </c>
      <c r="AB1579" s="344">
        <v>1</v>
      </c>
      <c r="AC1579" s="344" t="e">
        <v>#N/A</v>
      </c>
      <c r="AD1579" s="1058" t="s">
        <v>580</v>
      </c>
      <c r="AE1579" s="1059" t="e">
        <v>#N/A</v>
      </c>
      <c r="AF1579" s="889" t="s">
        <v>459</v>
      </c>
      <c r="AG1579" s="889" t="s">
        <v>459</v>
      </c>
    </row>
    <row r="1580" spans="26:33" x14ac:dyDescent="0.35">
      <c r="Z1580" s="344">
        <v>4082</v>
      </c>
      <c r="AA1580" s="344" t="s">
        <v>579</v>
      </c>
      <c r="AB1580" s="344">
        <v>1</v>
      </c>
      <c r="AC1580" s="344" t="e">
        <v>#N/A</v>
      </c>
      <c r="AD1580" s="1058" t="s">
        <v>580</v>
      </c>
      <c r="AE1580" s="1059" t="e">
        <v>#N/A</v>
      </c>
      <c r="AF1580" s="889" t="s">
        <v>459</v>
      </c>
      <c r="AG1580" s="889" t="s">
        <v>459</v>
      </c>
    </row>
    <row r="1581" spans="26:33" x14ac:dyDescent="0.35">
      <c r="Z1581" s="344">
        <v>4083</v>
      </c>
      <c r="AA1581" s="344" t="s">
        <v>579</v>
      </c>
      <c r="AB1581" s="344">
        <v>1</v>
      </c>
      <c r="AC1581" s="344" t="e">
        <v>#N/A</v>
      </c>
      <c r="AD1581" s="1058" t="s">
        <v>580</v>
      </c>
      <c r="AE1581" s="1059" t="e">
        <v>#N/A</v>
      </c>
      <c r="AF1581" s="889" t="s">
        <v>459</v>
      </c>
      <c r="AG1581" s="889" t="s">
        <v>459</v>
      </c>
    </row>
    <row r="1582" spans="26:33" x14ac:dyDescent="0.35">
      <c r="Z1582" s="344">
        <v>4084</v>
      </c>
      <c r="AA1582" s="344" t="s">
        <v>579</v>
      </c>
      <c r="AB1582" s="344">
        <v>1</v>
      </c>
      <c r="AC1582" s="344" t="e">
        <v>#N/A</v>
      </c>
      <c r="AD1582" s="1058" t="s">
        <v>580</v>
      </c>
      <c r="AE1582" s="1059" t="e">
        <v>#N/A</v>
      </c>
      <c r="AF1582" s="889" t="s">
        <v>459</v>
      </c>
      <c r="AG1582" s="889" t="s">
        <v>459</v>
      </c>
    </row>
    <row r="1583" spans="26:33" x14ac:dyDescent="0.35">
      <c r="Z1583" s="344">
        <v>4085</v>
      </c>
      <c r="AA1583" s="344" t="s">
        <v>579</v>
      </c>
      <c r="AB1583" s="344">
        <v>1</v>
      </c>
      <c r="AC1583" s="344" t="e">
        <v>#N/A</v>
      </c>
      <c r="AD1583" s="1058" t="s">
        <v>580</v>
      </c>
      <c r="AE1583" s="1059" t="e">
        <v>#N/A</v>
      </c>
      <c r="AF1583" s="889" t="s">
        <v>459</v>
      </c>
      <c r="AG1583" s="889" t="s">
        <v>459</v>
      </c>
    </row>
    <row r="1584" spans="26:33" x14ac:dyDescent="0.35">
      <c r="Z1584" s="344">
        <v>4086</v>
      </c>
      <c r="AA1584" s="344" t="s">
        <v>579</v>
      </c>
      <c r="AB1584" s="344">
        <v>1</v>
      </c>
      <c r="AC1584" s="344" t="e">
        <v>#N/A</v>
      </c>
      <c r="AD1584" s="1058" t="s">
        <v>580</v>
      </c>
      <c r="AE1584" s="1059" t="e">
        <v>#N/A</v>
      </c>
      <c r="AF1584" s="889" t="s">
        <v>459</v>
      </c>
      <c r="AG1584" s="889" t="s">
        <v>459</v>
      </c>
    </row>
    <row r="1585" spans="26:33" x14ac:dyDescent="0.35">
      <c r="Z1585" s="344">
        <v>4087</v>
      </c>
      <c r="AA1585" s="344" t="s">
        <v>579</v>
      </c>
      <c r="AB1585" s="344">
        <v>1</v>
      </c>
      <c r="AC1585" s="344" t="e">
        <v>#N/A</v>
      </c>
      <c r="AD1585" s="1058" t="s">
        <v>580</v>
      </c>
      <c r="AE1585" s="1059" t="e">
        <v>#N/A</v>
      </c>
      <c r="AF1585" s="889" t="s">
        <v>459</v>
      </c>
      <c r="AG1585" s="889" t="s">
        <v>459</v>
      </c>
    </row>
    <row r="1586" spans="26:33" x14ac:dyDescent="0.35">
      <c r="Z1586" s="344">
        <v>4088</v>
      </c>
      <c r="AA1586" s="344" t="s">
        <v>579</v>
      </c>
      <c r="AB1586" s="344">
        <v>1</v>
      </c>
      <c r="AC1586" s="344" t="e">
        <v>#N/A</v>
      </c>
      <c r="AD1586" s="1058" t="s">
        <v>580</v>
      </c>
      <c r="AE1586" s="1059" t="e">
        <v>#N/A</v>
      </c>
      <c r="AF1586" s="889" t="s">
        <v>459</v>
      </c>
      <c r="AG1586" s="889" t="s">
        <v>459</v>
      </c>
    </row>
    <row r="1587" spans="26:33" x14ac:dyDescent="0.35">
      <c r="Z1587" s="344">
        <v>4089</v>
      </c>
      <c r="AA1587" s="344" t="s">
        <v>579</v>
      </c>
      <c r="AB1587" s="344">
        <v>1</v>
      </c>
      <c r="AC1587" s="344" t="e">
        <v>#N/A</v>
      </c>
      <c r="AD1587" s="1058" t="s">
        <v>580</v>
      </c>
      <c r="AE1587" s="1059" t="e">
        <v>#N/A</v>
      </c>
      <c r="AF1587" s="889" t="s">
        <v>459</v>
      </c>
      <c r="AG1587" s="889" t="s">
        <v>459</v>
      </c>
    </row>
    <row r="1588" spans="26:33" x14ac:dyDescent="0.35">
      <c r="Z1588" s="344">
        <v>4090</v>
      </c>
      <c r="AA1588" s="344" t="s">
        <v>579</v>
      </c>
      <c r="AB1588" s="344">
        <v>1</v>
      </c>
      <c r="AC1588" s="344" t="e">
        <v>#N/A</v>
      </c>
      <c r="AD1588" s="1058" t="s">
        <v>580</v>
      </c>
      <c r="AE1588" s="1059" t="e">
        <v>#N/A</v>
      </c>
      <c r="AF1588" s="889" t="s">
        <v>459</v>
      </c>
      <c r="AG1588" s="889" t="s">
        <v>459</v>
      </c>
    </row>
    <row r="1589" spans="26:33" x14ac:dyDescent="0.35">
      <c r="Z1589" s="344">
        <v>4091</v>
      </c>
      <c r="AA1589" s="344" t="s">
        <v>579</v>
      </c>
      <c r="AB1589" s="344">
        <v>1</v>
      </c>
      <c r="AC1589" s="344" t="e">
        <v>#N/A</v>
      </c>
      <c r="AD1589" s="1058" t="s">
        <v>580</v>
      </c>
      <c r="AE1589" s="1059" t="e">
        <v>#N/A</v>
      </c>
      <c r="AF1589" s="889" t="s">
        <v>459</v>
      </c>
      <c r="AG1589" s="889" t="s">
        <v>459</v>
      </c>
    </row>
    <row r="1590" spans="26:33" x14ac:dyDescent="0.35">
      <c r="Z1590" s="344">
        <v>4092</v>
      </c>
      <c r="AA1590" s="344" t="s">
        <v>579</v>
      </c>
      <c r="AB1590" s="344">
        <v>1</v>
      </c>
      <c r="AC1590" s="344" t="e">
        <v>#N/A</v>
      </c>
      <c r="AD1590" s="1058" t="s">
        <v>580</v>
      </c>
      <c r="AE1590" s="1059" t="e">
        <v>#N/A</v>
      </c>
      <c r="AF1590" s="889" t="s">
        <v>459</v>
      </c>
      <c r="AG1590" s="889" t="s">
        <v>459</v>
      </c>
    </row>
    <row r="1591" spans="26:33" x14ac:dyDescent="0.35">
      <c r="Z1591" s="344">
        <v>4093</v>
      </c>
      <c r="AA1591" s="344" t="s">
        <v>579</v>
      </c>
      <c r="AB1591" s="344">
        <v>1</v>
      </c>
      <c r="AC1591" s="344" t="e">
        <v>#N/A</v>
      </c>
      <c r="AD1591" s="1058" t="s">
        <v>580</v>
      </c>
      <c r="AE1591" s="1059" t="e">
        <v>#N/A</v>
      </c>
      <c r="AF1591" s="889" t="s">
        <v>459</v>
      </c>
      <c r="AG1591" s="889" t="s">
        <v>459</v>
      </c>
    </row>
    <row r="1592" spans="26:33" x14ac:dyDescent="0.35">
      <c r="Z1592" s="344">
        <v>4094</v>
      </c>
      <c r="AA1592" s="344" t="s">
        <v>579</v>
      </c>
      <c r="AB1592" s="344">
        <v>1</v>
      </c>
      <c r="AC1592" s="344" t="e">
        <v>#N/A</v>
      </c>
      <c r="AD1592" s="1058" t="s">
        <v>580</v>
      </c>
      <c r="AE1592" s="1059" t="e">
        <v>#N/A</v>
      </c>
      <c r="AF1592" s="889" t="s">
        <v>459</v>
      </c>
      <c r="AG1592" s="889" t="s">
        <v>459</v>
      </c>
    </row>
    <row r="1593" spans="26:33" x14ac:dyDescent="0.35">
      <c r="Z1593" s="344">
        <v>4095</v>
      </c>
      <c r="AA1593" s="344" t="s">
        <v>579</v>
      </c>
      <c r="AB1593" s="344">
        <v>1</v>
      </c>
      <c r="AC1593" s="344" t="e">
        <v>#N/A</v>
      </c>
      <c r="AD1593" s="1058" t="s">
        <v>580</v>
      </c>
      <c r="AE1593" s="1059" t="e">
        <v>#N/A</v>
      </c>
      <c r="AF1593" s="889" t="s">
        <v>459</v>
      </c>
      <c r="AG1593" s="889" t="s">
        <v>459</v>
      </c>
    </row>
    <row r="1594" spans="26:33" x14ac:dyDescent="0.35">
      <c r="Z1594" s="344">
        <v>4096</v>
      </c>
      <c r="AA1594" s="344" t="s">
        <v>579</v>
      </c>
      <c r="AB1594" s="344">
        <v>1</v>
      </c>
      <c r="AC1594" s="344" t="e">
        <v>#N/A</v>
      </c>
      <c r="AD1594" s="1058" t="s">
        <v>580</v>
      </c>
      <c r="AE1594" s="1059" t="e">
        <v>#N/A</v>
      </c>
      <c r="AF1594" s="889" t="s">
        <v>459</v>
      </c>
      <c r="AG1594" s="889" t="s">
        <v>459</v>
      </c>
    </row>
    <row r="1595" spans="26:33" x14ac:dyDescent="0.35">
      <c r="Z1595" s="344">
        <v>4097</v>
      </c>
      <c r="AA1595" s="344" t="s">
        <v>579</v>
      </c>
      <c r="AB1595" s="344">
        <v>1</v>
      </c>
      <c r="AC1595" s="344" t="e">
        <v>#N/A</v>
      </c>
      <c r="AD1595" s="1058" t="s">
        <v>580</v>
      </c>
      <c r="AE1595" s="1059" t="e">
        <v>#N/A</v>
      </c>
      <c r="AF1595" s="889" t="s">
        <v>459</v>
      </c>
      <c r="AG1595" s="889" t="s">
        <v>459</v>
      </c>
    </row>
    <row r="1596" spans="26:33" x14ac:dyDescent="0.35">
      <c r="Z1596" s="344">
        <v>4098</v>
      </c>
      <c r="AA1596" s="344" t="s">
        <v>579</v>
      </c>
      <c r="AB1596" s="344">
        <v>1</v>
      </c>
      <c r="AC1596" s="344" t="e">
        <v>#N/A</v>
      </c>
      <c r="AD1596" s="1058" t="s">
        <v>580</v>
      </c>
      <c r="AE1596" s="1059" t="e">
        <v>#N/A</v>
      </c>
      <c r="AF1596" s="889" t="s">
        <v>459</v>
      </c>
      <c r="AG1596" s="889" t="s">
        <v>459</v>
      </c>
    </row>
    <row r="1597" spans="26:33" x14ac:dyDescent="0.35">
      <c r="Z1597" s="344">
        <v>4099</v>
      </c>
      <c r="AA1597" s="344" t="s">
        <v>579</v>
      </c>
      <c r="AB1597" s="344">
        <v>1</v>
      </c>
      <c r="AC1597" s="344" t="e">
        <v>#N/A</v>
      </c>
      <c r="AD1597" s="1058" t="s">
        <v>580</v>
      </c>
      <c r="AE1597" s="1059" t="e">
        <v>#N/A</v>
      </c>
      <c r="AF1597" s="889" t="s">
        <v>459</v>
      </c>
      <c r="AG1597" s="889" t="s">
        <v>459</v>
      </c>
    </row>
    <row r="1598" spans="26:33" x14ac:dyDescent="0.35">
      <c r="Z1598" s="344">
        <v>4100</v>
      </c>
      <c r="AA1598" s="344" t="s">
        <v>579</v>
      </c>
      <c r="AB1598" s="344">
        <v>1</v>
      </c>
      <c r="AC1598" s="344" t="e">
        <v>#N/A</v>
      </c>
      <c r="AD1598" s="1058" t="s">
        <v>580</v>
      </c>
      <c r="AE1598" s="1059" t="e">
        <v>#N/A</v>
      </c>
      <c r="AF1598" s="889" t="s">
        <v>459</v>
      </c>
      <c r="AG1598" s="889" t="s">
        <v>459</v>
      </c>
    </row>
    <row r="1599" spans="26:33" x14ac:dyDescent="0.35">
      <c r="Z1599" s="344">
        <v>4101</v>
      </c>
      <c r="AA1599" s="344" t="s">
        <v>579</v>
      </c>
      <c r="AB1599" s="344">
        <v>1</v>
      </c>
      <c r="AC1599" s="344" t="s">
        <v>482</v>
      </c>
      <c r="AD1599" s="1058" t="s">
        <v>580</v>
      </c>
      <c r="AE1599" s="1059">
        <v>903005</v>
      </c>
      <c r="AF1599" s="889" t="s">
        <v>459</v>
      </c>
      <c r="AG1599" s="889" t="s">
        <v>460</v>
      </c>
    </row>
    <row r="1600" spans="26:33" x14ac:dyDescent="0.35">
      <c r="Z1600" s="344">
        <v>4102</v>
      </c>
      <c r="AA1600" s="344" t="s">
        <v>579</v>
      </c>
      <c r="AB1600" s="344">
        <v>1</v>
      </c>
      <c r="AC1600" s="344" t="s">
        <v>457</v>
      </c>
      <c r="AD1600" s="1058" t="s">
        <v>580</v>
      </c>
      <c r="AE1600" s="1059">
        <v>672478</v>
      </c>
      <c r="AF1600" s="889" t="s">
        <v>459</v>
      </c>
      <c r="AG1600" s="889" t="s">
        <v>269</v>
      </c>
    </row>
    <row r="1601" spans="26:33" x14ac:dyDescent="0.35">
      <c r="Z1601" s="344">
        <v>4103</v>
      </c>
      <c r="AA1601" s="344" t="s">
        <v>579</v>
      </c>
      <c r="AB1601" s="344">
        <v>1</v>
      </c>
      <c r="AC1601" s="344" t="s">
        <v>457</v>
      </c>
      <c r="AD1601" s="1058" t="s">
        <v>580</v>
      </c>
      <c r="AE1601" s="1059">
        <v>665263</v>
      </c>
      <c r="AF1601" s="889" t="s">
        <v>459</v>
      </c>
      <c r="AG1601" s="889" t="s">
        <v>459</v>
      </c>
    </row>
    <row r="1602" spans="26:33" x14ac:dyDescent="0.35">
      <c r="Z1602" s="344">
        <v>4104</v>
      </c>
      <c r="AA1602" s="344" t="s">
        <v>579</v>
      </c>
      <c r="AB1602" s="344">
        <v>1</v>
      </c>
      <c r="AC1602" s="344" t="s">
        <v>457</v>
      </c>
      <c r="AD1602" s="1058" t="s">
        <v>580</v>
      </c>
      <c r="AE1602" s="1059">
        <v>684657</v>
      </c>
      <c r="AF1602" s="889" t="s">
        <v>459</v>
      </c>
      <c r="AG1602" s="889" t="s">
        <v>459</v>
      </c>
    </row>
    <row r="1603" spans="26:33" x14ac:dyDescent="0.35">
      <c r="Z1603" s="344">
        <v>4105</v>
      </c>
      <c r="AA1603" s="344" t="s">
        <v>579</v>
      </c>
      <c r="AB1603" s="344">
        <v>1</v>
      </c>
      <c r="AC1603" s="344" t="s">
        <v>457</v>
      </c>
      <c r="AD1603" s="1058" t="s">
        <v>580</v>
      </c>
      <c r="AE1603" s="1059">
        <v>727139</v>
      </c>
      <c r="AF1603" s="889" t="s">
        <v>459</v>
      </c>
      <c r="AG1603" s="889" t="s">
        <v>459</v>
      </c>
    </row>
    <row r="1604" spans="26:33" x14ac:dyDescent="0.35">
      <c r="Z1604" s="344">
        <v>4106</v>
      </c>
      <c r="AA1604" s="344" t="s">
        <v>579</v>
      </c>
      <c r="AB1604" s="344">
        <v>1</v>
      </c>
      <c r="AC1604" s="344" t="s">
        <v>471</v>
      </c>
      <c r="AD1604" s="1058" t="s">
        <v>580</v>
      </c>
      <c r="AE1604" s="1059">
        <v>351486</v>
      </c>
      <c r="AF1604" s="889" t="s">
        <v>459</v>
      </c>
      <c r="AG1604" s="889" t="s">
        <v>459</v>
      </c>
    </row>
    <row r="1605" spans="26:33" x14ac:dyDescent="0.35">
      <c r="Z1605" s="344">
        <v>4107</v>
      </c>
      <c r="AA1605" s="344" t="s">
        <v>579</v>
      </c>
      <c r="AB1605" s="344">
        <v>1</v>
      </c>
      <c r="AC1605" s="344" t="s">
        <v>457</v>
      </c>
      <c r="AD1605" s="1058" t="s">
        <v>580</v>
      </c>
      <c r="AE1605" s="1059">
        <v>472693</v>
      </c>
      <c r="AF1605" s="889" t="s">
        <v>459</v>
      </c>
      <c r="AG1605" s="889" t="s">
        <v>459</v>
      </c>
    </row>
    <row r="1606" spans="26:33" x14ac:dyDescent="0.35">
      <c r="Z1606" s="344">
        <v>4108</v>
      </c>
      <c r="AA1606" s="344" t="s">
        <v>579</v>
      </c>
      <c r="AB1606" s="344">
        <v>1</v>
      </c>
      <c r="AC1606" s="344" t="s">
        <v>471</v>
      </c>
      <c r="AD1606" s="1058" t="s">
        <v>580</v>
      </c>
      <c r="AE1606" s="1059">
        <v>389310</v>
      </c>
      <c r="AF1606" s="889" t="s">
        <v>459</v>
      </c>
      <c r="AG1606" s="889" t="s">
        <v>459</v>
      </c>
    </row>
    <row r="1607" spans="26:33" x14ac:dyDescent="0.35">
      <c r="Z1607" s="344">
        <v>4109</v>
      </c>
      <c r="AA1607" s="344" t="s">
        <v>579</v>
      </c>
      <c r="AB1607" s="344">
        <v>1</v>
      </c>
      <c r="AC1607" s="344" t="s">
        <v>457</v>
      </c>
      <c r="AD1607" s="1058" t="s">
        <v>580</v>
      </c>
      <c r="AE1607" s="1059">
        <v>651702</v>
      </c>
      <c r="AF1607" s="889" t="s">
        <v>459</v>
      </c>
      <c r="AG1607" s="889" t="s">
        <v>459</v>
      </c>
    </row>
    <row r="1608" spans="26:33" x14ac:dyDescent="0.35">
      <c r="Z1608" s="344">
        <v>4110</v>
      </c>
      <c r="AA1608" s="344" t="s">
        <v>579</v>
      </c>
      <c r="AB1608" s="344">
        <v>1</v>
      </c>
      <c r="AC1608" s="344" t="s">
        <v>457</v>
      </c>
      <c r="AD1608" s="1058" t="s">
        <v>580</v>
      </c>
      <c r="AE1608" s="1059">
        <v>697758</v>
      </c>
      <c r="AF1608" s="889" t="s">
        <v>459</v>
      </c>
      <c r="AG1608" s="889" t="s">
        <v>459</v>
      </c>
    </row>
    <row r="1609" spans="26:33" x14ac:dyDescent="0.35">
      <c r="Z1609" s="344">
        <v>4111</v>
      </c>
      <c r="AA1609" s="344" t="s">
        <v>579</v>
      </c>
      <c r="AB1609" s="344">
        <v>1</v>
      </c>
      <c r="AC1609" s="344" t="s">
        <v>457</v>
      </c>
      <c r="AD1609" s="1058" t="s">
        <v>580</v>
      </c>
      <c r="AE1609" s="1059">
        <v>481353</v>
      </c>
      <c r="AF1609" s="889" t="s">
        <v>459</v>
      </c>
      <c r="AG1609" s="889" t="s">
        <v>459</v>
      </c>
    </row>
    <row r="1610" spans="26:33" x14ac:dyDescent="0.35">
      <c r="Z1610" s="344">
        <v>4112</v>
      </c>
      <c r="AA1610" s="344" t="s">
        <v>579</v>
      </c>
      <c r="AB1610" s="344">
        <v>1</v>
      </c>
      <c r="AC1610" s="344" t="s">
        <v>457</v>
      </c>
      <c r="AD1610" s="1058" t="s">
        <v>580</v>
      </c>
      <c r="AE1610" s="1059">
        <v>572536</v>
      </c>
      <c r="AF1610" s="889" t="s">
        <v>459</v>
      </c>
      <c r="AG1610" s="889" t="s">
        <v>459</v>
      </c>
    </row>
    <row r="1611" spans="26:33" x14ac:dyDescent="0.35">
      <c r="Z1611" s="344">
        <v>4113</v>
      </c>
      <c r="AA1611" s="344" t="s">
        <v>579</v>
      </c>
      <c r="AB1611" s="344">
        <v>1</v>
      </c>
      <c r="AC1611" s="344" t="s">
        <v>457</v>
      </c>
      <c r="AD1611" s="1058" t="s">
        <v>580</v>
      </c>
      <c r="AE1611" s="1059">
        <v>566848</v>
      </c>
      <c r="AF1611" s="889" t="s">
        <v>459</v>
      </c>
      <c r="AG1611" s="889" t="s">
        <v>459</v>
      </c>
    </row>
    <row r="1612" spans="26:33" x14ac:dyDescent="0.35">
      <c r="Z1612" s="344">
        <v>4114</v>
      </c>
      <c r="AA1612" s="344" t="s">
        <v>579</v>
      </c>
      <c r="AB1612" s="344">
        <v>1</v>
      </c>
      <c r="AC1612" s="344" t="s">
        <v>464</v>
      </c>
      <c r="AD1612" s="1058" t="s">
        <v>580</v>
      </c>
      <c r="AE1612" s="1059">
        <v>268367</v>
      </c>
      <c r="AF1612" s="889" t="s">
        <v>460</v>
      </c>
      <c r="AG1612" s="889" t="s">
        <v>459</v>
      </c>
    </row>
    <row r="1613" spans="26:33" x14ac:dyDescent="0.35">
      <c r="Z1613" s="344">
        <v>4115</v>
      </c>
      <c r="AA1613" s="344" t="s">
        <v>579</v>
      </c>
      <c r="AB1613" s="344">
        <v>1</v>
      </c>
      <c r="AC1613" s="344" t="s">
        <v>457</v>
      </c>
      <c r="AD1613" s="1058" t="s">
        <v>580</v>
      </c>
      <c r="AE1613" s="1059">
        <v>479525</v>
      </c>
      <c r="AF1613" s="889" t="s">
        <v>459</v>
      </c>
      <c r="AG1613" s="889" t="s">
        <v>459</v>
      </c>
    </row>
    <row r="1614" spans="26:33" x14ac:dyDescent="0.35">
      <c r="Z1614" s="344">
        <v>4116</v>
      </c>
      <c r="AA1614" s="344" t="s">
        <v>579</v>
      </c>
      <c r="AB1614" s="344">
        <v>1</v>
      </c>
      <c r="AC1614" s="344" t="s">
        <v>457</v>
      </c>
      <c r="AD1614" s="1058" t="s">
        <v>580</v>
      </c>
      <c r="AE1614" s="1059">
        <v>564840</v>
      </c>
      <c r="AF1614" s="889" t="s">
        <v>459</v>
      </c>
      <c r="AG1614" s="889" t="s">
        <v>459</v>
      </c>
    </row>
    <row r="1615" spans="26:33" x14ac:dyDescent="0.35">
      <c r="Z1615" s="344">
        <v>4117</v>
      </c>
      <c r="AA1615" s="344" t="s">
        <v>579</v>
      </c>
      <c r="AB1615" s="344">
        <v>1</v>
      </c>
      <c r="AC1615" s="344" t="s">
        <v>471</v>
      </c>
      <c r="AD1615" s="1058" t="s">
        <v>580</v>
      </c>
      <c r="AE1615" s="1059">
        <v>398778</v>
      </c>
      <c r="AF1615" s="889" t="s">
        <v>459</v>
      </c>
      <c r="AG1615" s="889" t="s">
        <v>459</v>
      </c>
    </row>
    <row r="1616" spans="26:33" x14ac:dyDescent="0.35">
      <c r="Z1616" s="344">
        <v>4118</v>
      </c>
      <c r="AA1616" s="344" t="s">
        <v>579</v>
      </c>
      <c r="AB1616" s="344">
        <v>1</v>
      </c>
      <c r="AC1616" s="344" t="s">
        <v>471</v>
      </c>
      <c r="AD1616" s="1058" t="s">
        <v>580</v>
      </c>
      <c r="AE1616" s="1059">
        <v>406292</v>
      </c>
      <c r="AF1616" s="889" t="s">
        <v>459</v>
      </c>
      <c r="AG1616" s="889" t="s">
        <v>459</v>
      </c>
    </row>
    <row r="1617" spans="26:33" x14ac:dyDescent="0.35">
      <c r="Z1617" s="344">
        <v>4119</v>
      </c>
      <c r="AA1617" s="344" t="s">
        <v>579</v>
      </c>
      <c r="AB1617" s="344">
        <v>1</v>
      </c>
      <c r="AC1617" s="344" t="s">
        <v>457</v>
      </c>
      <c r="AD1617" s="1058" t="s">
        <v>580</v>
      </c>
      <c r="AE1617" s="1059">
        <v>487448</v>
      </c>
      <c r="AF1617" s="889" t="s">
        <v>459</v>
      </c>
      <c r="AG1617" s="889" t="s">
        <v>459</v>
      </c>
    </row>
    <row r="1618" spans="26:33" x14ac:dyDescent="0.35">
      <c r="Z1618" s="344">
        <v>4120</v>
      </c>
      <c r="AA1618" s="344" t="s">
        <v>579</v>
      </c>
      <c r="AB1618" s="344">
        <v>1</v>
      </c>
      <c r="AC1618" s="344" t="s">
        <v>457</v>
      </c>
      <c r="AD1618" s="1058" t="s">
        <v>580</v>
      </c>
      <c r="AE1618" s="1059">
        <v>635512</v>
      </c>
      <c r="AF1618" s="889" t="s">
        <v>459</v>
      </c>
      <c r="AG1618" s="889" t="s">
        <v>459</v>
      </c>
    </row>
    <row r="1619" spans="26:33" x14ac:dyDescent="0.35">
      <c r="Z1619" s="344">
        <v>4121</v>
      </c>
      <c r="AA1619" s="344" t="s">
        <v>579</v>
      </c>
      <c r="AB1619" s="344">
        <v>1</v>
      </c>
      <c r="AC1619" s="344" t="s">
        <v>457</v>
      </c>
      <c r="AD1619" s="1058" t="s">
        <v>580</v>
      </c>
      <c r="AE1619" s="1059">
        <v>608612</v>
      </c>
      <c r="AF1619" s="889" t="s">
        <v>459</v>
      </c>
      <c r="AG1619" s="889" t="s">
        <v>459</v>
      </c>
    </row>
    <row r="1620" spans="26:33" x14ac:dyDescent="0.35">
      <c r="Z1620" s="344">
        <v>4122</v>
      </c>
      <c r="AA1620" s="344" t="s">
        <v>579</v>
      </c>
      <c r="AB1620" s="344">
        <v>1</v>
      </c>
      <c r="AC1620" s="344" t="s">
        <v>457</v>
      </c>
      <c r="AD1620" s="1058" t="s">
        <v>580</v>
      </c>
      <c r="AE1620" s="1059">
        <v>549604</v>
      </c>
      <c r="AF1620" s="889" t="s">
        <v>459</v>
      </c>
      <c r="AG1620" s="889" t="s">
        <v>459</v>
      </c>
    </row>
    <row r="1621" spans="26:33" x14ac:dyDescent="0.35">
      <c r="Z1621" s="344">
        <v>4123</v>
      </c>
      <c r="AA1621" s="344" t="s">
        <v>579</v>
      </c>
      <c r="AB1621" s="344">
        <v>1</v>
      </c>
      <c r="AC1621" s="344" t="s">
        <v>457</v>
      </c>
      <c r="AD1621" s="1058" t="s">
        <v>580</v>
      </c>
      <c r="AE1621" s="1059">
        <v>740466</v>
      </c>
      <c r="AF1621" s="889" t="s">
        <v>459</v>
      </c>
      <c r="AG1621" s="889" t="s">
        <v>459</v>
      </c>
    </row>
    <row r="1622" spans="26:33" x14ac:dyDescent="0.35">
      <c r="Z1622" s="344">
        <v>4124</v>
      </c>
      <c r="AA1622" s="344" t="s">
        <v>579</v>
      </c>
      <c r="AB1622" s="344">
        <v>1</v>
      </c>
      <c r="AC1622" s="344" t="s">
        <v>457</v>
      </c>
      <c r="AD1622" s="1058" t="s">
        <v>580</v>
      </c>
      <c r="AE1622" s="1059">
        <v>452180</v>
      </c>
      <c r="AF1622" s="889" t="s">
        <v>459</v>
      </c>
      <c r="AG1622" s="889" t="s">
        <v>459</v>
      </c>
    </row>
    <row r="1623" spans="26:33" x14ac:dyDescent="0.35">
      <c r="Z1623" s="344">
        <v>4125</v>
      </c>
      <c r="AA1623" s="344" t="s">
        <v>579</v>
      </c>
      <c r="AB1623" s="344">
        <v>1</v>
      </c>
      <c r="AC1623" s="344" t="s">
        <v>457</v>
      </c>
      <c r="AD1623" s="1058" t="s">
        <v>580</v>
      </c>
      <c r="AE1623" s="1059">
        <v>612223</v>
      </c>
      <c r="AF1623" s="889" t="s">
        <v>459</v>
      </c>
      <c r="AG1623" s="889" t="s">
        <v>459</v>
      </c>
    </row>
    <row r="1624" spans="26:33" x14ac:dyDescent="0.35">
      <c r="Z1624" s="344">
        <v>4126</v>
      </c>
      <c r="AA1624" s="344" t="s">
        <v>579</v>
      </c>
      <c r="AB1624" s="344">
        <v>1</v>
      </c>
      <c r="AC1624" s="344" t="e">
        <v>#N/A</v>
      </c>
      <c r="AD1624" s="1058" t="s">
        <v>580</v>
      </c>
      <c r="AE1624" s="1059" t="e">
        <v>#N/A</v>
      </c>
      <c r="AF1624" s="889" t="s">
        <v>459</v>
      </c>
      <c r="AG1624" s="889" t="s">
        <v>459</v>
      </c>
    </row>
    <row r="1625" spans="26:33" x14ac:dyDescent="0.35">
      <c r="Z1625" s="344">
        <v>4127</v>
      </c>
      <c r="AA1625" s="344" t="s">
        <v>579</v>
      </c>
      <c r="AB1625" s="344">
        <v>1</v>
      </c>
      <c r="AC1625" s="344" t="s">
        <v>471</v>
      </c>
      <c r="AD1625" s="1058" t="s">
        <v>580</v>
      </c>
      <c r="AE1625" s="1059">
        <v>396429</v>
      </c>
      <c r="AF1625" s="889" t="s">
        <v>459</v>
      </c>
      <c r="AG1625" s="889" t="s">
        <v>459</v>
      </c>
    </row>
    <row r="1626" spans="26:33" x14ac:dyDescent="0.35">
      <c r="Z1626" s="344">
        <v>4128</v>
      </c>
      <c r="AA1626" s="344" t="s">
        <v>579</v>
      </c>
      <c r="AB1626" s="344">
        <v>1</v>
      </c>
      <c r="AC1626" s="344" t="s">
        <v>471</v>
      </c>
      <c r="AD1626" s="1058" t="s">
        <v>580</v>
      </c>
      <c r="AE1626" s="1059">
        <v>439607</v>
      </c>
      <c r="AF1626" s="889" t="s">
        <v>459</v>
      </c>
      <c r="AG1626" s="889" t="s">
        <v>459</v>
      </c>
    </row>
    <row r="1627" spans="26:33" x14ac:dyDescent="0.35">
      <c r="Z1627" s="344">
        <v>4129</v>
      </c>
      <c r="AA1627" s="344" t="s">
        <v>579</v>
      </c>
      <c r="AB1627" s="344">
        <v>1</v>
      </c>
      <c r="AC1627" s="344" t="s">
        <v>471</v>
      </c>
      <c r="AD1627" s="1058" t="s">
        <v>580</v>
      </c>
      <c r="AE1627" s="1059">
        <v>354216</v>
      </c>
      <c r="AF1627" s="889" t="s">
        <v>459</v>
      </c>
      <c r="AG1627" s="889" t="s">
        <v>459</v>
      </c>
    </row>
    <row r="1628" spans="26:33" x14ac:dyDescent="0.35">
      <c r="Z1628" s="344">
        <v>4130</v>
      </c>
      <c r="AA1628" s="344" t="s">
        <v>579</v>
      </c>
      <c r="AB1628" s="344">
        <v>1</v>
      </c>
      <c r="AC1628" s="344" t="s">
        <v>457</v>
      </c>
      <c r="AD1628" s="1058" t="s">
        <v>580</v>
      </c>
      <c r="AE1628" s="1059">
        <v>693819</v>
      </c>
      <c r="AF1628" s="889" t="s">
        <v>459</v>
      </c>
      <c r="AG1628" s="889" t="s">
        <v>459</v>
      </c>
    </row>
    <row r="1629" spans="26:33" x14ac:dyDescent="0.35">
      <c r="Z1629" s="344">
        <v>4131</v>
      </c>
      <c r="AA1629" s="344" t="s">
        <v>579</v>
      </c>
      <c r="AB1629" s="344">
        <v>1</v>
      </c>
      <c r="AC1629" s="344" t="s">
        <v>471</v>
      </c>
      <c r="AD1629" s="1058" t="s">
        <v>580</v>
      </c>
      <c r="AE1629" s="1059">
        <v>365611</v>
      </c>
      <c r="AF1629" s="889" t="s">
        <v>460</v>
      </c>
      <c r="AG1629" s="889" t="s">
        <v>459</v>
      </c>
    </row>
    <row r="1630" spans="26:33" x14ac:dyDescent="0.35">
      <c r="Z1630" s="344">
        <v>4132</v>
      </c>
      <c r="AA1630" s="344" t="s">
        <v>579</v>
      </c>
      <c r="AB1630" s="344">
        <v>1</v>
      </c>
      <c r="AC1630" s="344" t="s">
        <v>471</v>
      </c>
      <c r="AD1630" s="1058" t="s">
        <v>580</v>
      </c>
      <c r="AE1630" s="1059">
        <v>303737</v>
      </c>
      <c r="AF1630" s="889" t="s">
        <v>459</v>
      </c>
      <c r="AG1630" s="889" t="s">
        <v>459</v>
      </c>
    </row>
    <row r="1631" spans="26:33" x14ac:dyDescent="0.35">
      <c r="Z1631" s="344">
        <v>4133</v>
      </c>
      <c r="AA1631" s="344" t="s">
        <v>579</v>
      </c>
      <c r="AB1631" s="344">
        <v>1</v>
      </c>
      <c r="AC1631" s="344" t="s">
        <v>471</v>
      </c>
      <c r="AD1631" s="1058" t="s">
        <v>580</v>
      </c>
      <c r="AE1631" s="1059">
        <v>413300</v>
      </c>
      <c r="AF1631" s="889" t="s">
        <v>459</v>
      </c>
      <c r="AG1631" s="889" t="s">
        <v>459</v>
      </c>
    </row>
    <row r="1632" spans="26:33" x14ac:dyDescent="0.35">
      <c r="Z1632" s="344">
        <v>4134</v>
      </c>
      <c r="AA1632" s="344" t="s">
        <v>579</v>
      </c>
      <c r="AB1632" s="344">
        <v>1</v>
      </c>
      <c r="AC1632" s="344" t="e">
        <v>#N/A</v>
      </c>
      <c r="AD1632" s="1058" t="s">
        <v>580</v>
      </c>
      <c r="AE1632" s="1059" t="e">
        <v>#N/A</v>
      </c>
      <c r="AF1632" s="889" t="s">
        <v>459</v>
      </c>
      <c r="AG1632" s="889" t="s">
        <v>459</v>
      </c>
    </row>
    <row r="1633" spans="26:33" x14ac:dyDescent="0.35">
      <c r="Z1633" s="344">
        <v>4135</v>
      </c>
      <c r="AA1633" s="344" t="s">
        <v>579</v>
      </c>
      <c r="AB1633" s="344">
        <v>1</v>
      </c>
      <c r="AC1633" s="344" t="e">
        <v>#N/A</v>
      </c>
      <c r="AD1633" s="1058" t="s">
        <v>580</v>
      </c>
      <c r="AE1633" s="1059" t="e">
        <v>#N/A</v>
      </c>
      <c r="AF1633" s="889" t="s">
        <v>459</v>
      </c>
      <c r="AG1633" s="889" t="s">
        <v>459</v>
      </c>
    </row>
    <row r="1634" spans="26:33" x14ac:dyDescent="0.35">
      <c r="Z1634" s="344">
        <v>4136</v>
      </c>
      <c r="AA1634" s="344" t="s">
        <v>579</v>
      </c>
      <c r="AB1634" s="344">
        <v>1</v>
      </c>
      <c r="AC1634" s="344" t="e">
        <v>#N/A</v>
      </c>
      <c r="AD1634" s="1058" t="s">
        <v>580</v>
      </c>
      <c r="AE1634" s="1059" t="e">
        <v>#N/A</v>
      </c>
      <c r="AF1634" s="889" t="s">
        <v>459</v>
      </c>
      <c r="AG1634" s="889" t="s">
        <v>459</v>
      </c>
    </row>
    <row r="1635" spans="26:33" x14ac:dyDescent="0.35">
      <c r="Z1635" s="344">
        <v>4137</v>
      </c>
      <c r="AA1635" s="344" t="s">
        <v>579</v>
      </c>
      <c r="AB1635" s="344">
        <v>1</v>
      </c>
      <c r="AC1635" s="344" t="e">
        <v>#N/A</v>
      </c>
      <c r="AD1635" s="1058" t="s">
        <v>580</v>
      </c>
      <c r="AE1635" s="1059" t="e">
        <v>#N/A</v>
      </c>
      <c r="AF1635" s="889" t="s">
        <v>459</v>
      </c>
      <c r="AG1635" s="889" t="s">
        <v>459</v>
      </c>
    </row>
    <row r="1636" spans="26:33" x14ac:dyDescent="0.35">
      <c r="Z1636" s="344">
        <v>4138</v>
      </c>
      <c r="AA1636" s="344" t="s">
        <v>579</v>
      </c>
      <c r="AB1636" s="344">
        <v>1</v>
      </c>
      <c r="AC1636" s="344" t="e">
        <v>#N/A</v>
      </c>
      <c r="AD1636" s="1058" t="s">
        <v>580</v>
      </c>
      <c r="AE1636" s="1059" t="e">
        <v>#N/A</v>
      </c>
      <c r="AF1636" s="889" t="s">
        <v>459</v>
      </c>
      <c r="AG1636" s="889" t="s">
        <v>459</v>
      </c>
    </row>
    <row r="1637" spans="26:33" x14ac:dyDescent="0.35">
      <c r="Z1637" s="344">
        <v>4139</v>
      </c>
      <c r="AA1637" s="344" t="s">
        <v>579</v>
      </c>
      <c r="AB1637" s="344">
        <v>1</v>
      </c>
      <c r="AC1637" s="344" t="e">
        <v>#N/A</v>
      </c>
      <c r="AD1637" s="1058" t="s">
        <v>580</v>
      </c>
      <c r="AE1637" s="1059" t="e">
        <v>#N/A</v>
      </c>
      <c r="AF1637" s="889" t="s">
        <v>459</v>
      </c>
      <c r="AG1637" s="889" t="s">
        <v>459</v>
      </c>
    </row>
    <row r="1638" spans="26:33" x14ac:dyDescent="0.35">
      <c r="Z1638" s="344">
        <v>4140</v>
      </c>
      <c r="AA1638" s="344" t="s">
        <v>579</v>
      </c>
      <c r="AB1638" s="344">
        <v>1</v>
      </c>
      <c r="AC1638" s="344" t="e">
        <v>#N/A</v>
      </c>
      <c r="AD1638" s="1058" t="s">
        <v>580</v>
      </c>
      <c r="AE1638" s="1059" t="e">
        <v>#N/A</v>
      </c>
      <c r="AF1638" s="889" t="s">
        <v>459</v>
      </c>
      <c r="AG1638" s="889" t="s">
        <v>459</v>
      </c>
    </row>
    <row r="1639" spans="26:33" x14ac:dyDescent="0.35">
      <c r="Z1639" s="344">
        <v>4141</v>
      </c>
      <c r="AA1639" s="344" t="s">
        <v>579</v>
      </c>
      <c r="AB1639" s="344">
        <v>1</v>
      </c>
      <c r="AC1639" s="344" t="e">
        <v>#N/A</v>
      </c>
      <c r="AD1639" s="1058" t="s">
        <v>580</v>
      </c>
      <c r="AE1639" s="1059" t="e">
        <v>#N/A</v>
      </c>
      <c r="AF1639" s="889" t="s">
        <v>459</v>
      </c>
      <c r="AG1639" s="889" t="s">
        <v>459</v>
      </c>
    </row>
    <row r="1640" spans="26:33" x14ac:dyDescent="0.35">
      <c r="Z1640" s="344">
        <v>4142</v>
      </c>
      <c r="AA1640" s="344" t="s">
        <v>579</v>
      </c>
      <c r="AB1640" s="344">
        <v>1</v>
      </c>
      <c r="AC1640" s="344" t="e">
        <v>#N/A</v>
      </c>
      <c r="AD1640" s="1058" t="s">
        <v>580</v>
      </c>
      <c r="AE1640" s="1059" t="e">
        <v>#N/A</v>
      </c>
      <c r="AF1640" s="889" t="s">
        <v>459</v>
      </c>
      <c r="AG1640" s="889" t="s">
        <v>459</v>
      </c>
    </row>
    <row r="1641" spans="26:33" x14ac:dyDescent="0.35">
      <c r="Z1641" s="344">
        <v>4143</v>
      </c>
      <c r="AA1641" s="344" t="s">
        <v>579</v>
      </c>
      <c r="AB1641" s="344">
        <v>1</v>
      </c>
      <c r="AC1641" s="344" t="e">
        <v>#N/A</v>
      </c>
      <c r="AD1641" s="1058" t="s">
        <v>580</v>
      </c>
      <c r="AE1641" s="1059" t="e">
        <v>#N/A</v>
      </c>
      <c r="AF1641" s="889" t="s">
        <v>459</v>
      </c>
      <c r="AG1641" s="889" t="s">
        <v>459</v>
      </c>
    </row>
    <row r="1642" spans="26:33" x14ac:dyDescent="0.35">
      <c r="Z1642" s="344">
        <v>4144</v>
      </c>
      <c r="AA1642" s="344" t="s">
        <v>579</v>
      </c>
      <c r="AB1642" s="344">
        <v>1</v>
      </c>
      <c r="AC1642" s="344" t="e">
        <v>#N/A</v>
      </c>
      <c r="AD1642" s="1058" t="s">
        <v>580</v>
      </c>
      <c r="AE1642" s="1059" t="e">
        <v>#N/A</v>
      </c>
      <c r="AF1642" s="889" t="s">
        <v>459</v>
      </c>
      <c r="AG1642" s="889" t="s">
        <v>459</v>
      </c>
    </row>
    <row r="1643" spans="26:33" x14ac:dyDescent="0.35">
      <c r="Z1643" s="344">
        <v>4145</v>
      </c>
      <c r="AA1643" s="344" t="s">
        <v>579</v>
      </c>
      <c r="AB1643" s="344">
        <v>1</v>
      </c>
      <c r="AC1643" s="344" t="e">
        <v>#N/A</v>
      </c>
      <c r="AD1643" s="1058" t="s">
        <v>580</v>
      </c>
      <c r="AE1643" s="1059" t="e">
        <v>#N/A</v>
      </c>
      <c r="AF1643" s="889" t="s">
        <v>459</v>
      </c>
      <c r="AG1643" s="889" t="s">
        <v>459</v>
      </c>
    </row>
    <row r="1644" spans="26:33" x14ac:dyDescent="0.35">
      <c r="Z1644" s="344">
        <v>4146</v>
      </c>
      <c r="AA1644" s="344" t="s">
        <v>579</v>
      </c>
      <c r="AB1644" s="344">
        <v>1</v>
      </c>
      <c r="AC1644" s="344" t="e">
        <v>#N/A</v>
      </c>
      <c r="AD1644" s="1058" t="s">
        <v>580</v>
      </c>
      <c r="AE1644" s="1059" t="e">
        <v>#N/A</v>
      </c>
      <c r="AF1644" s="889" t="s">
        <v>459</v>
      </c>
      <c r="AG1644" s="889" t="s">
        <v>459</v>
      </c>
    </row>
    <row r="1645" spans="26:33" x14ac:dyDescent="0.35">
      <c r="Z1645" s="344">
        <v>4147</v>
      </c>
      <c r="AA1645" s="344" t="s">
        <v>579</v>
      </c>
      <c r="AB1645" s="344">
        <v>1</v>
      </c>
      <c r="AC1645" s="344" t="e">
        <v>#N/A</v>
      </c>
      <c r="AD1645" s="1058" t="s">
        <v>580</v>
      </c>
      <c r="AE1645" s="1059" t="e">
        <v>#N/A</v>
      </c>
      <c r="AF1645" s="889" t="s">
        <v>459</v>
      </c>
      <c r="AG1645" s="889" t="s">
        <v>459</v>
      </c>
    </row>
    <row r="1646" spans="26:33" x14ac:dyDescent="0.35">
      <c r="Z1646" s="344">
        <v>4148</v>
      </c>
      <c r="AA1646" s="344" t="s">
        <v>579</v>
      </c>
      <c r="AB1646" s="344">
        <v>1</v>
      </c>
      <c r="AC1646" s="344" t="e">
        <v>#N/A</v>
      </c>
      <c r="AD1646" s="1058" t="s">
        <v>580</v>
      </c>
      <c r="AE1646" s="1059" t="e">
        <v>#N/A</v>
      </c>
      <c r="AF1646" s="889" t="s">
        <v>459</v>
      </c>
      <c r="AG1646" s="889" t="s">
        <v>459</v>
      </c>
    </row>
    <row r="1647" spans="26:33" x14ac:dyDescent="0.35">
      <c r="Z1647" s="344">
        <v>4149</v>
      </c>
      <c r="AA1647" s="344" t="s">
        <v>579</v>
      </c>
      <c r="AB1647" s="344">
        <v>1</v>
      </c>
      <c r="AC1647" s="344" t="e">
        <v>#N/A</v>
      </c>
      <c r="AD1647" s="1058" t="s">
        <v>580</v>
      </c>
      <c r="AE1647" s="1059" t="e">
        <v>#N/A</v>
      </c>
      <c r="AF1647" s="889" t="s">
        <v>459</v>
      </c>
      <c r="AG1647" s="889" t="s">
        <v>459</v>
      </c>
    </row>
    <row r="1648" spans="26:33" x14ac:dyDescent="0.35">
      <c r="Z1648" s="344">
        <v>4150</v>
      </c>
      <c r="AA1648" s="344" t="s">
        <v>579</v>
      </c>
      <c r="AB1648" s="344">
        <v>1</v>
      </c>
      <c r="AC1648" s="344" t="e">
        <v>#N/A</v>
      </c>
      <c r="AD1648" s="1058" t="s">
        <v>580</v>
      </c>
      <c r="AE1648" s="1059" t="e">
        <v>#N/A</v>
      </c>
      <c r="AF1648" s="889" t="s">
        <v>459</v>
      </c>
      <c r="AG1648" s="889" t="s">
        <v>459</v>
      </c>
    </row>
    <row r="1649" spans="26:33" x14ac:dyDescent="0.35">
      <c r="Z1649" s="344">
        <v>4151</v>
      </c>
      <c r="AA1649" s="344" t="s">
        <v>579</v>
      </c>
      <c r="AB1649" s="344">
        <v>1</v>
      </c>
      <c r="AC1649" s="344" t="s">
        <v>479</v>
      </c>
      <c r="AD1649" s="1058" t="s">
        <v>580</v>
      </c>
      <c r="AE1649" s="1059">
        <v>770033</v>
      </c>
      <c r="AF1649" s="889" t="s">
        <v>459</v>
      </c>
      <c r="AG1649" s="889" t="s">
        <v>459</v>
      </c>
    </row>
    <row r="1650" spans="26:33" x14ac:dyDescent="0.35">
      <c r="Z1650" s="344">
        <v>4152</v>
      </c>
      <c r="AA1650" s="344" t="s">
        <v>579</v>
      </c>
      <c r="AB1650" s="344">
        <v>1</v>
      </c>
      <c r="AC1650" s="344" t="s">
        <v>457</v>
      </c>
      <c r="AD1650" s="1058" t="s">
        <v>580</v>
      </c>
      <c r="AE1650" s="1059">
        <v>662265</v>
      </c>
      <c r="AF1650" s="889" t="s">
        <v>459</v>
      </c>
      <c r="AG1650" s="889" t="s">
        <v>459</v>
      </c>
    </row>
    <row r="1651" spans="26:33" x14ac:dyDescent="0.35">
      <c r="Z1651" s="344">
        <v>4153</v>
      </c>
      <c r="AA1651" s="344" t="s">
        <v>579</v>
      </c>
      <c r="AB1651" s="344">
        <v>1</v>
      </c>
      <c r="AC1651" s="344" t="s">
        <v>457</v>
      </c>
      <c r="AD1651" s="1058" t="s">
        <v>580</v>
      </c>
      <c r="AE1651" s="1059">
        <v>602141</v>
      </c>
      <c r="AF1651" s="889" t="s">
        <v>459</v>
      </c>
      <c r="AG1651" s="889" t="s">
        <v>459</v>
      </c>
    </row>
    <row r="1652" spans="26:33" x14ac:dyDescent="0.35">
      <c r="Z1652" s="344">
        <v>4154</v>
      </c>
      <c r="AA1652" s="344" t="s">
        <v>579</v>
      </c>
      <c r="AB1652" s="344">
        <v>1</v>
      </c>
      <c r="AC1652" s="344" t="s">
        <v>479</v>
      </c>
      <c r="AD1652" s="1058" t="s">
        <v>580</v>
      </c>
      <c r="AE1652" s="1059">
        <v>854551</v>
      </c>
      <c r="AF1652" s="889" t="s">
        <v>459</v>
      </c>
      <c r="AG1652" s="889" t="s">
        <v>459</v>
      </c>
    </row>
    <row r="1653" spans="26:33" x14ac:dyDescent="0.35">
      <c r="Z1653" s="344">
        <v>4155</v>
      </c>
      <c r="AA1653" s="344" t="s">
        <v>579</v>
      </c>
      <c r="AB1653" s="344">
        <v>1</v>
      </c>
      <c r="AC1653" s="344" t="s">
        <v>482</v>
      </c>
      <c r="AD1653" s="1058" t="s">
        <v>580</v>
      </c>
      <c r="AE1653" s="1059">
        <v>1102689</v>
      </c>
      <c r="AF1653" s="889" t="s">
        <v>459</v>
      </c>
      <c r="AG1653" s="889" t="s">
        <v>459</v>
      </c>
    </row>
    <row r="1654" spans="26:33" x14ac:dyDescent="0.35">
      <c r="Z1654" s="344">
        <v>4156</v>
      </c>
      <c r="AA1654" s="344" t="s">
        <v>579</v>
      </c>
      <c r="AB1654" s="344">
        <v>1</v>
      </c>
      <c r="AC1654" s="344" t="s">
        <v>479</v>
      </c>
      <c r="AD1654" s="1058" t="s">
        <v>580</v>
      </c>
      <c r="AE1654" s="1059">
        <v>861795</v>
      </c>
      <c r="AF1654" s="889" t="s">
        <v>459</v>
      </c>
      <c r="AG1654" s="889" t="s">
        <v>459</v>
      </c>
    </row>
    <row r="1655" spans="26:33" x14ac:dyDescent="0.35">
      <c r="Z1655" s="344">
        <v>4157</v>
      </c>
      <c r="AA1655" s="344" t="s">
        <v>579</v>
      </c>
      <c r="AB1655" s="344">
        <v>1</v>
      </c>
      <c r="AC1655" s="344" t="s">
        <v>457</v>
      </c>
      <c r="AD1655" s="1058" t="s">
        <v>580</v>
      </c>
      <c r="AE1655" s="1059">
        <v>617854</v>
      </c>
      <c r="AF1655" s="889" t="s">
        <v>459</v>
      </c>
      <c r="AG1655" s="889" t="s">
        <v>459</v>
      </c>
    </row>
    <row r="1656" spans="26:33" x14ac:dyDescent="0.35">
      <c r="Z1656" s="344">
        <v>4158</v>
      </c>
      <c r="AA1656" s="344" t="s">
        <v>579</v>
      </c>
      <c r="AB1656" s="344">
        <v>1</v>
      </c>
      <c r="AC1656" s="344" t="s">
        <v>457</v>
      </c>
      <c r="AD1656" s="1058" t="s">
        <v>580</v>
      </c>
      <c r="AE1656" s="1059">
        <v>470649</v>
      </c>
      <c r="AF1656" s="889" t="s">
        <v>459</v>
      </c>
      <c r="AG1656" s="889" t="s">
        <v>459</v>
      </c>
    </row>
    <row r="1657" spans="26:33" x14ac:dyDescent="0.35">
      <c r="Z1657" s="344">
        <v>4159</v>
      </c>
      <c r="AA1657" s="344" t="s">
        <v>579</v>
      </c>
      <c r="AB1657" s="344">
        <v>1</v>
      </c>
      <c r="AC1657" s="344" t="s">
        <v>457</v>
      </c>
      <c r="AD1657" s="1058" t="s">
        <v>580</v>
      </c>
      <c r="AE1657" s="1059">
        <v>505526</v>
      </c>
      <c r="AF1657" s="889" t="s">
        <v>459</v>
      </c>
      <c r="AG1657" s="889" t="s">
        <v>459</v>
      </c>
    </row>
    <row r="1658" spans="26:33" x14ac:dyDescent="0.35">
      <c r="Z1658" s="344">
        <v>4160</v>
      </c>
      <c r="AA1658" s="344" t="s">
        <v>579</v>
      </c>
      <c r="AB1658" s="344">
        <v>1</v>
      </c>
      <c r="AC1658" s="344" t="s">
        <v>457</v>
      </c>
      <c r="AD1658" s="1058" t="s">
        <v>580</v>
      </c>
      <c r="AE1658" s="1059">
        <v>559468</v>
      </c>
      <c r="AF1658" s="889" t="s">
        <v>459</v>
      </c>
      <c r="AG1658" s="889" t="s">
        <v>459</v>
      </c>
    </row>
    <row r="1659" spans="26:33" x14ac:dyDescent="0.35">
      <c r="Z1659" s="344">
        <v>4161</v>
      </c>
      <c r="AA1659" s="344" t="s">
        <v>579</v>
      </c>
      <c r="AB1659" s="344">
        <v>1</v>
      </c>
      <c r="AC1659" s="344" t="s">
        <v>471</v>
      </c>
      <c r="AD1659" s="1058" t="s">
        <v>580</v>
      </c>
      <c r="AE1659" s="1059">
        <v>409525</v>
      </c>
      <c r="AF1659" s="889" t="s">
        <v>459</v>
      </c>
      <c r="AG1659" s="889" t="s">
        <v>459</v>
      </c>
    </row>
    <row r="1660" spans="26:33" x14ac:dyDescent="0.35">
      <c r="Z1660" s="344">
        <v>4162</v>
      </c>
      <c r="AA1660" s="344" t="s">
        <v>579</v>
      </c>
      <c r="AB1660" s="344">
        <v>1</v>
      </c>
      <c r="AC1660" s="344" t="e">
        <v>#N/A</v>
      </c>
      <c r="AD1660" s="1058" t="s">
        <v>580</v>
      </c>
      <c r="AE1660" s="1059" t="e">
        <v>#N/A</v>
      </c>
      <c r="AF1660" s="889" t="s">
        <v>459</v>
      </c>
      <c r="AG1660" s="889" t="s">
        <v>459</v>
      </c>
    </row>
    <row r="1661" spans="26:33" x14ac:dyDescent="0.35">
      <c r="Z1661" s="344">
        <v>4163</v>
      </c>
      <c r="AA1661" s="344" t="s">
        <v>579</v>
      </c>
      <c r="AB1661" s="344">
        <v>1</v>
      </c>
      <c r="AC1661" s="344" t="s">
        <v>457</v>
      </c>
      <c r="AD1661" s="1058" t="s">
        <v>580</v>
      </c>
      <c r="AE1661" s="1059">
        <v>541184</v>
      </c>
      <c r="AF1661" s="889" t="s">
        <v>459</v>
      </c>
      <c r="AG1661" s="889" t="s">
        <v>459</v>
      </c>
    </row>
    <row r="1662" spans="26:33" x14ac:dyDescent="0.35">
      <c r="Z1662" s="344">
        <v>4164</v>
      </c>
      <c r="AA1662" s="344" t="s">
        <v>579</v>
      </c>
      <c r="AB1662" s="344">
        <v>1</v>
      </c>
      <c r="AC1662" s="344" t="s">
        <v>457</v>
      </c>
      <c r="AD1662" s="1058" t="s">
        <v>580</v>
      </c>
      <c r="AE1662" s="1059">
        <v>551220</v>
      </c>
      <c r="AF1662" s="889" t="s">
        <v>459</v>
      </c>
      <c r="AG1662" s="889" t="s">
        <v>459</v>
      </c>
    </row>
    <row r="1663" spans="26:33" x14ac:dyDescent="0.35">
      <c r="Z1663" s="344">
        <v>4165</v>
      </c>
      <c r="AA1663" s="344" t="s">
        <v>579</v>
      </c>
      <c r="AB1663" s="344">
        <v>1</v>
      </c>
      <c r="AC1663" s="344" t="s">
        <v>457</v>
      </c>
      <c r="AD1663" s="1058" t="s">
        <v>580</v>
      </c>
      <c r="AE1663" s="1059">
        <v>470036</v>
      </c>
      <c r="AF1663" s="889" t="s">
        <v>459</v>
      </c>
      <c r="AG1663" s="889" t="s">
        <v>459</v>
      </c>
    </row>
    <row r="1664" spans="26:33" x14ac:dyDescent="0.35">
      <c r="Z1664" s="344">
        <v>4166</v>
      </c>
      <c r="AA1664" s="344" t="s">
        <v>579</v>
      </c>
      <c r="AB1664" s="344">
        <v>1</v>
      </c>
      <c r="AC1664" s="344" t="e">
        <v>#N/A</v>
      </c>
      <c r="AD1664" s="1058" t="s">
        <v>580</v>
      </c>
      <c r="AE1664" s="1059" t="e">
        <v>#N/A</v>
      </c>
      <c r="AF1664" s="889" t="s">
        <v>459</v>
      </c>
      <c r="AG1664" s="889" t="s">
        <v>459</v>
      </c>
    </row>
    <row r="1665" spans="26:33" x14ac:dyDescent="0.35">
      <c r="Z1665" s="344">
        <v>4167</v>
      </c>
      <c r="AA1665" s="344" t="s">
        <v>579</v>
      </c>
      <c r="AB1665" s="344">
        <v>1</v>
      </c>
      <c r="AC1665" s="344" t="e">
        <v>#N/A</v>
      </c>
      <c r="AD1665" s="1058" t="s">
        <v>580</v>
      </c>
      <c r="AE1665" s="1059" t="e">
        <v>#N/A</v>
      </c>
      <c r="AF1665" s="889" t="s">
        <v>459</v>
      </c>
      <c r="AG1665" s="889" t="s">
        <v>459</v>
      </c>
    </row>
    <row r="1666" spans="26:33" x14ac:dyDescent="0.35">
      <c r="Z1666" s="344">
        <v>4168</v>
      </c>
      <c r="AA1666" s="344" t="s">
        <v>579</v>
      </c>
      <c r="AB1666" s="344">
        <v>1</v>
      </c>
      <c r="AC1666" s="344" t="e">
        <v>#N/A</v>
      </c>
      <c r="AD1666" s="1058" t="s">
        <v>580</v>
      </c>
      <c r="AE1666" s="1059" t="e">
        <v>#N/A</v>
      </c>
      <c r="AF1666" s="889" t="s">
        <v>459</v>
      </c>
      <c r="AG1666" s="889" t="s">
        <v>459</v>
      </c>
    </row>
    <row r="1667" spans="26:33" x14ac:dyDescent="0.35">
      <c r="Z1667" s="344">
        <v>4169</v>
      </c>
      <c r="AA1667" s="344" t="s">
        <v>579</v>
      </c>
      <c r="AB1667" s="344">
        <v>1</v>
      </c>
      <c r="AC1667" s="344" t="s">
        <v>457</v>
      </c>
      <c r="AD1667" s="1058" t="s">
        <v>580</v>
      </c>
      <c r="AE1667" s="1059">
        <v>719934</v>
      </c>
      <c r="AF1667" s="889" t="s">
        <v>459</v>
      </c>
      <c r="AG1667" s="889" t="s">
        <v>269</v>
      </c>
    </row>
    <row r="1668" spans="26:33" x14ac:dyDescent="0.35">
      <c r="Z1668" s="344">
        <v>4170</v>
      </c>
      <c r="AA1668" s="344" t="s">
        <v>579</v>
      </c>
      <c r="AB1668" s="344">
        <v>1</v>
      </c>
      <c r="AC1668" s="344" t="s">
        <v>457</v>
      </c>
      <c r="AD1668" s="1058" t="s">
        <v>580</v>
      </c>
      <c r="AE1668" s="1059">
        <v>675412</v>
      </c>
      <c r="AF1668" s="889" t="s">
        <v>459</v>
      </c>
      <c r="AG1668" s="889" t="s">
        <v>459</v>
      </c>
    </row>
    <row r="1669" spans="26:33" x14ac:dyDescent="0.35">
      <c r="Z1669" s="344">
        <v>4171</v>
      </c>
      <c r="AA1669" s="344" t="s">
        <v>579</v>
      </c>
      <c r="AB1669" s="344">
        <v>1</v>
      </c>
      <c r="AC1669" s="344" t="s">
        <v>482</v>
      </c>
      <c r="AD1669" s="1058" t="s">
        <v>580</v>
      </c>
      <c r="AE1669" s="1059">
        <v>974938</v>
      </c>
      <c r="AF1669" s="889" t="s">
        <v>459</v>
      </c>
      <c r="AG1669" s="889" t="s">
        <v>459</v>
      </c>
    </row>
    <row r="1670" spans="26:33" x14ac:dyDescent="0.35">
      <c r="Z1670" s="344">
        <v>4172</v>
      </c>
      <c r="AA1670" s="344" t="s">
        <v>579</v>
      </c>
      <c r="AB1670" s="344">
        <v>1</v>
      </c>
      <c r="AC1670" s="344" t="s">
        <v>457</v>
      </c>
      <c r="AD1670" s="1058" t="s">
        <v>580</v>
      </c>
      <c r="AE1670" s="1059">
        <v>542168</v>
      </c>
      <c r="AF1670" s="889" t="s">
        <v>459</v>
      </c>
      <c r="AG1670" s="889" t="s">
        <v>459</v>
      </c>
    </row>
    <row r="1671" spans="26:33" x14ac:dyDescent="0.35">
      <c r="Z1671" s="344">
        <v>4173</v>
      </c>
      <c r="AA1671" s="344" t="s">
        <v>579</v>
      </c>
      <c r="AB1671" s="344">
        <v>1</v>
      </c>
      <c r="AC1671" s="344" t="s">
        <v>457</v>
      </c>
      <c r="AD1671" s="1058" t="s">
        <v>580</v>
      </c>
      <c r="AE1671" s="1059">
        <v>474095</v>
      </c>
      <c r="AF1671" s="889" t="s">
        <v>459</v>
      </c>
      <c r="AG1671" s="889" t="s">
        <v>459</v>
      </c>
    </row>
    <row r="1672" spans="26:33" x14ac:dyDescent="0.35">
      <c r="Z1672" s="344">
        <v>4174</v>
      </c>
      <c r="AA1672" s="344" t="s">
        <v>579</v>
      </c>
      <c r="AB1672" s="344">
        <v>1</v>
      </c>
      <c r="AC1672" s="344" t="s">
        <v>471</v>
      </c>
      <c r="AD1672" s="1058" t="s">
        <v>580</v>
      </c>
      <c r="AE1672" s="1059">
        <v>429885</v>
      </c>
      <c r="AF1672" s="889" t="s">
        <v>459</v>
      </c>
      <c r="AG1672" s="889" t="s">
        <v>459</v>
      </c>
    </row>
    <row r="1673" spans="26:33" x14ac:dyDescent="0.35">
      <c r="Z1673" s="344">
        <v>4175</v>
      </c>
      <c r="AA1673" s="344" t="s">
        <v>579</v>
      </c>
      <c r="AB1673" s="344">
        <v>1</v>
      </c>
      <c r="AC1673" s="344" t="e">
        <v>#N/A</v>
      </c>
      <c r="AD1673" s="1058" t="s">
        <v>580</v>
      </c>
      <c r="AE1673" s="1059" t="e">
        <v>#N/A</v>
      </c>
      <c r="AF1673" s="889" t="s">
        <v>459</v>
      </c>
      <c r="AG1673" s="889" t="s">
        <v>459</v>
      </c>
    </row>
    <row r="1674" spans="26:33" x14ac:dyDescent="0.35">
      <c r="Z1674" s="344">
        <v>4176</v>
      </c>
      <c r="AA1674" s="344" t="s">
        <v>579</v>
      </c>
      <c r="AB1674" s="344">
        <v>1</v>
      </c>
      <c r="AC1674" s="344" t="e">
        <v>#N/A</v>
      </c>
      <c r="AD1674" s="1058" t="s">
        <v>580</v>
      </c>
      <c r="AE1674" s="1059" t="e">
        <v>#N/A</v>
      </c>
      <c r="AF1674" s="889" t="s">
        <v>459</v>
      </c>
      <c r="AG1674" s="889" t="s">
        <v>459</v>
      </c>
    </row>
    <row r="1675" spans="26:33" x14ac:dyDescent="0.35">
      <c r="Z1675" s="344">
        <v>4177</v>
      </c>
      <c r="AA1675" s="344" t="s">
        <v>579</v>
      </c>
      <c r="AB1675" s="344">
        <v>1</v>
      </c>
      <c r="AC1675" s="344" t="e">
        <v>#N/A</v>
      </c>
      <c r="AD1675" s="1058" t="s">
        <v>580</v>
      </c>
      <c r="AE1675" s="1059" t="e">
        <v>#N/A</v>
      </c>
      <c r="AF1675" s="889" t="s">
        <v>459</v>
      </c>
      <c r="AG1675" s="889" t="s">
        <v>459</v>
      </c>
    </row>
    <row r="1676" spans="26:33" x14ac:dyDescent="0.35">
      <c r="Z1676" s="344">
        <v>4178</v>
      </c>
      <c r="AA1676" s="344" t="s">
        <v>579</v>
      </c>
      <c r="AB1676" s="344">
        <v>1</v>
      </c>
      <c r="AC1676" s="344" t="s">
        <v>457</v>
      </c>
      <c r="AD1676" s="1058" t="s">
        <v>580</v>
      </c>
      <c r="AE1676" s="1059">
        <v>508263</v>
      </c>
      <c r="AF1676" s="889" t="s">
        <v>459</v>
      </c>
      <c r="AG1676" s="889" t="s">
        <v>459</v>
      </c>
    </row>
    <row r="1677" spans="26:33" x14ac:dyDescent="0.35">
      <c r="Z1677" s="344">
        <v>4179</v>
      </c>
      <c r="AA1677" s="344" t="s">
        <v>579</v>
      </c>
      <c r="AB1677" s="344">
        <v>1</v>
      </c>
      <c r="AC1677" s="344" t="s">
        <v>457</v>
      </c>
      <c r="AD1677" s="1058" t="s">
        <v>580</v>
      </c>
      <c r="AE1677" s="1059">
        <v>581051</v>
      </c>
      <c r="AF1677" s="889" t="s">
        <v>459</v>
      </c>
      <c r="AG1677" s="889" t="s">
        <v>459</v>
      </c>
    </row>
    <row r="1678" spans="26:33" x14ac:dyDescent="0.35">
      <c r="Z1678" s="344">
        <v>4183</v>
      </c>
      <c r="AA1678" s="344" t="s">
        <v>579</v>
      </c>
      <c r="AB1678" s="344">
        <v>4</v>
      </c>
      <c r="AC1678" s="344" t="s">
        <v>457</v>
      </c>
      <c r="AD1678" s="1058" t="s">
        <v>581</v>
      </c>
      <c r="AE1678" s="1059">
        <v>577760</v>
      </c>
      <c r="AF1678" s="889" t="s">
        <v>460</v>
      </c>
      <c r="AG1678" s="889" t="s">
        <v>459</v>
      </c>
    </row>
    <row r="1679" spans="26:33" x14ac:dyDescent="0.35">
      <c r="Z1679" s="344">
        <v>4184</v>
      </c>
      <c r="AA1679" s="344" t="s">
        <v>579</v>
      </c>
      <c r="AB1679" s="344">
        <v>3</v>
      </c>
      <c r="AC1679" s="344" t="s">
        <v>464</v>
      </c>
      <c r="AD1679" s="1058" t="s">
        <v>582</v>
      </c>
      <c r="AE1679" s="1059">
        <v>282942</v>
      </c>
      <c r="AF1679" s="889" t="s">
        <v>460</v>
      </c>
      <c r="AG1679" s="889" t="s">
        <v>459</v>
      </c>
    </row>
    <row r="1680" spans="26:33" x14ac:dyDescent="0.35">
      <c r="Z1680" s="344">
        <v>4205</v>
      </c>
      <c r="AA1680" s="344" t="s">
        <v>579</v>
      </c>
      <c r="AB1680" s="344">
        <v>1</v>
      </c>
      <c r="AC1680" s="344" t="s">
        <v>471</v>
      </c>
      <c r="AD1680" s="1058" t="s">
        <v>580</v>
      </c>
      <c r="AE1680" s="1059">
        <v>304485</v>
      </c>
      <c r="AF1680" s="889" t="s">
        <v>459</v>
      </c>
      <c r="AG1680" s="889" t="s">
        <v>459</v>
      </c>
    </row>
    <row r="1681" spans="26:33" x14ac:dyDescent="0.35">
      <c r="Z1681" s="344">
        <v>4206</v>
      </c>
      <c r="AA1681" s="344" t="s">
        <v>579</v>
      </c>
      <c r="AB1681" s="344">
        <v>1</v>
      </c>
      <c r="AC1681" s="344" t="e">
        <v>#N/A</v>
      </c>
      <c r="AD1681" s="1058" t="s">
        <v>580</v>
      </c>
      <c r="AE1681" s="1059" t="e">
        <v>#N/A</v>
      </c>
      <c r="AF1681" s="889" t="s">
        <v>459</v>
      </c>
      <c r="AG1681" s="889" t="s">
        <v>459</v>
      </c>
    </row>
    <row r="1682" spans="26:33" x14ac:dyDescent="0.35">
      <c r="Z1682" s="344">
        <v>4207</v>
      </c>
      <c r="AA1682" s="344" t="s">
        <v>579</v>
      </c>
      <c r="AB1682" s="344">
        <v>1</v>
      </c>
      <c r="AC1682" s="344" t="s">
        <v>457</v>
      </c>
      <c r="AD1682" s="1058" t="s">
        <v>580</v>
      </c>
      <c r="AE1682" s="1059">
        <v>461824</v>
      </c>
      <c r="AF1682" s="889" t="s">
        <v>459</v>
      </c>
      <c r="AG1682" s="889" t="s">
        <v>459</v>
      </c>
    </row>
    <row r="1683" spans="26:33" x14ac:dyDescent="0.35">
      <c r="Z1683" s="344">
        <v>4208</v>
      </c>
      <c r="AA1683" s="344" t="s">
        <v>579</v>
      </c>
      <c r="AB1683" s="344">
        <v>1</v>
      </c>
      <c r="AC1683" s="344" t="s">
        <v>457</v>
      </c>
      <c r="AD1683" s="1058" t="s">
        <v>580</v>
      </c>
      <c r="AE1683" s="1059">
        <v>509522</v>
      </c>
      <c r="AF1683" s="889" t="s">
        <v>459</v>
      </c>
      <c r="AG1683" s="889" t="s">
        <v>459</v>
      </c>
    </row>
    <row r="1684" spans="26:33" x14ac:dyDescent="0.35">
      <c r="Z1684" s="344">
        <v>4209</v>
      </c>
      <c r="AA1684" s="344" t="s">
        <v>579</v>
      </c>
      <c r="AB1684" s="344">
        <v>1</v>
      </c>
      <c r="AC1684" s="344" t="s">
        <v>457</v>
      </c>
      <c r="AD1684" s="1058" t="s">
        <v>580</v>
      </c>
      <c r="AE1684" s="1059">
        <v>495632</v>
      </c>
      <c r="AF1684" s="889" t="s">
        <v>459</v>
      </c>
      <c r="AG1684" s="889" t="s">
        <v>459</v>
      </c>
    </row>
    <row r="1685" spans="26:33" x14ac:dyDescent="0.35">
      <c r="Z1685" s="344">
        <v>4210</v>
      </c>
      <c r="AA1685" s="344" t="s">
        <v>579</v>
      </c>
      <c r="AB1685" s="344">
        <v>1</v>
      </c>
      <c r="AC1685" s="344" t="s">
        <v>457</v>
      </c>
      <c r="AD1685" s="1058" t="s">
        <v>580</v>
      </c>
      <c r="AE1685" s="1059">
        <v>582424</v>
      </c>
      <c r="AF1685" s="889" t="s">
        <v>459</v>
      </c>
      <c r="AG1685" s="889" t="s">
        <v>459</v>
      </c>
    </row>
    <row r="1686" spans="26:33" x14ac:dyDescent="0.35">
      <c r="Z1686" s="344">
        <v>4211</v>
      </c>
      <c r="AA1686" s="344" t="s">
        <v>579</v>
      </c>
      <c r="AB1686" s="344">
        <v>1</v>
      </c>
      <c r="AC1686" s="344" t="s">
        <v>457</v>
      </c>
      <c r="AD1686" s="1058" t="s">
        <v>580</v>
      </c>
      <c r="AE1686" s="1059">
        <v>514590</v>
      </c>
      <c r="AF1686" s="889" t="s">
        <v>459</v>
      </c>
      <c r="AG1686" s="889" t="s">
        <v>459</v>
      </c>
    </row>
    <row r="1687" spans="26:33" x14ac:dyDescent="0.35">
      <c r="Z1687" s="344">
        <v>4212</v>
      </c>
      <c r="AA1687" s="344" t="s">
        <v>579</v>
      </c>
      <c r="AB1687" s="344">
        <v>1</v>
      </c>
      <c r="AC1687" s="344" t="s">
        <v>457</v>
      </c>
      <c r="AD1687" s="1058" t="s">
        <v>580</v>
      </c>
      <c r="AE1687" s="1059">
        <v>621156</v>
      </c>
      <c r="AF1687" s="889" t="s">
        <v>459</v>
      </c>
      <c r="AG1687" s="889" t="s">
        <v>459</v>
      </c>
    </row>
    <row r="1688" spans="26:33" x14ac:dyDescent="0.35">
      <c r="Z1688" s="344">
        <v>4213</v>
      </c>
      <c r="AA1688" s="344" t="s">
        <v>579</v>
      </c>
      <c r="AB1688" s="344">
        <v>1</v>
      </c>
      <c r="AC1688" s="344" t="s">
        <v>457</v>
      </c>
      <c r="AD1688" s="1058" t="s">
        <v>580</v>
      </c>
      <c r="AE1688" s="1059">
        <v>570934</v>
      </c>
      <c r="AF1688" s="889" t="s">
        <v>459</v>
      </c>
      <c r="AG1688" s="889" t="s">
        <v>459</v>
      </c>
    </row>
    <row r="1689" spans="26:33" x14ac:dyDescent="0.35">
      <c r="Z1689" s="344">
        <v>4214</v>
      </c>
      <c r="AA1689" s="344" t="s">
        <v>579</v>
      </c>
      <c r="AB1689" s="344">
        <v>1</v>
      </c>
      <c r="AC1689" s="344" t="s">
        <v>457</v>
      </c>
      <c r="AD1689" s="1058" t="s">
        <v>580</v>
      </c>
      <c r="AE1689" s="1059">
        <v>499815</v>
      </c>
      <c r="AF1689" s="889" t="s">
        <v>459</v>
      </c>
      <c r="AG1689" s="889" t="s">
        <v>459</v>
      </c>
    </row>
    <row r="1690" spans="26:33" x14ac:dyDescent="0.35">
      <c r="Z1690" s="344">
        <v>4215</v>
      </c>
      <c r="AA1690" s="344" t="s">
        <v>579</v>
      </c>
      <c r="AB1690" s="344">
        <v>1</v>
      </c>
      <c r="AC1690" s="344" t="s">
        <v>471</v>
      </c>
      <c r="AD1690" s="1058" t="s">
        <v>580</v>
      </c>
      <c r="AE1690" s="1059">
        <v>448021</v>
      </c>
      <c r="AF1690" s="889" t="s">
        <v>459</v>
      </c>
      <c r="AG1690" s="889" t="s">
        <v>459</v>
      </c>
    </row>
    <row r="1691" spans="26:33" x14ac:dyDescent="0.35">
      <c r="Z1691" s="344">
        <v>4216</v>
      </c>
      <c r="AA1691" s="344" t="s">
        <v>579</v>
      </c>
      <c r="AB1691" s="344">
        <v>1</v>
      </c>
      <c r="AC1691" s="344" t="s">
        <v>457</v>
      </c>
      <c r="AD1691" s="1058" t="s">
        <v>580</v>
      </c>
      <c r="AE1691" s="1059">
        <v>588579</v>
      </c>
      <c r="AF1691" s="889" t="s">
        <v>459</v>
      </c>
      <c r="AG1691" s="889" t="s">
        <v>459</v>
      </c>
    </row>
    <row r="1692" spans="26:33" x14ac:dyDescent="0.35">
      <c r="Z1692" s="344">
        <v>4217</v>
      </c>
      <c r="AA1692" s="344" t="s">
        <v>579</v>
      </c>
      <c r="AB1692" s="344">
        <v>1</v>
      </c>
      <c r="AC1692" s="344" t="s">
        <v>482</v>
      </c>
      <c r="AD1692" s="1058" t="s">
        <v>580</v>
      </c>
      <c r="AE1692" s="1059">
        <v>980247</v>
      </c>
      <c r="AF1692" s="889" t="s">
        <v>459</v>
      </c>
      <c r="AG1692" s="889" t="s">
        <v>459</v>
      </c>
    </row>
    <row r="1693" spans="26:33" x14ac:dyDescent="0.35">
      <c r="Z1693" s="344">
        <v>4218</v>
      </c>
      <c r="AA1693" s="344" t="s">
        <v>579</v>
      </c>
      <c r="AB1693" s="344">
        <v>1</v>
      </c>
      <c r="AC1693" s="344" t="s">
        <v>479</v>
      </c>
      <c r="AD1693" s="1058" t="s">
        <v>580</v>
      </c>
      <c r="AE1693" s="1059">
        <v>816235</v>
      </c>
      <c r="AF1693" s="889" t="s">
        <v>459</v>
      </c>
      <c r="AG1693" s="889" t="s">
        <v>459</v>
      </c>
    </row>
    <row r="1694" spans="26:33" x14ac:dyDescent="0.35">
      <c r="Z1694" s="344">
        <v>4219</v>
      </c>
      <c r="AA1694" s="344" t="s">
        <v>579</v>
      </c>
      <c r="AB1694" s="344">
        <v>1</v>
      </c>
      <c r="AC1694" s="344" t="e">
        <v>#N/A</v>
      </c>
      <c r="AD1694" s="1058" t="s">
        <v>580</v>
      </c>
      <c r="AE1694" s="1059" t="e">
        <v>#N/A</v>
      </c>
      <c r="AF1694" s="889" t="s">
        <v>459</v>
      </c>
      <c r="AG1694" s="889" t="s">
        <v>459</v>
      </c>
    </row>
    <row r="1695" spans="26:33" x14ac:dyDescent="0.35">
      <c r="Z1695" s="344">
        <v>4220</v>
      </c>
      <c r="AA1695" s="344" t="s">
        <v>579</v>
      </c>
      <c r="AB1695" s="344">
        <v>1</v>
      </c>
      <c r="AC1695" s="344" t="s">
        <v>457</v>
      </c>
      <c r="AD1695" s="1058" t="s">
        <v>580</v>
      </c>
      <c r="AE1695" s="1059">
        <v>600071</v>
      </c>
      <c r="AF1695" s="889" t="s">
        <v>459</v>
      </c>
      <c r="AG1695" s="889" t="s">
        <v>459</v>
      </c>
    </row>
    <row r="1696" spans="26:33" x14ac:dyDescent="0.35">
      <c r="Z1696" s="344">
        <v>4221</v>
      </c>
      <c r="AA1696" s="344" t="s">
        <v>579</v>
      </c>
      <c r="AB1696" s="344">
        <v>1</v>
      </c>
      <c r="AC1696" s="344" t="s">
        <v>457</v>
      </c>
      <c r="AD1696" s="1058" t="s">
        <v>580</v>
      </c>
      <c r="AE1696" s="1059">
        <v>543524</v>
      </c>
      <c r="AF1696" s="889" t="s">
        <v>459</v>
      </c>
      <c r="AG1696" s="889" t="s">
        <v>459</v>
      </c>
    </row>
    <row r="1697" spans="26:33" x14ac:dyDescent="0.35">
      <c r="Z1697" s="344">
        <v>4223</v>
      </c>
      <c r="AA1697" s="344" t="s">
        <v>579</v>
      </c>
      <c r="AB1697" s="344">
        <v>1</v>
      </c>
      <c r="AC1697" s="344" t="s">
        <v>457</v>
      </c>
      <c r="AD1697" s="1058" t="s">
        <v>580</v>
      </c>
      <c r="AE1697" s="1059">
        <v>672126</v>
      </c>
      <c r="AF1697" s="889" t="s">
        <v>459</v>
      </c>
      <c r="AG1697" s="889" t="s">
        <v>459</v>
      </c>
    </row>
    <row r="1698" spans="26:33" x14ac:dyDescent="0.35">
      <c r="Z1698" s="344">
        <v>4224</v>
      </c>
      <c r="AA1698" s="344" t="s">
        <v>579</v>
      </c>
      <c r="AB1698" s="344">
        <v>1</v>
      </c>
      <c r="AC1698" s="344" t="s">
        <v>457</v>
      </c>
      <c r="AD1698" s="1058" t="s">
        <v>580</v>
      </c>
      <c r="AE1698" s="1059">
        <v>482985</v>
      </c>
      <c r="AF1698" s="889" t="s">
        <v>459</v>
      </c>
      <c r="AG1698" s="889" t="s">
        <v>459</v>
      </c>
    </row>
    <row r="1699" spans="26:33" x14ac:dyDescent="0.35">
      <c r="Z1699" s="344">
        <v>4225</v>
      </c>
      <c r="AA1699" s="344" t="s">
        <v>579</v>
      </c>
      <c r="AB1699" s="344">
        <v>1</v>
      </c>
      <c r="AC1699" s="344" t="s">
        <v>457</v>
      </c>
      <c r="AD1699" s="1058" t="s">
        <v>580</v>
      </c>
      <c r="AE1699" s="1059">
        <v>524817</v>
      </c>
      <c r="AF1699" s="889" t="s">
        <v>459</v>
      </c>
      <c r="AG1699" s="889" t="s">
        <v>459</v>
      </c>
    </row>
    <row r="1700" spans="26:33" x14ac:dyDescent="0.35">
      <c r="Z1700" s="344">
        <v>4226</v>
      </c>
      <c r="AA1700" s="344" t="s">
        <v>579</v>
      </c>
      <c r="AB1700" s="344">
        <v>1</v>
      </c>
      <c r="AC1700" s="344" t="s">
        <v>457</v>
      </c>
      <c r="AD1700" s="1058" t="s">
        <v>580</v>
      </c>
      <c r="AE1700" s="1059">
        <v>599715</v>
      </c>
      <c r="AF1700" s="889" t="s">
        <v>459</v>
      </c>
      <c r="AG1700" s="889" t="s">
        <v>459</v>
      </c>
    </row>
    <row r="1701" spans="26:33" x14ac:dyDescent="0.35">
      <c r="Z1701" s="344">
        <v>4227</v>
      </c>
      <c r="AA1701" s="344" t="s">
        <v>579</v>
      </c>
      <c r="AB1701" s="344">
        <v>1</v>
      </c>
      <c r="AC1701" s="344" t="s">
        <v>457</v>
      </c>
      <c r="AD1701" s="1058" t="s">
        <v>580</v>
      </c>
      <c r="AE1701" s="1059">
        <v>544739</v>
      </c>
      <c r="AF1701" s="889" t="s">
        <v>459</v>
      </c>
      <c r="AG1701" s="889" t="s">
        <v>459</v>
      </c>
    </row>
    <row r="1702" spans="26:33" x14ac:dyDescent="0.35">
      <c r="Z1702" s="344">
        <v>4228</v>
      </c>
      <c r="AA1702" s="344" t="s">
        <v>579</v>
      </c>
      <c r="AB1702" s="344">
        <v>1</v>
      </c>
      <c r="AC1702" s="344" t="s">
        <v>457</v>
      </c>
      <c r="AD1702" s="1058" t="s">
        <v>580</v>
      </c>
      <c r="AE1702" s="1059">
        <v>705257</v>
      </c>
      <c r="AF1702" s="889" t="s">
        <v>459</v>
      </c>
      <c r="AG1702" s="889" t="s">
        <v>459</v>
      </c>
    </row>
    <row r="1703" spans="26:33" x14ac:dyDescent="0.35">
      <c r="Z1703" s="344">
        <v>4229</v>
      </c>
      <c r="AA1703" s="344" t="s">
        <v>579</v>
      </c>
      <c r="AB1703" s="344">
        <v>1</v>
      </c>
      <c r="AC1703" s="344" t="e">
        <v>#N/A</v>
      </c>
      <c r="AD1703" s="1058" t="s">
        <v>580</v>
      </c>
      <c r="AE1703" s="1059" t="e">
        <v>#N/A</v>
      </c>
      <c r="AF1703" s="889" t="s">
        <v>459</v>
      </c>
      <c r="AG1703" s="889" t="s">
        <v>459</v>
      </c>
    </row>
    <row r="1704" spans="26:33" x14ac:dyDescent="0.35">
      <c r="Z1704" s="344">
        <v>4270</v>
      </c>
      <c r="AA1704" s="344" t="s">
        <v>579</v>
      </c>
      <c r="AB1704" s="344">
        <v>2</v>
      </c>
      <c r="AC1704" s="344" t="s">
        <v>457</v>
      </c>
      <c r="AD1704" s="1058" t="s">
        <v>583</v>
      </c>
      <c r="AE1704" s="1059">
        <v>532815</v>
      </c>
      <c r="AF1704" s="889" t="s">
        <v>459</v>
      </c>
      <c r="AG1704" s="889" t="s">
        <v>459</v>
      </c>
    </row>
    <row r="1705" spans="26:33" x14ac:dyDescent="0.35">
      <c r="Z1705" s="344">
        <v>4271</v>
      </c>
      <c r="AA1705" s="344" t="s">
        <v>579</v>
      </c>
      <c r="AB1705" s="344">
        <v>1</v>
      </c>
      <c r="AC1705" s="344" t="e">
        <v>#N/A</v>
      </c>
      <c r="AD1705" s="1058" t="s">
        <v>580</v>
      </c>
      <c r="AE1705" s="1059" t="e">
        <v>#N/A</v>
      </c>
      <c r="AF1705" s="889" t="s">
        <v>459</v>
      </c>
      <c r="AG1705" s="889" t="s">
        <v>459</v>
      </c>
    </row>
    <row r="1706" spans="26:33" x14ac:dyDescent="0.35">
      <c r="Z1706" s="344">
        <v>4272</v>
      </c>
      <c r="AA1706" s="344" t="s">
        <v>579</v>
      </c>
      <c r="AB1706" s="344">
        <v>1</v>
      </c>
      <c r="AC1706" s="344" t="s">
        <v>457</v>
      </c>
      <c r="AD1706" s="1058" t="s">
        <v>580</v>
      </c>
      <c r="AE1706" s="1059">
        <v>477107</v>
      </c>
      <c r="AF1706" s="889" t="s">
        <v>459</v>
      </c>
      <c r="AG1706" s="889" t="s">
        <v>459</v>
      </c>
    </row>
    <row r="1707" spans="26:33" x14ac:dyDescent="0.35">
      <c r="Z1707" s="344">
        <v>4275</v>
      </c>
      <c r="AA1707" s="344" t="s">
        <v>579</v>
      </c>
      <c r="AB1707" s="344">
        <v>4</v>
      </c>
      <c r="AC1707" s="344" t="s">
        <v>457</v>
      </c>
      <c r="AD1707" s="1058" t="s">
        <v>581</v>
      </c>
      <c r="AE1707" s="1059">
        <v>504596</v>
      </c>
      <c r="AF1707" s="889" t="s">
        <v>459</v>
      </c>
      <c r="AG1707" s="889" t="s">
        <v>459</v>
      </c>
    </row>
    <row r="1708" spans="26:33" x14ac:dyDescent="0.35">
      <c r="Z1708" s="344">
        <v>4280</v>
      </c>
      <c r="AA1708" s="344" t="s">
        <v>579</v>
      </c>
      <c r="AB1708" s="344">
        <v>1</v>
      </c>
      <c r="AC1708" s="344" t="s">
        <v>457</v>
      </c>
      <c r="AD1708" s="1058" t="s">
        <v>580</v>
      </c>
      <c r="AE1708" s="1059">
        <v>452494</v>
      </c>
      <c r="AF1708" s="889" t="s">
        <v>459</v>
      </c>
      <c r="AG1708" s="889" t="s">
        <v>459</v>
      </c>
    </row>
    <row r="1709" spans="26:33" x14ac:dyDescent="0.35">
      <c r="Z1709" s="344">
        <v>4285</v>
      </c>
      <c r="AA1709" s="344" t="s">
        <v>579</v>
      </c>
      <c r="AB1709" s="344">
        <v>3</v>
      </c>
      <c r="AC1709" s="344" t="s">
        <v>471</v>
      </c>
      <c r="AD1709" s="1058" t="s">
        <v>582</v>
      </c>
      <c r="AE1709" s="1059">
        <v>425866</v>
      </c>
      <c r="AF1709" s="889" t="s">
        <v>459</v>
      </c>
      <c r="AG1709" s="889" t="s">
        <v>459</v>
      </c>
    </row>
    <row r="1710" spans="26:33" x14ac:dyDescent="0.35">
      <c r="Z1710" s="344">
        <v>4287</v>
      </c>
      <c r="AA1710" s="344" t="s">
        <v>579</v>
      </c>
      <c r="AB1710" s="344">
        <v>4</v>
      </c>
      <c r="AC1710" s="344" t="s">
        <v>464</v>
      </c>
      <c r="AD1710" s="1058" t="s">
        <v>581</v>
      </c>
      <c r="AE1710" s="1059">
        <v>273326</v>
      </c>
      <c r="AF1710" s="889" t="s">
        <v>459</v>
      </c>
      <c r="AG1710" s="889" t="s">
        <v>459</v>
      </c>
    </row>
    <row r="1711" spans="26:33" x14ac:dyDescent="0.35">
      <c r="Z1711" s="344">
        <v>4300</v>
      </c>
      <c r="AA1711" s="344" t="s">
        <v>579</v>
      </c>
      <c r="AB1711" s="344">
        <v>1</v>
      </c>
      <c r="AC1711" s="344" t="s">
        <v>471</v>
      </c>
      <c r="AD1711" s="1058" t="s">
        <v>580</v>
      </c>
      <c r="AE1711" s="1059">
        <v>348147</v>
      </c>
      <c r="AF1711" s="889" t="s">
        <v>459</v>
      </c>
      <c r="AG1711" s="889" t="s">
        <v>459</v>
      </c>
    </row>
    <row r="1712" spans="26:33" x14ac:dyDescent="0.35">
      <c r="Z1712" s="344">
        <v>4301</v>
      </c>
      <c r="AA1712" s="344" t="s">
        <v>579</v>
      </c>
      <c r="AB1712" s="344">
        <v>1</v>
      </c>
      <c r="AC1712" s="344" t="s">
        <v>464</v>
      </c>
      <c r="AD1712" s="1058" t="s">
        <v>580</v>
      </c>
      <c r="AE1712" s="1059">
        <v>295178</v>
      </c>
      <c r="AF1712" s="889" t="s">
        <v>460</v>
      </c>
      <c r="AG1712" s="889" t="s">
        <v>459</v>
      </c>
    </row>
    <row r="1713" spans="26:33" x14ac:dyDescent="0.35">
      <c r="Z1713" s="344">
        <v>4302</v>
      </c>
      <c r="AA1713" s="344" t="s">
        <v>579</v>
      </c>
      <c r="AB1713" s="344">
        <v>1</v>
      </c>
      <c r="AC1713" s="344" t="e">
        <v>#N/A</v>
      </c>
      <c r="AD1713" s="1058" t="s">
        <v>580</v>
      </c>
      <c r="AE1713" s="1059" t="e">
        <v>#N/A</v>
      </c>
      <c r="AF1713" s="889" t="s">
        <v>459</v>
      </c>
      <c r="AG1713" s="889" t="s">
        <v>459</v>
      </c>
    </row>
    <row r="1714" spans="26:33" x14ac:dyDescent="0.35">
      <c r="Z1714" s="344">
        <v>4303</v>
      </c>
      <c r="AA1714" s="344" t="s">
        <v>579</v>
      </c>
      <c r="AB1714" s="344">
        <v>1</v>
      </c>
      <c r="AC1714" s="344" t="s">
        <v>464</v>
      </c>
      <c r="AD1714" s="1058" t="s">
        <v>580</v>
      </c>
      <c r="AE1714" s="1059">
        <v>230073</v>
      </c>
      <c r="AF1714" s="889" t="s">
        <v>459</v>
      </c>
      <c r="AG1714" s="889" t="s">
        <v>459</v>
      </c>
    </row>
    <row r="1715" spans="26:33" x14ac:dyDescent="0.35">
      <c r="Z1715" s="344">
        <v>4304</v>
      </c>
      <c r="AA1715" s="344" t="s">
        <v>579</v>
      </c>
      <c r="AB1715" s="344">
        <v>1</v>
      </c>
      <c r="AC1715" s="344" t="s">
        <v>464</v>
      </c>
      <c r="AD1715" s="1058" t="s">
        <v>580</v>
      </c>
      <c r="AE1715" s="1059">
        <v>259861</v>
      </c>
      <c r="AF1715" s="889" t="s">
        <v>460</v>
      </c>
      <c r="AG1715" s="889" t="s">
        <v>459</v>
      </c>
    </row>
    <row r="1716" spans="26:33" x14ac:dyDescent="0.35">
      <c r="Z1716" s="344">
        <v>4305</v>
      </c>
      <c r="AA1716" s="344" t="s">
        <v>579</v>
      </c>
      <c r="AB1716" s="344">
        <v>1</v>
      </c>
      <c r="AC1716" s="344" t="s">
        <v>464</v>
      </c>
      <c r="AD1716" s="1058" t="s">
        <v>580</v>
      </c>
      <c r="AE1716" s="1059">
        <v>289837</v>
      </c>
      <c r="AF1716" s="889" t="s">
        <v>459</v>
      </c>
      <c r="AG1716" s="889" t="s">
        <v>459</v>
      </c>
    </row>
    <row r="1717" spans="26:33" x14ac:dyDescent="0.35">
      <c r="Z1717" s="344">
        <v>4306</v>
      </c>
      <c r="AA1717" s="344" t="s">
        <v>579</v>
      </c>
      <c r="AB1717" s="344">
        <v>2</v>
      </c>
      <c r="AC1717" s="344" t="s">
        <v>471</v>
      </c>
      <c r="AD1717" s="1058" t="s">
        <v>583</v>
      </c>
      <c r="AE1717" s="1059">
        <v>406084</v>
      </c>
      <c r="AF1717" s="889" t="s">
        <v>459</v>
      </c>
      <c r="AG1717" s="889" t="s">
        <v>459</v>
      </c>
    </row>
    <row r="1718" spans="26:33" x14ac:dyDescent="0.35">
      <c r="Z1718" s="344">
        <v>4307</v>
      </c>
      <c r="AA1718" s="344" t="s">
        <v>579</v>
      </c>
      <c r="AB1718" s="344">
        <v>4</v>
      </c>
      <c r="AC1718" s="344" t="s">
        <v>471</v>
      </c>
      <c r="AD1718" s="1058" t="s">
        <v>581</v>
      </c>
      <c r="AE1718" s="1059">
        <v>320631</v>
      </c>
      <c r="AF1718" s="889" t="s">
        <v>459</v>
      </c>
      <c r="AG1718" s="889" t="s">
        <v>459</v>
      </c>
    </row>
    <row r="1719" spans="26:33" x14ac:dyDescent="0.35">
      <c r="Z1719" s="344">
        <v>4309</v>
      </c>
      <c r="AA1719" s="344" t="s">
        <v>579</v>
      </c>
      <c r="AB1719" s="344">
        <v>4</v>
      </c>
      <c r="AC1719" s="344" t="s">
        <v>471</v>
      </c>
      <c r="AD1719" s="1058" t="s">
        <v>581</v>
      </c>
      <c r="AE1719" s="1059">
        <v>337988</v>
      </c>
      <c r="AF1719" s="889" t="s">
        <v>459</v>
      </c>
      <c r="AG1719" s="889" t="s">
        <v>459</v>
      </c>
    </row>
    <row r="1720" spans="26:33" x14ac:dyDescent="0.35">
      <c r="Z1720" s="344">
        <v>4310</v>
      </c>
      <c r="AA1720" s="344" t="s">
        <v>579</v>
      </c>
      <c r="AB1720" s="344">
        <v>4</v>
      </c>
      <c r="AC1720" s="344" t="s">
        <v>464</v>
      </c>
      <c r="AD1720" s="1058" t="s">
        <v>581</v>
      </c>
      <c r="AE1720" s="1059">
        <v>291585</v>
      </c>
      <c r="AF1720" s="889" t="s">
        <v>459</v>
      </c>
      <c r="AG1720" s="889" t="s">
        <v>459</v>
      </c>
    </row>
    <row r="1721" spans="26:33" x14ac:dyDescent="0.35">
      <c r="Z1721" s="344">
        <v>4311</v>
      </c>
      <c r="AA1721" s="344" t="s">
        <v>579</v>
      </c>
      <c r="AB1721" s="344">
        <v>3</v>
      </c>
      <c r="AC1721" s="344" t="s">
        <v>471</v>
      </c>
      <c r="AD1721" s="1058" t="s">
        <v>582</v>
      </c>
      <c r="AE1721" s="1059">
        <v>351859</v>
      </c>
      <c r="AF1721" s="889" t="s">
        <v>459</v>
      </c>
      <c r="AG1721" s="889" t="s">
        <v>459</v>
      </c>
    </row>
    <row r="1722" spans="26:33" x14ac:dyDescent="0.35">
      <c r="Z1722" s="344">
        <v>4312</v>
      </c>
      <c r="AA1722" s="344" t="s">
        <v>579</v>
      </c>
      <c r="AB1722" s="344">
        <v>4</v>
      </c>
      <c r="AC1722" s="344" t="s">
        <v>471</v>
      </c>
      <c r="AD1722" s="1058" t="s">
        <v>581</v>
      </c>
      <c r="AE1722" s="1059">
        <v>318756</v>
      </c>
      <c r="AF1722" s="889" t="s">
        <v>459</v>
      </c>
      <c r="AG1722" s="889" t="s">
        <v>459</v>
      </c>
    </row>
    <row r="1723" spans="26:33" x14ac:dyDescent="0.35">
      <c r="Z1723" s="344">
        <v>4313</v>
      </c>
      <c r="AA1723" s="344" t="s">
        <v>579</v>
      </c>
      <c r="AB1723" s="344">
        <v>4</v>
      </c>
      <c r="AC1723" s="344" t="s">
        <v>471</v>
      </c>
      <c r="AD1723" s="1058" t="s">
        <v>581</v>
      </c>
      <c r="AE1723" s="1059">
        <v>318423</v>
      </c>
      <c r="AF1723" s="889" t="s">
        <v>459</v>
      </c>
      <c r="AG1723" s="889" t="s">
        <v>459</v>
      </c>
    </row>
    <row r="1724" spans="26:33" x14ac:dyDescent="0.35">
      <c r="Z1724" s="344">
        <v>4340</v>
      </c>
      <c r="AA1724" s="344" t="s">
        <v>579</v>
      </c>
      <c r="AB1724" s="344">
        <v>4</v>
      </c>
      <c r="AC1724" s="344" t="s">
        <v>471</v>
      </c>
      <c r="AD1724" s="1058" t="s">
        <v>581</v>
      </c>
      <c r="AE1724" s="1059">
        <v>405991</v>
      </c>
      <c r="AF1724" s="889" t="s">
        <v>459</v>
      </c>
      <c r="AG1724" s="889" t="s">
        <v>459</v>
      </c>
    </row>
    <row r="1725" spans="26:33" x14ac:dyDescent="0.35">
      <c r="Z1725" s="344">
        <v>4341</v>
      </c>
      <c r="AA1725" s="344" t="s">
        <v>579</v>
      </c>
      <c r="AB1725" s="344">
        <v>3</v>
      </c>
      <c r="AC1725" s="344" t="s">
        <v>471</v>
      </c>
      <c r="AD1725" s="1058" t="s">
        <v>582</v>
      </c>
      <c r="AE1725" s="1059">
        <v>317782</v>
      </c>
      <c r="AF1725" s="889" t="s">
        <v>459</v>
      </c>
      <c r="AG1725" s="889" t="s">
        <v>459</v>
      </c>
    </row>
    <row r="1726" spans="26:33" x14ac:dyDescent="0.35">
      <c r="Z1726" s="344">
        <v>4342</v>
      </c>
      <c r="AA1726" s="344" t="s">
        <v>579</v>
      </c>
      <c r="AB1726" s="344">
        <v>4</v>
      </c>
      <c r="AC1726" s="344" t="s">
        <v>464</v>
      </c>
      <c r="AD1726" s="1058" t="s">
        <v>581</v>
      </c>
      <c r="AE1726" s="1059">
        <v>274482</v>
      </c>
      <c r="AF1726" s="889" t="s">
        <v>459</v>
      </c>
      <c r="AG1726" s="889" t="s">
        <v>459</v>
      </c>
    </row>
    <row r="1727" spans="26:33" x14ac:dyDescent="0.35">
      <c r="Z1727" s="344">
        <v>4343</v>
      </c>
      <c r="AA1727" s="344" t="s">
        <v>579</v>
      </c>
      <c r="AB1727" s="344">
        <v>3</v>
      </c>
      <c r="AC1727" s="344" t="s">
        <v>471</v>
      </c>
      <c r="AD1727" s="1058" t="s">
        <v>582</v>
      </c>
      <c r="AE1727" s="1059">
        <v>387309</v>
      </c>
      <c r="AF1727" s="889" t="s">
        <v>459</v>
      </c>
      <c r="AG1727" s="889" t="s">
        <v>459</v>
      </c>
    </row>
    <row r="1728" spans="26:33" x14ac:dyDescent="0.35">
      <c r="Z1728" s="344">
        <v>4344</v>
      </c>
      <c r="AA1728" s="344" t="s">
        <v>579</v>
      </c>
      <c r="AB1728" s="344">
        <v>1</v>
      </c>
      <c r="AC1728" s="344" t="s">
        <v>471</v>
      </c>
      <c r="AD1728" s="1058" t="s">
        <v>580</v>
      </c>
      <c r="AE1728" s="1059">
        <v>362456</v>
      </c>
      <c r="AF1728" s="889" t="s">
        <v>459</v>
      </c>
      <c r="AG1728" s="889" t="s">
        <v>459</v>
      </c>
    </row>
    <row r="1729" spans="26:33" x14ac:dyDescent="0.35">
      <c r="Z1729" s="344">
        <v>4345</v>
      </c>
      <c r="AA1729" s="344" t="s">
        <v>579</v>
      </c>
      <c r="AB1729" s="344">
        <v>4</v>
      </c>
      <c r="AC1729" s="344" t="e">
        <v>#N/A</v>
      </c>
      <c r="AD1729" s="1058" t="s">
        <v>581</v>
      </c>
      <c r="AE1729" s="1059" t="e">
        <v>#N/A</v>
      </c>
      <c r="AF1729" s="889" t="s">
        <v>459</v>
      </c>
      <c r="AG1729" s="889" t="s">
        <v>459</v>
      </c>
    </row>
    <row r="1730" spans="26:33" x14ac:dyDescent="0.35">
      <c r="Z1730" s="344">
        <v>4346</v>
      </c>
      <c r="AA1730" s="344" t="s">
        <v>579</v>
      </c>
      <c r="AB1730" s="344">
        <v>1</v>
      </c>
      <c r="AC1730" s="344" t="s">
        <v>471</v>
      </c>
      <c r="AD1730" s="1058" t="s">
        <v>580</v>
      </c>
      <c r="AE1730" s="1059">
        <v>322628</v>
      </c>
      <c r="AF1730" s="889" t="s">
        <v>459</v>
      </c>
      <c r="AG1730" s="889" t="s">
        <v>459</v>
      </c>
    </row>
    <row r="1731" spans="26:33" x14ac:dyDescent="0.35">
      <c r="Z1731" s="344">
        <v>4347</v>
      </c>
      <c r="AA1731" s="344" t="s">
        <v>579</v>
      </c>
      <c r="AB1731" s="344">
        <v>1</v>
      </c>
      <c r="AC1731" s="344" t="s">
        <v>471</v>
      </c>
      <c r="AD1731" s="1058" t="s">
        <v>580</v>
      </c>
      <c r="AE1731" s="1059">
        <v>309445</v>
      </c>
      <c r="AF1731" s="889" t="s">
        <v>459</v>
      </c>
      <c r="AG1731" s="889" t="s">
        <v>459</v>
      </c>
    </row>
    <row r="1732" spans="26:33" x14ac:dyDescent="0.35">
      <c r="Z1732" s="344">
        <v>4350</v>
      </c>
      <c r="AA1732" s="344" t="s">
        <v>579</v>
      </c>
      <c r="AB1732" s="344">
        <v>1</v>
      </c>
      <c r="AC1732" s="344" t="s">
        <v>471</v>
      </c>
      <c r="AD1732" s="1058" t="s">
        <v>580</v>
      </c>
      <c r="AE1732" s="1059">
        <v>439283</v>
      </c>
      <c r="AF1732" s="889" t="s">
        <v>459</v>
      </c>
      <c r="AG1732" s="889" t="s">
        <v>459</v>
      </c>
    </row>
    <row r="1733" spans="26:33" x14ac:dyDescent="0.35">
      <c r="Z1733" s="344">
        <v>4352</v>
      </c>
      <c r="AA1733" s="344" t="s">
        <v>579</v>
      </c>
      <c r="AB1733" s="344">
        <v>1</v>
      </c>
      <c r="AC1733" s="344" t="s">
        <v>471</v>
      </c>
      <c r="AD1733" s="1058" t="s">
        <v>580</v>
      </c>
      <c r="AE1733" s="1059">
        <v>430806</v>
      </c>
      <c r="AF1733" s="889" t="s">
        <v>459</v>
      </c>
      <c r="AG1733" s="889" t="s">
        <v>459</v>
      </c>
    </row>
    <row r="1734" spans="26:33" x14ac:dyDescent="0.35">
      <c r="Z1734" s="344">
        <v>4353</v>
      </c>
      <c r="AA1734" s="344" t="s">
        <v>579</v>
      </c>
      <c r="AB1734" s="344">
        <v>4</v>
      </c>
      <c r="AC1734" s="344" t="e">
        <v>#N/A</v>
      </c>
      <c r="AD1734" s="1058" t="s">
        <v>581</v>
      </c>
      <c r="AE1734" s="1059" t="e">
        <v>#N/A</v>
      </c>
      <c r="AF1734" s="889" t="s">
        <v>459</v>
      </c>
      <c r="AG1734" s="889" t="s">
        <v>459</v>
      </c>
    </row>
    <row r="1735" spans="26:33" x14ac:dyDescent="0.35">
      <c r="Z1735" s="344">
        <v>4354</v>
      </c>
      <c r="AA1735" s="344" t="s">
        <v>579</v>
      </c>
      <c r="AB1735" s="344">
        <v>4</v>
      </c>
      <c r="AC1735" s="344" t="s">
        <v>464</v>
      </c>
      <c r="AD1735" s="1058" t="s">
        <v>581</v>
      </c>
      <c r="AE1735" s="1059">
        <v>243118</v>
      </c>
      <c r="AF1735" s="889" t="s">
        <v>459</v>
      </c>
      <c r="AG1735" s="889" t="s">
        <v>459</v>
      </c>
    </row>
    <row r="1736" spans="26:33" x14ac:dyDescent="0.35">
      <c r="Z1736" s="344">
        <v>4355</v>
      </c>
      <c r="AA1736" s="344" t="s">
        <v>579</v>
      </c>
      <c r="AB1736" s="344">
        <v>4</v>
      </c>
      <c r="AC1736" s="344" t="s">
        <v>464</v>
      </c>
      <c r="AD1736" s="1058" t="s">
        <v>581</v>
      </c>
      <c r="AE1736" s="1059">
        <v>268895</v>
      </c>
      <c r="AF1736" s="889" t="s">
        <v>459</v>
      </c>
      <c r="AG1736" s="889" t="s">
        <v>459</v>
      </c>
    </row>
    <row r="1737" spans="26:33" x14ac:dyDescent="0.35">
      <c r="Z1737" s="344">
        <v>4356</v>
      </c>
      <c r="AA1737" s="344" t="s">
        <v>579</v>
      </c>
      <c r="AB1737" s="344">
        <v>4</v>
      </c>
      <c r="AC1737" s="344" t="s">
        <v>464</v>
      </c>
      <c r="AD1737" s="1058" t="s">
        <v>581</v>
      </c>
      <c r="AE1737" s="1059">
        <v>291507</v>
      </c>
      <c r="AF1737" s="889" t="s">
        <v>459</v>
      </c>
      <c r="AG1737" s="889" t="s">
        <v>459</v>
      </c>
    </row>
    <row r="1738" spans="26:33" x14ac:dyDescent="0.35">
      <c r="Z1738" s="344">
        <v>4357</v>
      </c>
      <c r="AA1738" s="344" t="s">
        <v>579</v>
      </c>
      <c r="AB1738" s="344">
        <v>4</v>
      </c>
      <c r="AC1738" s="344" t="s">
        <v>464</v>
      </c>
      <c r="AD1738" s="1058" t="s">
        <v>581</v>
      </c>
      <c r="AE1738" s="1059">
        <v>217409</v>
      </c>
      <c r="AF1738" s="889" t="s">
        <v>459</v>
      </c>
      <c r="AG1738" s="889" t="s">
        <v>459</v>
      </c>
    </row>
    <row r="1739" spans="26:33" x14ac:dyDescent="0.35">
      <c r="Z1739" s="344">
        <v>4358</v>
      </c>
      <c r="AA1739" s="344" t="s">
        <v>579</v>
      </c>
      <c r="AB1739" s="344">
        <v>4</v>
      </c>
      <c r="AC1739" s="344" t="s">
        <v>471</v>
      </c>
      <c r="AD1739" s="1058" t="s">
        <v>581</v>
      </c>
      <c r="AE1739" s="1059">
        <v>419010</v>
      </c>
      <c r="AF1739" s="889" t="s">
        <v>459</v>
      </c>
      <c r="AG1739" s="889" t="s">
        <v>459</v>
      </c>
    </row>
    <row r="1740" spans="26:33" x14ac:dyDescent="0.35">
      <c r="Z1740" s="344">
        <v>4359</v>
      </c>
      <c r="AA1740" s="344" t="s">
        <v>579</v>
      </c>
      <c r="AB1740" s="344">
        <v>4</v>
      </c>
      <c r="AC1740" s="344" t="s">
        <v>471</v>
      </c>
      <c r="AD1740" s="1058" t="s">
        <v>581</v>
      </c>
      <c r="AE1740" s="1059">
        <v>344225</v>
      </c>
      <c r="AF1740" s="889" t="s">
        <v>459</v>
      </c>
      <c r="AG1740" s="889" t="s">
        <v>459</v>
      </c>
    </row>
    <row r="1741" spans="26:33" x14ac:dyDescent="0.35">
      <c r="Z1741" s="344">
        <v>4360</v>
      </c>
      <c r="AA1741" s="344" t="s">
        <v>579</v>
      </c>
      <c r="AB1741" s="344">
        <v>4</v>
      </c>
      <c r="AC1741" s="344" t="s">
        <v>464</v>
      </c>
      <c r="AD1741" s="1058" t="s">
        <v>581</v>
      </c>
      <c r="AE1741" s="1059">
        <v>283121</v>
      </c>
      <c r="AF1741" s="889" t="s">
        <v>459</v>
      </c>
      <c r="AG1741" s="889" t="s">
        <v>459</v>
      </c>
    </row>
    <row r="1742" spans="26:33" x14ac:dyDescent="0.35">
      <c r="Z1742" s="344">
        <v>4361</v>
      </c>
      <c r="AA1742" s="344" t="s">
        <v>579</v>
      </c>
      <c r="AB1742" s="344">
        <v>4</v>
      </c>
      <c r="AC1742" s="344" t="s">
        <v>464</v>
      </c>
      <c r="AD1742" s="1058" t="s">
        <v>581</v>
      </c>
      <c r="AE1742" s="1059">
        <v>222504</v>
      </c>
      <c r="AF1742" s="889" t="s">
        <v>459</v>
      </c>
      <c r="AG1742" s="889" t="s">
        <v>459</v>
      </c>
    </row>
    <row r="1743" spans="26:33" x14ac:dyDescent="0.35">
      <c r="Z1743" s="344">
        <v>4362</v>
      </c>
      <c r="AA1743" s="344" t="s">
        <v>579</v>
      </c>
      <c r="AB1743" s="344">
        <v>4</v>
      </c>
      <c r="AC1743" s="344" t="s">
        <v>464</v>
      </c>
      <c r="AD1743" s="1058" t="s">
        <v>581</v>
      </c>
      <c r="AE1743" s="1059">
        <v>277796</v>
      </c>
      <c r="AF1743" s="889" t="s">
        <v>459</v>
      </c>
      <c r="AG1743" s="889" t="s">
        <v>459</v>
      </c>
    </row>
    <row r="1744" spans="26:33" x14ac:dyDescent="0.35">
      <c r="Z1744" s="344">
        <v>4363</v>
      </c>
      <c r="AA1744" s="344" t="s">
        <v>579</v>
      </c>
      <c r="AB1744" s="344">
        <v>3</v>
      </c>
      <c r="AC1744" s="344" t="s">
        <v>464</v>
      </c>
      <c r="AD1744" s="1058" t="s">
        <v>582</v>
      </c>
      <c r="AE1744" s="1059">
        <v>257943</v>
      </c>
      <c r="AF1744" s="889" t="s">
        <v>459</v>
      </c>
      <c r="AG1744" s="889" t="s">
        <v>459</v>
      </c>
    </row>
    <row r="1745" spans="26:33" x14ac:dyDescent="0.35">
      <c r="Z1745" s="344">
        <v>4364</v>
      </c>
      <c r="AA1745" s="344" t="s">
        <v>579</v>
      </c>
      <c r="AB1745" s="344">
        <v>4</v>
      </c>
      <c r="AC1745" s="344" t="e">
        <v>#N/A</v>
      </c>
      <c r="AD1745" s="1058" t="s">
        <v>581</v>
      </c>
      <c r="AE1745" s="1059" t="e">
        <v>#N/A</v>
      </c>
      <c r="AF1745" s="889" t="s">
        <v>459</v>
      </c>
      <c r="AG1745" s="889" t="s">
        <v>459</v>
      </c>
    </row>
    <row r="1746" spans="26:33" x14ac:dyDescent="0.35">
      <c r="Z1746" s="344">
        <v>4365</v>
      </c>
      <c r="AA1746" s="344" t="s">
        <v>579</v>
      </c>
      <c r="AB1746" s="344">
        <v>4</v>
      </c>
      <c r="AC1746" s="344" t="s">
        <v>464</v>
      </c>
      <c r="AD1746" s="1058" t="s">
        <v>581</v>
      </c>
      <c r="AE1746" s="1059">
        <v>213461</v>
      </c>
      <c r="AF1746" s="889" t="s">
        <v>459</v>
      </c>
      <c r="AG1746" s="889" t="s">
        <v>459</v>
      </c>
    </row>
    <row r="1747" spans="26:33" x14ac:dyDescent="0.35">
      <c r="Z1747" s="344">
        <v>4370</v>
      </c>
      <c r="AA1747" s="344" t="s">
        <v>579</v>
      </c>
      <c r="AB1747" s="344">
        <v>2</v>
      </c>
      <c r="AC1747" s="344" t="s">
        <v>471</v>
      </c>
      <c r="AD1747" s="1058" t="s">
        <v>583</v>
      </c>
      <c r="AE1747" s="1059">
        <v>320873</v>
      </c>
      <c r="AF1747" s="889" t="s">
        <v>459</v>
      </c>
      <c r="AG1747" s="889" t="s">
        <v>459</v>
      </c>
    </row>
    <row r="1748" spans="26:33" x14ac:dyDescent="0.35">
      <c r="Z1748" s="344">
        <v>4371</v>
      </c>
      <c r="AA1748" s="344" t="s">
        <v>579</v>
      </c>
      <c r="AB1748" s="344">
        <v>4</v>
      </c>
      <c r="AC1748" s="344" t="s">
        <v>464</v>
      </c>
      <c r="AD1748" s="1058" t="s">
        <v>581</v>
      </c>
      <c r="AE1748" s="1059">
        <v>293522</v>
      </c>
      <c r="AF1748" s="889" t="s">
        <v>459</v>
      </c>
      <c r="AG1748" s="889" t="s">
        <v>459</v>
      </c>
    </row>
    <row r="1749" spans="26:33" x14ac:dyDescent="0.35">
      <c r="Z1749" s="344">
        <v>4372</v>
      </c>
      <c r="AA1749" s="344" t="s">
        <v>579</v>
      </c>
      <c r="AB1749" s="344">
        <v>4</v>
      </c>
      <c r="AC1749" s="344" t="e">
        <v>#N/A</v>
      </c>
      <c r="AD1749" s="1058" t="s">
        <v>581</v>
      </c>
      <c r="AE1749" s="1059" t="e">
        <v>#N/A</v>
      </c>
      <c r="AF1749" s="889" t="s">
        <v>459</v>
      </c>
      <c r="AG1749" s="889" t="s">
        <v>459</v>
      </c>
    </row>
    <row r="1750" spans="26:33" x14ac:dyDescent="0.35">
      <c r="Z1750" s="344">
        <v>4373</v>
      </c>
      <c r="AA1750" s="344" t="s">
        <v>579</v>
      </c>
      <c r="AB1750" s="344">
        <v>4</v>
      </c>
      <c r="AC1750" s="344" t="s">
        <v>464</v>
      </c>
      <c r="AD1750" s="1058" t="s">
        <v>581</v>
      </c>
      <c r="AE1750" s="1059">
        <v>224133</v>
      </c>
      <c r="AF1750" s="889" t="s">
        <v>459</v>
      </c>
      <c r="AG1750" s="889" t="s">
        <v>459</v>
      </c>
    </row>
    <row r="1751" spans="26:33" x14ac:dyDescent="0.35">
      <c r="Z1751" s="344">
        <v>4374</v>
      </c>
      <c r="AA1751" s="344" t="s">
        <v>579</v>
      </c>
      <c r="AB1751" s="344">
        <v>4</v>
      </c>
      <c r="AC1751" s="344" t="s">
        <v>471</v>
      </c>
      <c r="AD1751" s="1058" t="s">
        <v>581</v>
      </c>
      <c r="AE1751" s="1059">
        <v>336590</v>
      </c>
      <c r="AF1751" s="889" t="s">
        <v>459</v>
      </c>
      <c r="AG1751" s="889" t="s">
        <v>459</v>
      </c>
    </row>
    <row r="1752" spans="26:33" x14ac:dyDescent="0.35">
      <c r="Z1752" s="344">
        <v>4375</v>
      </c>
      <c r="AA1752" s="344" t="s">
        <v>579</v>
      </c>
      <c r="AB1752" s="344">
        <v>4</v>
      </c>
      <c r="AC1752" s="344" t="e">
        <v>#N/A</v>
      </c>
      <c r="AD1752" s="1058" t="s">
        <v>581</v>
      </c>
      <c r="AE1752" s="1059" t="e">
        <v>#N/A</v>
      </c>
      <c r="AF1752" s="889" t="s">
        <v>459</v>
      </c>
      <c r="AG1752" s="889" t="s">
        <v>459</v>
      </c>
    </row>
    <row r="1753" spans="26:33" x14ac:dyDescent="0.35">
      <c r="Z1753" s="344">
        <v>4376</v>
      </c>
      <c r="AA1753" s="344" t="s">
        <v>579</v>
      </c>
      <c r="AB1753" s="344">
        <v>4</v>
      </c>
      <c r="AC1753" s="344" t="s">
        <v>464</v>
      </c>
      <c r="AD1753" s="1058" t="s">
        <v>581</v>
      </c>
      <c r="AE1753" s="1059">
        <v>254343</v>
      </c>
      <c r="AF1753" s="889" t="s">
        <v>459</v>
      </c>
      <c r="AG1753" s="889" t="s">
        <v>459</v>
      </c>
    </row>
    <row r="1754" spans="26:33" x14ac:dyDescent="0.35">
      <c r="Z1754" s="344">
        <v>4377</v>
      </c>
      <c r="AA1754" s="344" t="s">
        <v>579</v>
      </c>
      <c r="AB1754" s="344">
        <v>4</v>
      </c>
      <c r="AC1754" s="344" t="s">
        <v>464</v>
      </c>
      <c r="AD1754" s="1058" t="s">
        <v>581</v>
      </c>
      <c r="AE1754" s="1059">
        <v>241124</v>
      </c>
      <c r="AF1754" s="889" t="s">
        <v>459</v>
      </c>
      <c r="AG1754" s="889" t="s">
        <v>459</v>
      </c>
    </row>
    <row r="1755" spans="26:33" x14ac:dyDescent="0.35">
      <c r="Z1755" s="344">
        <v>4378</v>
      </c>
      <c r="AA1755" s="344" t="s">
        <v>579</v>
      </c>
      <c r="AB1755" s="344">
        <v>4</v>
      </c>
      <c r="AC1755" s="344" t="s">
        <v>471</v>
      </c>
      <c r="AD1755" s="1058" t="s">
        <v>581</v>
      </c>
      <c r="AE1755" s="1059">
        <v>356937</v>
      </c>
      <c r="AF1755" s="889" t="s">
        <v>459</v>
      </c>
      <c r="AG1755" s="889" t="s">
        <v>459</v>
      </c>
    </row>
    <row r="1756" spans="26:33" x14ac:dyDescent="0.35">
      <c r="Z1756" s="344">
        <v>4380</v>
      </c>
      <c r="AA1756" s="344" t="s">
        <v>579</v>
      </c>
      <c r="AB1756" s="344">
        <v>4</v>
      </c>
      <c r="AC1756" s="344" t="s">
        <v>471</v>
      </c>
      <c r="AD1756" s="1058" t="s">
        <v>581</v>
      </c>
      <c r="AE1756" s="1059">
        <v>302300</v>
      </c>
      <c r="AF1756" s="889" t="s">
        <v>459</v>
      </c>
      <c r="AG1756" s="889" t="s">
        <v>459</v>
      </c>
    </row>
    <row r="1757" spans="26:33" x14ac:dyDescent="0.35">
      <c r="Z1757" s="344">
        <v>4381</v>
      </c>
      <c r="AA1757" s="344" t="s">
        <v>579</v>
      </c>
      <c r="AB1757" s="344">
        <v>4</v>
      </c>
      <c r="AC1757" s="344" t="s">
        <v>464</v>
      </c>
      <c r="AD1757" s="1058" t="s">
        <v>581</v>
      </c>
      <c r="AE1757" s="1059">
        <v>241360</v>
      </c>
      <c r="AF1757" s="889" t="s">
        <v>459</v>
      </c>
      <c r="AG1757" s="889" t="s">
        <v>459</v>
      </c>
    </row>
    <row r="1758" spans="26:33" x14ac:dyDescent="0.35">
      <c r="Z1758" s="344">
        <v>4382</v>
      </c>
      <c r="AA1758" s="344" t="s">
        <v>579</v>
      </c>
      <c r="AB1758" s="344">
        <v>4</v>
      </c>
      <c r="AC1758" s="344" t="s">
        <v>464</v>
      </c>
      <c r="AD1758" s="1058" t="s">
        <v>581</v>
      </c>
      <c r="AE1758" s="1059">
        <v>259653</v>
      </c>
      <c r="AF1758" s="889" t="s">
        <v>459</v>
      </c>
      <c r="AG1758" s="889" t="s">
        <v>459</v>
      </c>
    </row>
    <row r="1759" spans="26:33" x14ac:dyDescent="0.35">
      <c r="Z1759" s="344">
        <v>4383</v>
      </c>
      <c r="AA1759" s="344" t="s">
        <v>579</v>
      </c>
      <c r="AB1759" s="344">
        <v>4</v>
      </c>
      <c r="AC1759" s="344" t="s">
        <v>464</v>
      </c>
      <c r="AD1759" s="1058" t="s">
        <v>581</v>
      </c>
      <c r="AE1759" s="1059">
        <v>158687</v>
      </c>
      <c r="AF1759" s="889" t="s">
        <v>459</v>
      </c>
      <c r="AG1759" s="889" t="s">
        <v>459</v>
      </c>
    </row>
    <row r="1760" spans="26:33" x14ac:dyDescent="0.35">
      <c r="Z1760" s="344">
        <v>4384</v>
      </c>
      <c r="AA1760" s="344" t="s">
        <v>579</v>
      </c>
      <c r="AB1760" s="344">
        <v>4</v>
      </c>
      <c r="AC1760" s="344" t="e">
        <v>#N/A</v>
      </c>
      <c r="AD1760" s="1058" t="s">
        <v>581</v>
      </c>
      <c r="AE1760" s="1059" t="e">
        <v>#N/A</v>
      </c>
      <c r="AF1760" s="889" t="s">
        <v>459</v>
      </c>
      <c r="AG1760" s="889" t="s">
        <v>459</v>
      </c>
    </row>
    <row r="1761" spans="26:33" x14ac:dyDescent="0.35">
      <c r="Z1761" s="344">
        <v>4385</v>
      </c>
      <c r="AA1761" s="344" t="s">
        <v>579</v>
      </c>
      <c r="AB1761" s="344">
        <v>4</v>
      </c>
      <c r="AC1761" s="344" t="s">
        <v>464</v>
      </c>
      <c r="AD1761" s="1058" t="s">
        <v>581</v>
      </c>
      <c r="AE1761" s="1059">
        <v>154161</v>
      </c>
      <c r="AF1761" s="889" t="s">
        <v>459</v>
      </c>
      <c r="AG1761" s="889" t="s">
        <v>459</v>
      </c>
    </row>
    <row r="1762" spans="26:33" x14ac:dyDescent="0.35">
      <c r="Z1762" s="344">
        <v>4387</v>
      </c>
      <c r="AA1762" s="344" t="s">
        <v>579</v>
      </c>
      <c r="AB1762" s="344">
        <v>4</v>
      </c>
      <c r="AC1762" s="344" t="s">
        <v>464</v>
      </c>
      <c r="AD1762" s="1058" t="s">
        <v>581</v>
      </c>
      <c r="AE1762" s="1059">
        <v>161270</v>
      </c>
      <c r="AF1762" s="889" t="s">
        <v>459</v>
      </c>
      <c r="AG1762" s="889" t="s">
        <v>459</v>
      </c>
    </row>
    <row r="1763" spans="26:33" x14ac:dyDescent="0.35">
      <c r="Z1763" s="344">
        <v>4388</v>
      </c>
      <c r="AA1763" s="344" t="s">
        <v>579</v>
      </c>
      <c r="AB1763" s="344">
        <v>4</v>
      </c>
      <c r="AC1763" s="344" t="s">
        <v>464</v>
      </c>
      <c r="AD1763" s="1058" t="s">
        <v>581</v>
      </c>
      <c r="AE1763" s="1059">
        <v>134444</v>
      </c>
      <c r="AF1763" s="889" t="s">
        <v>459</v>
      </c>
      <c r="AG1763" s="889" t="s">
        <v>459</v>
      </c>
    </row>
    <row r="1764" spans="26:33" x14ac:dyDescent="0.35">
      <c r="Z1764" s="344">
        <v>4390</v>
      </c>
      <c r="AA1764" s="344" t="s">
        <v>579</v>
      </c>
      <c r="AB1764" s="344">
        <v>4</v>
      </c>
      <c r="AC1764" s="344" t="s">
        <v>464</v>
      </c>
      <c r="AD1764" s="1058" t="s">
        <v>581</v>
      </c>
      <c r="AE1764" s="1059">
        <v>282065</v>
      </c>
      <c r="AF1764" s="889" t="s">
        <v>459</v>
      </c>
      <c r="AG1764" s="889" t="s">
        <v>459</v>
      </c>
    </row>
    <row r="1765" spans="26:33" x14ac:dyDescent="0.35">
      <c r="Z1765" s="344">
        <v>4400</v>
      </c>
      <c r="AA1765" s="344" t="s">
        <v>579</v>
      </c>
      <c r="AB1765" s="344">
        <v>1</v>
      </c>
      <c r="AC1765" s="344" t="s">
        <v>464</v>
      </c>
      <c r="AD1765" s="1058" t="s">
        <v>580</v>
      </c>
      <c r="AE1765" s="1059">
        <v>298794</v>
      </c>
      <c r="AF1765" s="889" t="s">
        <v>459</v>
      </c>
      <c r="AG1765" s="889" t="s">
        <v>459</v>
      </c>
    </row>
    <row r="1766" spans="26:33" x14ac:dyDescent="0.35">
      <c r="Z1766" s="344">
        <v>4401</v>
      </c>
      <c r="AA1766" s="344" t="s">
        <v>579</v>
      </c>
      <c r="AB1766" s="344">
        <v>4</v>
      </c>
      <c r="AC1766" s="344" t="s">
        <v>464</v>
      </c>
      <c r="AD1766" s="1058" t="s">
        <v>581</v>
      </c>
      <c r="AE1766" s="1059">
        <v>233123</v>
      </c>
      <c r="AF1766" s="889" t="s">
        <v>459</v>
      </c>
      <c r="AG1766" s="889" t="s">
        <v>459</v>
      </c>
    </row>
    <row r="1767" spans="26:33" x14ac:dyDescent="0.35">
      <c r="Z1767" s="344">
        <v>4402</v>
      </c>
      <c r="AA1767" s="344" t="s">
        <v>579</v>
      </c>
      <c r="AB1767" s="344">
        <v>4</v>
      </c>
      <c r="AC1767" s="344" t="s">
        <v>464</v>
      </c>
      <c r="AD1767" s="1058" t="s">
        <v>581</v>
      </c>
      <c r="AE1767" s="1059">
        <v>194666</v>
      </c>
      <c r="AF1767" s="889" t="s">
        <v>459</v>
      </c>
      <c r="AG1767" s="889" t="s">
        <v>459</v>
      </c>
    </row>
    <row r="1768" spans="26:33" x14ac:dyDescent="0.35">
      <c r="Z1768" s="344">
        <v>4403</v>
      </c>
      <c r="AA1768" s="344" t="s">
        <v>579</v>
      </c>
      <c r="AB1768" s="344">
        <v>4</v>
      </c>
      <c r="AC1768" s="344" t="s">
        <v>464</v>
      </c>
      <c r="AD1768" s="1058" t="s">
        <v>581</v>
      </c>
      <c r="AE1768" s="1059">
        <v>221281</v>
      </c>
      <c r="AF1768" s="889" t="s">
        <v>459</v>
      </c>
      <c r="AG1768" s="889" t="s">
        <v>459</v>
      </c>
    </row>
    <row r="1769" spans="26:33" x14ac:dyDescent="0.35">
      <c r="Z1769" s="344">
        <v>4404</v>
      </c>
      <c r="AA1769" s="344" t="s">
        <v>579</v>
      </c>
      <c r="AB1769" s="344">
        <v>4</v>
      </c>
      <c r="AC1769" s="344" t="e">
        <v>#N/A</v>
      </c>
      <c r="AD1769" s="1058" t="s">
        <v>581</v>
      </c>
      <c r="AE1769" s="1059" t="e">
        <v>#N/A</v>
      </c>
      <c r="AF1769" s="889" t="s">
        <v>459</v>
      </c>
      <c r="AG1769" s="889" t="s">
        <v>459</v>
      </c>
    </row>
    <row r="1770" spans="26:33" x14ac:dyDescent="0.35">
      <c r="Z1770" s="344">
        <v>4405</v>
      </c>
      <c r="AA1770" s="344" t="s">
        <v>579</v>
      </c>
      <c r="AB1770" s="344">
        <v>3</v>
      </c>
      <c r="AC1770" s="344" t="s">
        <v>464</v>
      </c>
      <c r="AD1770" s="1058" t="s">
        <v>582</v>
      </c>
      <c r="AE1770" s="1059">
        <v>279439</v>
      </c>
      <c r="AF1770" s="889" t="s">
        <v>459</v>
      </c>
      <c r="AG1770" s="889" t="s">
        <v>459</v>
      </c>
    </row>
    <row r="1771" spans="26:33" x14ac:dyDescent="0.35">
      <c r="Z1771" s="344">
        <v>4406</v>
      </c>
      <c r="AA1771" s="344" t="s">
        <v>579</v>
      </c>
      <c r="AB1771" s="344">
        <v>4</v>
      </c>
      <c r="AC1771" s="344" t="e">
        <v>#N/A</v>
      </c>
      <c r="AD1771" s="1058" t="s">
        <v>581</v>
      </c>
      <c r="AE1771" s="1059" t="e">
        <v>#N/A</v>
      </c>
      <c r="AF1771" s="889" t="s">
        <v>459</v>
      </c>
      <c r="AG1771" s="889" t="s">
        <v>459</v>
      </c>
    </row>
    <row r="1772" spans="26:33" x14ac:dyDescent="0.35">
      <c r="Z1772" s="344">
        <v>4407</v>
      </c>
      <c r="AA1772" s="344" t="s">
        <v>579</v>
      </c>
      <c r="AB1772" s="344">
        <v>4</v>
      </c>
      <c r="AC1772" s="344" t="s">
        <v>464</v>
      </c>
      <c r="AD1772" s="1058" t="s">
        <v>581</v>
      </c>
      <c r="AE1772" s="1059">
        <v>165605</v>
      </c>
      <c r="AF1772" s="889" t="s">
        <v>459</v>
      </c>
      <c r="AG1772" s="889" t="s">
        <v>459</v>
      </c>
    </row>
    <row r="1773" spans="26:33" x14ac:dyDescent="0.35">
      <c r="Z1773" s="344">
        <v>4408</v>
      </c>
      <c r="AA1773" s="344" t="s">
        <v>579</v>
      </c>
      <c r="AB1773" s="344">
        <v>4</v>
      </c>
      <c r="AC1773" s="344" t="s">
        <v>464</v>
      </c>
      <c r="AD1773" s="1058" t="s">
        <v>581</v>
      </c>
      <c r="AE1773" s="1059">
        <v>218177</v>
      </c>
      <c r="AF1773" s="889" t="s">
        <v>459</v>
      </c>
      <c r="AG1773" s="889" t="s">
        <v>459</v>
      </c>
    </row>
    <row r="1774" spans="26:33" x14ac:dyDescent="0.35">
      <c r="Z1774" s="344">
        <v>4410</v>
      </c>
      <c r="AA1774" s="344" t="s">
        <v>579</v>
      </c>
      <c r="AB1774" s="344">
        <v>4</v>
      </c>
      <c r="AC1774" s="344" t="s">
        <v>464</v>
      </c>
      <c r="AD1774" s="1058" t="s">
        <v>581</v>
      </c>
      <c r="AE1774" s="1059">
        <v>186778</v>
      </c>
      <c r="AF1774" s="889" t="s">
        <v>459</v>
      </c>
      <c r="AG1774" s="889" t="s">
        <v>459</v>
      </c>
    </row>
    <row r="1775" spans="26:33" x14ac:dyDescent="0.35">
      <c r="Z1775" s="344">
        <v>4411</v>
      </c>
      <c r="AA1775" s="344" t="s">
        <v>579</v>
      </c>
      <c r="AB1775" s="344">
        <v>4</v>
      </c>
      <c r="AC1775" s="344" t="e">
        <v>#N/A</v>
      </c>
      <c r="AD1775" s="1058" t="s">
        <v>581</v>
      </c>
      <c r="AE1775" s="1059" t="e">
        <v>#N/A</v>
      </c>
      <c r="AF1775" s="889" t="s">
        <v>459</v>
      </c>
      <c r="AG1775" s="889" t="s">
        <v>459</v>
      </c>
    </row>
    <row r="1776" spans="26:33" x14ac:dyDescent="0.35">
      <c r="Z1776" s="344">
        <v>4412</v>
      </c>
      <c r="AA1776" s="344" t="s">
        <v>579</v>
      </c>
      <c r="AB1776" s="344">
        <v>4</v>
      </c>
      <c r="AC1776" s="344" t="e">
        <v>#N/A</v>
      </c>
      <c r="AD1776" s="1058" t="s">
        <v>581</v>
      </c>
      <c r="AE1776" s="1059" t="e">
        <v>#N/A</v>
      </c>
      <c r="AF1776" s="889" t="s">
        <v>459</v>
      </c>
      <c r="AG1776" s="889" t="s">
        <v>459</v>
      </c>
    </row>
    <row r="1777" spans="26:33" x14ac:dyDescent="0.35">
      <c r="Z1777" s="344">
        <v>4413</v>
      </c>
      <c r="AA1777" s="344" t="s">
        <v>579</v>
      </c>
      <c r="AB1777" s="344">
        <v>3</v>
      </c>
      <c r="AC1777" s="344" t="s">
        <v>471</v>
      </c>
      <c r="AD1777" s="1058" t="s">
        <v>582</v>
      </c>
      <c r="AE1777" s="1059">
        <v>356679</v>
      </c>
      <c r="AF1777" s="889" t="s">
        <v>459</v>
      </c>
      <c r="AG1777" s="889" t="s">
        <v>459</v>
      </c>
    </row>
    <row r="1778" spans="26:33" x14ac:dyDescent="0.35">
      <c r="Z1778" s="344">
        <v>4415</v>
      </c>
      <c r="AA1778" s="344" t="s">
        <v>579</v>
      </c>
      <c r="AB1778" s="344">
        <v>4</v>
      </c>
      <c r="AC1778" s="344" t="s">
        <v>471</v>
      </c>
      <c r="AD1778" s="1058" t="s">
        <v>581</v>
      </c>
      <c r="AE1778" s="1059">
        <v>349674</v>
      </c>
      <c r="AF1778" s="889" t="s">
        <v>459</v>
      </c>
      <c r="AG1778" s="889" t="s">
        <v>459</v>
      </c>
    </row>
    <row r="1779" spans="26:33" x14ac:dyDescent="0.35">
      <c r="Z1779" s="344">
        <v>4416</v>
      </c>
      <c r="AA1779" s="344" t="s">
        <v>579</v>
      </c>
      <c r="AB1779" s="344">
        <v>4</v>
      </c>
      <c r="AC1779" s="344" t="e">
        <v>#N/A</v>
      </c>
      <c r="AD1779" s="1058" t="s">
        <v>581</v>
      </c>
      <c r="AE1779" s="1059" t="e">
        <v>#N/A</v>
      </c>
      <c r="AF1779" s="889" t="s">
        <v>459</v>
      </c>
      <c r="AG1779" s="889" t="s">
        <v>459</v>
      </c>
    </row>
    <row r="1780" spans="26:33" x14ac:dyDescent="0.35">
      <c r="Z1780" s="344">
        <v>4417</v>
      </c>
      <c r="AA1780" s="344" t="s">
        <v>579</v>
      </c>
      <c r="AB1780" s="344">
        <v>4</v>
      </c>
      <c r="AC1780" s="344" t="s">
        <v>464</v>
      </c>
      <c r="AD1780" s="1058" t="s">
        <v>581</v>
      </c>
      <c r="AE1780" s="1059">
        <v>200421</v>
      </c>
      <c r="AF1780" s="889" t="s">
        <v>459</v>
      </c>
      <c r="AG1780" s="889" t="s">
        <v>459</v>
      </c>
    </row>
    <row r="1781" spans="26:33" x14ac:dyDescent="0.35">
      <c r="Z1781" s="344">
        <v>4418</v>
      </c>
      <c r="AA1781" s="344" t="s">
        <v>579</v>
      </c>
      <c r="AB1781" s="344">
        <v>4</v>
      </c>
      <c r="AC1781" s="344" t="e">
        <v>#N/A</v>
      </c>
      <c r="AD1781" s="1058" t="s">
        <v>581</v>
      </c>
      <c r="AE1781" s="1059" t="e">
        <v>#N/A</v>
      </c>
      <c r="AF1781" s="889" t="s">
        <v>459</v>
      </c>
      <c r="AG1781" s="889" t="s">
        <v>459</v>
      </c>
    </row>
    <row r="1782" spans="26:33" x14ac:dyDescent="0.35">
      <c r="Z1782" s="344">
        <v>4419</v>
      </c>
      <c r="AA1782" s="344" t="s">
        <v>579</v>
      </c>
      <c r="AB1782" s="344">
        <v>4</v>
      </c>
      <c r="AC1782" s="344" t="s">
        <v>471</v>
      </c>
      <c r="AD1782" s="1058" t="s">
        <v>581</v>
      </c>
      <c r="AE1782" s="1059">
        <v>345531</v>
      </c>
      <c r="AF1782" s="889" t="s">
        <v>459</v>
      </c>
      <c r="AG1782" s="889" t="s">
        <v>459</v>
      </c>
    </row>
    <row r="1783" spans="26:33" x14ac:dyDescent="0.35">
      <c r="Z1783" s="344">
        <v>4420</v>
      </c>
      <c r="AA1783" s="344" t="s">
        <v>579</v>
      </c>
      <c r="AB1783" s="344">
        <v>4</v>
      </c>
      <c r="AC1783" s="344" t="s">
        <v>464</v>
      </c>
      <c r="AD1783" s="1058" t="s">
        <v>581</v>
      </c>
      <c r="AE1783" s="1059">
        <v>256711</v>
      </c>
      <c r="AF1783" s="889" t="s">
        <v>459</v>
      </c>
      <c r="AG1783" s="889" t="s">
        <v>459</v>
      </c>
    </row>
    <row r="1784" spans="26:33" x14ac:dyDescent="0.35">
      <c r="Z1784" s="344">
        <v>4421</v>
      </c>
      <c r="AA1784" s="344" t="s">
        <v>579</v>
      </c>
      <c r="AB1784" s="344">
        <v>4</v>
      </c>
      <c r="AC1784" s="344" t="s">
        <v>464</v>
      </c>
      <c r="AD1784" s="1058" t="s">
        <v>581</v>
      </c>
      <c r="AE1784" s="1059">
        <v>157486</v>
      </c>
      <c r="AF1784" s="889" t="s">
        <v>459</v>
      </c>
      <c r="AG1784" s="889" t="s">
        <v>459</v>
      </c>
    </row>
    <row r="1785" spans="26:33" x14ac:dyDescent="0.35">
      <c r="Z1785" s="344">
        <v>4422</v>
      </c>
      <c r="AA1785" s="344" t="s">
        <v>579</v>
      </c>
      <c r="AB1785" s="344">
        <v>4</v>
      </c>
      <c r="AC1785" s="344" t="s">
        <v>464</v>
      </c>
      <c r="AD1785" s="1058" t="s">
        <v>581</v>
      </c>
      <c r="AE1785" s="1059">
        <v>164718</v>
      </c>
      <c r="AF1785" s="889" t="s">
        <v>459</v>
      </c>
      <c r="AG1785" s="889" t="s">
        <v>459</v>
      </c>
    </row>
    <row r="1786" spans="26:33" x14ac:dyDescent="0.35">
      <c r="Z1786" s="344">
        <v>4423</v>
      </c>
      <c r="AA1786" s="344" t="s">
        <v>579</v>
      </c>
      <c r="AB1786" s="344">
        <v>4</v>
      </c>
      <c r="AC1786" s="344" t="e">
        <v>#N/A</v>
      </c>
      <c r="AD1786" s="1058" t="s">
        <v>581</v>
      </c>
      <c r="AE1786" s="1059" t="e">
        <v>#N/A</v>
      </c>
      <c r="AF1786" s="889" t="s">
        <v>459</v>
      </c>
      <c r="AG1786" s="889" t="s">
        <v>459</v>
      </c>
    </row>
    <row r="1787" spans="26:33" x14ac:dyDescent="0.35">
      <c r="Z1787" s="344">
        <v>4424</v>
      </c>
      <c r="AA1787" s="344" t="s">
        <v>579</v>
      </c>
      <c r="AB1787" s="344">
        <v>4</v>
      </c>
      <c r="AC1787" s="344" t="e">
        <v>#N/A</v>
      </c>
      <c r="AD1787" s="1058" t="s">
        <v>581</v>
      </c>
      <c r="AE1787" s="1059" t="e">
        <v>#N/A</v>
      </c>
      <c r="AF1787" s="889" t="s">
        <v>459</v>
      </c>
      <c r="AG1787" s="889" t="s">
        <v>459</v>
      </c>
    </row>
    <row r="1788" spans="26:33" x14ac:dyDescent="0.35">
      <c r="Z1788" s="344">
        <v>4425</v>
      </c>
      <c r="AA1788" s="344" t="s">
        <v>579</v>
      </c>
      <c r="AB1788" s="344">
        <v>4</v>
      </c>
      <c r="AC1788" s="344" t="e">
        <v>#N/A</v>
      </c>
      <c r="AD1788" s="1058" t="s">
        <v>581</v>
      </c>
      <c r="AE1788" s="1059" t="e">
        <v>#N/A</v>
      </c>
      <c r="AF1788" s="889" t="s">
        <v>459</v>
      </c>
      <c r="AG1788" s="889" t="s">
        <v>459</v>
      </c>
    </row>
    <row r="1789" spans="26:33" x14ac:dyDescent="0.35">
      <c r="Z1789" s="344">
        <v>4426</v>
      </c>
      <c r="AA1789" s="344" t="s">
        <v>579</v>
      </c>
      <c r="AB1789" s="344">
        <v>4</v>
      </c>
      <c r="AC1789" s="344" t="e">
        <v>#N/A</v>
      </c>
      <c r="AD1789" s="1058" t="s">
        <v>581</v>
      </c>
      <c r="AE1789" s="1059" t="e">
        <v>#N/A</v>
      </c>
      <c r="AF1789" s="889" t="s">
        <v>459</v>
      </c>
      <c r="AG1789" s="889" t="s">
        <v>459</v>
      </c>
    </row>
    <row r="1790" spans="26:33" x14ac:dyDescent="0.35">
      <c r="Z1790" s="344">
        <v>4427</v>
      </c>
      <c r="AA1790" s="344" t="s">
        <v>579</v>
      </c>
      <c r="AB1790" s="344">
        <v>4</v>
      </c>
      <c r="AC1790" s="344" t="s">
        <v>464</v>
      </c>
      <c r="AD1790" s="1058" t="s">
        <v>581</v>
      </c>
      <c r="AE1790" s="1059">
        <v>167808</v>
      </c>
      <c r="AF1790" s="889" t="s">
        <v>459</v>
      </c>
      <c r="AG1790" s="889" t="s">
        <v>459</v>
      </c>
    </row>
    <row r="1791" spans="26:33" x14ac:dyDescent="0.35">
      <c r="Z1791" s="344">
        <v>4428</v>
      </c>
      <c r="AA1791" s="344" t="s">
        <v>579</v>
      </c>
      <c r="AB1791" s="344">
        <v>4</v>
      </c>
      <c r="AC1791" s="344" t="s">
        <v>464</v>
      </c>
      <c r="AD1791" s="1058" t="s">
        <v>581</v>
      </c>
      <c r="AE1791" s="1059">
        <v>239891</v>
      </c>
      <c r="AF1791" s="889" t="s">
        <v>459</v>
      </c>
      <c r="AG1791" s="889" t="s">
        <v>459</v>
      </c>
    </row>
    <row r="1792" spans="26:33" x14ac:dyDescent="0.35">
      <c r="Z1792" s="344">
        <v>4454</v>
      </c>
      <c r="AA1792" s="344" t="s">
        <v>579</v>
      </c>
      <c r="AB1792" s="344">
        <v>4</v>
      </c>
      <c r="AC1792" s="344" t="s">
        <v>464</v>
      </c>
      <c r="AD1792" s="1058" t="s">
        <v>581</v>
      </c>
      <c r="AE1792" s="1059">
        <v>225049</v>
      </c>
      <c r="AF1792" s="889" t="s">
        <v>459</v>
      </c>
      <c r="AG1792" s="889" t="s">
        <v>459</v>
      </c>
    </row>
    <row r="1793" spans="26:33" x14ac:dyDescent="0.35">
      <c r="Z1793" s="344">
        <v>4455</v>
      </c>
      <c r="AA1793" s="344" t="s">
        <v>579</v>
      </c>
      <c r="AB1793" s="344">
        <v>3</v>
      </c>
      <c r="AC1793" s="344" t="s">
        <v>471</v>
      </c>
      <c r="AD1793" s="1058" t="s">
        <v>582</v>
      </c>
      <c r="AE1793" s="1059">
        <v>341755</v>
      </c>
      <c r="AF1793" s="889" t="s">
        <v>459</v>
      </c>
      <c r="AG1793" s="889" t="s">
        <v>459</v>
      </c>
    </row>
    <row r="1794" spans="26:33" x14ac:dyDescent="0.35">
      <c r="Z1794" s="344">
        <v>4461</v>
      </c>
      <c r="AA1794" s="344" t="s">
        <v>579</v>
      </c>
      <c r="AB1794" s="344">
        <v>4</v>
      </c>
      <c r="AC1794" s="344" t="e">
        <v>#N/A</v>
      </c>
      <c r="AD1794" s="1058" t="s">
        <v>581</v>
      </c>
      <c r="AE1794" s="1059" t="e">
        <v>#N/A</v>
      </c>
      <c r="AF1794" s="889" t="s">
        <v>459</v>
      </c>
      <c r="AG1794" s="889" t="s">
        <v>459</v>
      </c>
    </row>
    <row r="1795" spans="26:33" x14ac:dyDescent="0.35">
      <c r="Z1795" s="344">
        <v>4462</v>
      </c>
      <c r="AA1795" s="344" t="s">
        <v>579</v>
      </c>
      <c r="AB1795" s="344">
        <v>4</v>
      </c>
      <c r="AC1795" s="344" t="e">
        <v>#N/A</v>
      </c>
      <c r="AD1795" s="1058" t="s">
        <v>581</v>
      </c>
      <c r="AE1795" s="1059" t="e">
        <v>#N/A</v>
      </c>
      <c r="AF1795" s="889" t="s">
        <v>459</v>
      </c>
      <c r="AG1795" s="889" t="s">
        <v>459</v>
      </c>
    </row>
    <row r="1796" spans="26:33" x14ac:dyDescent="0.35">
      <c r="Z1796" s="344">
        <v>4465</v>
      </c>
      <c r="AA1796" s="344" t="s">
        <v>579</v>
      </c>
      <c r="AB1796" s="344">
        <v>4</v>
      </c>
      <c r="AC1796" s="344" t="s">
        <v>464</v>
      </c>
      <c r="AD1796" s="1058" t="s">
        <v>581</v>
      </c>
      <c r="AE1796" s="1059">
        <v>200643</v>
      </c>
      <c r="AF1796" s="889" t="s">
        <v>459</v>
      </c>
      <c r="AG1796" s="889" t="s">
        <v>459</v>
      </c>
    </row>
    <row r="1797" spans="26:33" x14ac:dyDescent="0.35">
      <c r="Z1797" s="344">
        <v>4467</v>
      </c>
      <c r="AA1797" s="344" t="s">
        <v>579</v>
      </c>
      <c r="AB1797" s="344">
        <v>4</v>
      </c>
      <c r="AC1797" s="344" t="e">
        <v>#N/A</v>
      </c>
      <c r="AD1797" s="1058" t="s">
        <v>581</v>
      </c>
      <c r="AE1797" s="1059" t="e">
        <v>#N/A</v>
      </c>
      <c r="AF1797" s="889" t="s">
        <v>459</v>
      </c>
      <c r="AG1797" s="889" t="s">
        <v>459</v>
      </c>
    </row>
    <row r="1798" spans="26:33" x14ac:dyDescent="0.35">
      <c r="Z1798" s="344">
        <v>4468</v>
      </c>
      <c r="AA1798" s="344" t="s">
        <v>579</v>
      </c>
      <c r="AB1798" s="344">
        <v>4</v>
      </c>
      <c r="AC1798" s="344" t="s">
        <v>464</v>
      </c>
      <c r="AD1798" s="1058" t="s">
        <v>581</v>
      </c>
      <c r="AE1798" s="1059">
        <v>86330</v>
      </c>
      <c r="AF1798" s="889" t="s">
        <v>459</v>
      </c>
      <c r="AG1798" s="889" t="s">
        <v>459</v>
      </c>
    </row>
    <row r="1799" spans="26:33" x14ac:dyDescent="0.35">
      <c r="Z1799" s="344">
        <v>4470</v>
      </c>
      <c r="AA1799" s="344" t="s">
        <v>579</v>
      </c>
      <c r="AB1799" s="344">
        <v>4</v>
      </c>
      <c r="AC1799" s="344" t="s">
        <v>464</v>
      </c>
      <c r="AD1799" s="1058" t="s">
        <v>581</v>
      </c>
      <c r="AE1799" s="1059">
        <v>178133</v>
      </c>
      <c r="AF1799" s="889" t="s">
        <v>459</v>
      </c>
      <c r="AG1799" s="889" t="s">
        <v>459</v>
      </c>
    </row>
    <row r="1800" spans="26:33" x14ac:dyDescent="0.35">
      <c r="Z1800" s="344">
        <v>4471</v>
      </c>
      <c r="AA1800" s="344" t="s">
        <v>579</v>
      </c>
      <c r="AB1800" s="344">
        <v>4</v>
      </c>
      <c r="AC1800" s="344" t="e">
        <v>#N/A</v>
      </c>
      <c r="AD1800" s="1058" t="s">
        <v>581</v>
      </c>
      <c r="AE1800" s="1059" t="e">
        <v>#N/A</v>
      </c>
      <c r="AF1800" s="889" t="s">
        <v>459</v>
      </c>
      <c r="AG1800" s="889" t="s">
        <v>459</v>
      </c>
    </row>
    <row r="1801" spans="26:33" x14ac:dyDescent="0.35">
      <c r="Z1801" s="344">
        <v>4472</v>
      </c>
      <c r="AA1801" s="344" t="s">
        <v>579</v>
      </c>
      <c r="AB1801" s="344">
        <v>4</v>
      </c>
      <c r="AC1801" s="344" t="s">
        <v>464</v>
      </c>
      <c r="AD1801" s="1058" t="s">
        <v>581</v>
      </c>
      <c r="AE1801" s="1059">
        <v>184851</v>
      </c>
      <c r="AF1801" s="889" t="s">
        <v>459</v>
      </c>
      <c r="AG1801" s="889" t="s">
        <v>459</v>
      </c>
    </row>
    <row r="1802" spans="26:33" x14ac:dyDescent="0.35">
      <c r="Z1802" s="344">
        <v>4474</v>
      </c>
      <c r="AA1802" s="344" t="s">
        <v>579</v>
      </c>
      <c r="AB1802" s="344">
        <v>4</v>
      </c>
      <c r="AC1802" s="344" t="e">
        <v>#N/A</v>
      </c>
      <c r="AD1802" s="1058" t="s">
        <v>581</v>
      </c>
      <c r="AE1802" s="1059" t="e">
        <v>#N/A</v>
      </c>
      <c r="AF1802" s="889" t="s">
        <v>459</v>
      </c>
      <c r="AG1802" s="889" t="s">
        <v>459</v>
      </c>
    </row>
    <row r="1803" spans="26:33" x14ac:dyDescent="0.35">
      <c r="Z1803" s="344">
        <v>4475</v>
      </c>
      <c r="AA1803" s="344" t="s">
        <v>579</v>
      </c>
      <c r="AB1803" s="344">
        <v>4</v>
      </c>
      <c r="AC1803" s="344" t="e">
        <v>#N/A</v>
      </c>
      <c r="AD1803" s="1058" t="s">
        <v>581</v>
      </c>
      <c r="AE1803" s="1059" t="e">
        <v>#N/A</v>
      </c>
      <c r="AF1803" s="889" t="s">
        <v>459</v>
      </c>
      <c r="AG1803" s="889" t="s">
        <v>459</v>
      </c>
    </row>
    <row r="1804" spans="26:33" x14ac:dyDescent="0.35">
      <c r="Z1804" s="344">
        <v>4477</v>
      </c>
      <c r="AA1804" s="344" t="s">
        <v>579</v>
      </c>
      <c r="AB1804" s="344">
        <v>4</v>
      </c>
      <c r="AC1804" s="344" t="e">
        <v>#N/A</v>
      </c>
      <c r="AD1804" s="1058" t="s">
        <v>581</v>
      </c>
      <c r="AE1804" s="1059" t="e">
        <v>#N/A</v>
      </c>
      <c r="AF1804" s="889" t="s">
        <v>459</v>
      </c>
      <c r="AG1804" s="889" t="s">
        <v>459</v>
      </c>
    </row>
    <row r="1805" spans="26:33" x14ac:dyDescent="0.35">
      <c r="Z1805" s="344">
        <v>4478</v>
      </c>
      <c r="AA1805" s="344" t="s">
        <v>579</v>
      </c>
      <c r="AB1805" s="344">
        <v>4</v>
      </c>
      <c r="AC1805" s="344" t="s">
        <v>464</v>
      </c>
      <c r="AD1805" s="1058" t="s">
        <v>581</v>
      </c>
      <c r="AE1805" s="1059">
        <v>144048</v>
      </c>
      <c r="AF1805" s="889" t="s">
        <v>459</v>
      </c>
      <c r="AG1805" s="889" t="s">
        <v>459</v>
      </c>
    </row>
    <row r="1806" spans="26:33" x14ac:dyDescent="0.35">
      <c r="Z1806" s="344">
        <v>4479</v>
      </c>
      <c r="AA1806" s="344" t="s">
        <v>579</v>
      </c>
      <c r="AB1806" s="344">
        <v>4</v>
      </c>
      <c r="AC1806" s="344" t="e">
        <v>#N/A</v>
      </c>
      <c r="AD1806" s="1058" t="s">
        <v>581</v>
      </c>
      <c r="AE1806" s="1059" t="e">
        <v>#N/A</v>
      </c>
      <c r="AF1806" s="889" t="s">
        <v>459</v>
      </c>
      <c r="AG1806" s="889" t="s">
        <v>459</v>
      </c>
    </row>
    <row r="1807" spans="26:33" x14ac:dyDescent="0.35">
      <c r="Z1807" s="344">
        <v>4480</v>
      </c>
      <c r="AA1807" s="344" t="s">
        <v>579</v>
      </c>
      <c r="AB1807" s="344">
        <v>4</v>
      </c>
      <c r="AC1807" s="344" t="s">
        <v>464</v>
      </c>
      <c r="AD1807" s="1058" t="s">
        <v>581</v>
      </c>
      <c r="AE1807" s="1059">
        <v>140650</v>
      </c>
      <c r="AF1807" s="889" t="s">
        <v>459</v>
      </c>
      <c r="AG1807" s="889" t="s">
        <v>459</v>
      </c>
    </row>
    <row r="1808" spans="26:33" x14ac:dyDescent="0.35">
      <c r="Z1808" s="344">
        <v>4481</v>
      </c>
      <c r="AA1808" s="344" t="s">
        <v>579</v>
      </c>
      <c r="AB1808" s="344">
        <v>4</v>
      </c>
      <c r="AC1808" s="344" t="e">
        <v>#N/A</v>
      </c>
      <c r="AD1808" s="1058" t="s">
        <v>581</v>
      </c>
      <c r="AE1808" s="1059" t="e">
        <v>#N/A</v>
      </c>
      <c r="AF1808" s="889" t="s">
        <v>459</v>
      </c>
      <c r="AG1808" s="889" t="s">
        <v>459</v>
      </c>
    </row>
    <row r="1809" spans="26:33" x14ac:dyDescent="0.35">
      <c r="Z1809" s="344">
        <v>4482</v>
      </c>
      <c r="AA1809" s="344" t="s">
        <v>579</v>
      </c>
      <c r="AB1809" s="344">
        <v>4</v>
      </c>
      <c r="AC1809" s="344" t="e">
        <v>#N/A</v>
      </c>
      <c r="AD1809" s="1058" t="s">
        <v>581</v>
      </c>
      <c r="AE1809" s="1059" t="e">
        <v>#N/A</v>
      </c>
      <c r="AF1809" s="889" t="s">
        <v>459</v>
      </c>
      <c r="AG1809" s="889" t="s">
        <v>459</v>
      </c>
    </row>
    <row r="1810" spans="26:33" x14ac:dyDescent="0.35">
      <c r="Z1810" s="344">
        <v>4486</v>
      </c>
      <c r="AA1810" s="344" t="s">
        <v>579</v>
      </c>
      <c r="AB1810" s="344">
        <v>4</v>
      </c>
      <c r="AC1810" s="344" t="s">
        <v>464</v>
      </c>
      <c r="AD1810" s="1058" t="s">
        <v>581</v>
      </c>
      <c r="AE1810" s="1059">
        <v>114313</v>
      </c>
      <c r="AF1810" s="889" t="s">
        <v>459</v>
      </c>
      <c r="AG1810" s="889" t="s">
        <v>459</v>
      </c>
    </row>
    <row r="1811" spans="26:33" x14ac:dyDescent="0.35">
      <c r="Z1811" s="344">
        <v>4487</v>
      </c>
      <c r="AA1811" s="344" t="s">
        <v>579</v>
      </c>
      <c r="AB1811" s="344">
        <v>4</v>
      </c>
      <c r="AC1811" s="344" t="s">
        <v>464</v>
      </c>
      <c r="AD1811" s="1058" t="s">
        <v>581</v>
      </c>
      <c r="AE1811" s="1059">
        <v>238779</v>
      </c>
      <c r="AF1811" s="889" t="s">
        <v>459</v>
      </c>
      <c r="AG1811" s="889" t="s">
        <v>459</v>
      </c>
    </row>
    <row r="1812" spans="26:33" x14ac:dyDescent="0.35">
      <c r="Z1812" s="344">
        <v>4488</v>
      </c>
      <c r="AA1812" s="344" t="s">
        <v>579</v>
      </c>
      <c r="AB1812" s="344">
        <v>4</v>
      </c>
      <c r="AC1812" s="344" t="e">
        <v>#N/A</v>
      </c>
      <c r="AD1812" s="1058" t="s">
        <v>581</v>
      </c>
      <c r="AE1812" s="1059" t="e">
        <v>#N/A</v>
      </c>
      <c r="AF1812" s="889" t="s">
        <v>459</v>
      </c>
      <c r="AG1812" s="889" t="s">
        <v>459</v>
      </c>
    </row>
    <row r="1813" spans="26:33" x14ac:dyDescent="0.35">
      <c r="Z1813" s="344">
        <v>4489</v>
      </c>
      <c r="AA1813" s="344" t="s">
        <v>579</v>
      </c>
      <c r="AB1813" s="344">
        <v>4</v>
      </c>
      <c r="AC1813" s="344" t="e">
        <v>#N/A</v>
      </c>
      <c r="AD1813" s="1058" t="s">
        <v>581</v>
      </c>
      <c r="AE1813" s="1059" t="e">
        <v>#N/A</v>
      </c>
      <c r="AF1813" s="889" t="s">
        <v>459</v>
      </c>
      <c r="AG1813" s="889" t="s">
        <v>459</v>
      </c>
    </row>
    <row r="1814" spans="26:33" x14ac:dyDescent="0.35">
      <c r="Z1814" s="344">
        <v>4490</v>
      </c>
      <c r="AA1814" s="344" t="s">
        <v>579</v>
      </c>
      <c r="AB1814" s="344">
        <v>4</v>
      </c>
      <c r="AC1814" s="344" t="s">
        <v>464</v>
      </c>
      <c r="AD1814" s="1058" t="s">
        <v>581</v>
      </c>
      <c r="AE1814" s="1059">
        <v>172835</v>
      </c>
      <c r="AF1814" s="889" t="s">
        <v>459</v>
      </c>
      <c r="AG1814" s="889" t="s">
        <v>459</v>
      </c>
    </row>
    <row r="1815" spans="26:33" x14ac:dyDescent="0.35">
      <c r="Z1815" s="344">
        <v>4491</v>
      </c>
      <c r="AA1815" s="344" t="s">
        <v>579</v>
      </c>
      <c r="AB1815" s="344">
        <v>4</v>
      </c>
      <c r="AC1815" s="344" t="e">
        <v>#N/A</v>
      </c>
      <c r="AD1815" s="1058" t="s">
        <v>581</v>
      </c>
      <c r="AE1815" s="1059" t="e">
        <v>#N/A</v>
      </c>
      <c r="AF1815" s="889" t="s">
        <v>459</v>
      </c>
      <c r="AG1815" s="889" t="s">
        <v>459</v>
      </c>
    </row>
    <row r="1816" spans="26:33" x14ac:dyDescent="0.35">
      <c r="Z1816" s="344">
        <v>4492</v>
      </c>
      <c r="AA1816" s="344" t="s">
        <v>579</v>
      </c>
      <c r="AB1816" s="344">
        <v>4</v>
      </c>
      <c r="AC1816" s="344" t="e">
        <v>#N/A</v>
      </c>
      <c r="AD1816" s="1058" t="s">
        <v>581</v>
      </c>
      <c r="AE1816" s="1059" t="e">
        <v>#N/A</v>
      </c>
      <c r="AF1816" s="889" t="s">
        <v>459</v>
      </c>
      <c r="AG1816" s="889" t="s">
        <v>459</v>
      </c>
    </row>
    <row r="1817" spans="26:33" x14ac:dyDescent="0.35">
      <c r="Z1817" s="344">
        <v>4493</v>
      </c>
      <c r="AA1817" s="344" t="s">
        <v>579</v>
      </c>
      <c r="AB1817" s="344">
        <v>4</v>
      </c>
      <c r="AC1817" s="344" t="e">
        <v>#N/A</v>
      </c>
      <c r="AD1817" s="1058" t="s">
        <v>581</v>
      </c>
      <c r="AE1817" s="1059" t="e">
        <v>#N/A</v>
      </c>
      <c r="AF1817" s="889" t="s">
        <v>459</v>
      </c>
      <c r="AG1817" s="889" t="s">
        <v>459</v>
      </c>
    </row>
    <row r="1818" spans="26:33" x14ac:dyDescent="0.35">
      <c r="Z1818" s="344">
        <v>4494</v>
      </c>
      <c r="AA1818" s="344" t="s">
        <v>579</v>
      </c>
      <c r="AB1818" s="344">
        <v>4</v>
      </c>
      <c r="AC1818" s="344" t="e">
        <v>#N/A</v>
      </c>
      <c r="AD1818" s="1058" t="s">
        <v>581</v>
      </c>
      <c r="AE1818" s="1059" t="e">
        <v>#N/A</v>
      </c>
      <c r="AF1818" s="889" t="s">
        <v>459</v>
      </c>
      <c r="AG1818" s="889" t="s">
        <v>459</v>
      </c>
    </row>
    <row r="1819" spans="26:33" x14ac:dyDescent="0.35">
      <c r="Z1819" s="344">
        <v>4496</v>
      </c>
      <c r="AA1819" s="344" t="s">
        <v>579</v>
      </c>
      <c r="AB1819" s="344">
        <v>4</v>
      </c>
      <c r="AC1819" s="344" t="e">
        <v>#N/A</v>
      </c>
      <c r="AD1819" s="1058" t="s">
        <v>581</v>
      </c>
      <c r="AE1819" s="1059" t="e">
        <v>#N/A</v>
      </c>
      <c r="AF1819" s="889" t="s">
        <v>459</v>
      </c>
      <c r="AG1819" s="889" t="s">
        <v>459</v>
      </c>
    </row>
    <row r="1820" spans="26:33" x14ac:dyDescent="0.35">
      <c r="Z1820" s="344">
        <v>4497</v>
      </c>
      <c r="AA1820" s="344" t="s">
        <v>579</v>
      </c>
      <c r="AB1820" s="344">
        <v>4</v>
      </c>
      <c r="AC1820" s="344" t="e">
        <v>#N/A</v>
      </c>
      <c r="AD1820" s="1058" t="s">
        <v>581</v>
      </c>
      <c r="AE1820" s="1059" t="e">
        <v>#N/A</v>
      </c>
      <c r="AF1820" s="889" t="s">
        <v>459</v>
      </c>
      <c r="AG1820" s="889" t="s">
        <v>459</v>
      </c>
    </row>
    <row r="1821" spans="26:33" x14ac:dyDescent="0.35">
      <c r="Z1821" s="344">
        <v>4498</v>
      </c>
      <c r="AA1821" s="344" t="s">
        <v>579</v>
      </c>
      <c r="AB1821" s="344">
        <v>4</v>
      </c>
      <c r="AC1821" s="344" t="e">
        <v>#N/A</v>
      </c>
      <c r="AD1821" s="1058" t="s">
        <v>581</v>
      </c>
      <c r="AE1821" s="1059" t="e">
        <v>#N/A</v>
      </c>
      <c r="AF1821" s="889" t="s">
        <v>459</v>
      </c>
      <c r="AG1821" s="889" t="s">
        <v>459</v>
      </c>
    </row>
    <row r="1822" spans="26:33" x14ac:dyDescent="0.35">
      <c r="Z1822" s="344">
        <v>4500</v>
      </c>
      <c r="AA1822" s="344" t="s">
        <v>579</v>
      </c>
      <c r="AB1822" s="344">
        <v>1</v>
      </c>
      <c r="AC1822" s="344" t="s">
        <v>457</v>
      </c>
      <c r="AD1822" s="1058" t="s">
        <v>580</v>
      </c>
      <c r="AE1822" s="1059">
        <v>490636</v>
      </c>
      <c r="AF1822" s="889" t="s">
        <v>459</v>
      </c>
      <c r="AG1822" s="889" t="s">
        <v>459</v>
      </c>
    </row>
    <row r="1823" spans="26:33" x14ac:dyDescent="0.35">
      <c r="Z1823" s="344">
        <v>4501</v>
      </c>
      <c r="AA1823" s="344" t="s">
        <v>579</v>
      </c>
      <c r="AB1823" s="344">
        <v>1</v>
      </c>
      <c r="AC1823" s="344" t="s">
        <v>471</v>
      </c>
      <c r="AD1823" s="1058" t="s">
        <v>580</v>
      </c>
      <c r="AE1823" s="1059">
        <v>354223</v>
      </c>
      <c r="AF1823" s="889" t="s">
        <v>459</v>
      </c>
      <c r="AG1823" s="889" t="s">
        <v>459</v>
      </c>
    </row>
    <row r="1824" spans="26:33" x14ac:dyDescent="0.35">
      <c r="Z1824" s="344">
        <v>4502</v>
      </c>
      <c r="AA1824" s="344" t="s">
        <v>579</v>
      </c>
      <c r="AB1824" s="344">
        <v>1</v>
      </c>
      <c r="AC1824" s="344" t="s">
        <v>471</v>
      </c>
      <c r="AD1824" s="1058" t="s">
        <v>580</v>
      </c>
      <c r="AE1824" s="1059">
        <v>393914</v>
      </c>
      <c r="AF1824" s="889" t="s">
        <v>459</v>
      </c>
      <c r="AG1824" s="889" t="s">
        <v>459</v>
      </c>
    </row>
    <row r="1825" spans="26:33" x14ac:dyDescent="0.35">
      <c r="Z1825" s="344">
        <v>4503</v>
      </c>
      <c r="AA1825" s="344" t="s">
        <v>579</v>
      </c>
      <c r="AB1825" s="344">
        <v>1</v>
      </c>
      <c r="AC1825" s="344" t="s">
        <v>457</v>
      </c>
      <c r="AD1825" s="1058" t="s">
        <v>580</v>
      </c>
      <c r="AE1825" s="1059">
        <v>482511</v>
      </c>
      <c r="AF1825" s="889" t="s">
        <v>459</v>
      </c>
      <c r="AG1825" s="889" t="s">
        <v>459</v>
      </c>
    </row>
    <row r="1826" spans="26:33" x14ac:dyDescent="0.35">
      <c r="Z1826" s="344">
        <v>4504</v>
      </c>
      <c r="AA1826" s="344" t="s">
        <v>579</v>
      </c>
      <c r="AB1826" s="344">
        <v>1</v>
      </c>
      <c r="AC1826" s="344" t="s">
        <v>471</v>
      </c>
      <c r="AD1826" s="1058" t="s">
        <v>580</v>
      </c>
      <c r="AE1826" s="1059">
        <v>421098</v>
      </c>
      <c r="AF1826" s="889" t="s">
        <v>459</v>
      </c>
      <c r="AG1826" s="889" t="s">
        <v>459</v>
      </c>
    </row>
    <row r="1827" spans="26:33" x14ac:dyDescent="0.35">
      <c r="Z1827" s="344">
        <v>4505</v>
      </c>
      <c r="AA1827" s="344" t="s">
        <v>579</v>
      </c>
      <c r="AB1827" s="344">
        <v>1</v>
      </c>
      <c r="AC1827" s="344" t="s">
        <v>457</v>
      </c>
      <c r="AD1827" s="1058" t="s">
        <v>580</v>
      </c>
      <c r="AE1827" s="1059">
        <v>460966</v>
      </c>
      <c r="AF1827" s="889" t="s">
        <v>459</v>
      </c>
      <c r="AG1827" s="889" t="s">
        <v>459</v>
      </c>
    </row>
    <row r="1828" spans="26:33" x14ac:dyDescent="0.35">
      <c r="Z1828" s="344">
        <v>4506</v>
      </c>
      <c r="AA1828" s="344" t="s">
        <v>579</v>
      </c>
      <c r="AB1828" s="344">
        <v>1</v>
      </c>
      <c r="AC1828" s="344" t="s">
        <v>457</v>
      </c>
      <c r="AD1828" s="1058" t="s">
        <v>580</v>
      </c>
      <c r="AE1828" s="1059">
        <v>469624</v>
      </c>
      <c r="AF1828" s="889" t="s">
        <v>459</v>
      </c>
      <c r="AG1828" s="889" t="s">
        <v>459</v>
      </c>
    </row>
    <row r="1829" spans="26:33" x14ac:dyDescent="0.35">
      <c r="Z1829" s="344">
        <v>4507</v>
      </c>
      <c r="AA1829" s="344" t="s">
        <v>579</v>
      </c>
      <c r="AB1829" s="344">
        <v>1</v>
      </c>
      <c r="AC1829" s="344" t="s">
        <v>471</v>
      </c>
      <c r="AD1829" s="1058" t="s">
        <v>580</v>
      </c>
      <c r="AE1829" s="1059">
        <v>425290</v>
      </c>
      <c r="AF1829" s="889" t="s">
        <v>459</v>
      </c>
      <c r="AG1829" s="889" t="s">
        <v>459</v>
      </c>
    </row>
    <row r="1830" spans="26:33" x14ac:dyDescent="0.35">
      <c r="Z1830" s="344">
        <v>4508</v>
      </c>
      <c r="AA1830" s="344" t="s">
        <v>579</v>
      </c>
      <c r="AB1830" s="344">
        <v>1</v>
      </c>
      <c r="AC1830" s="344" t="s">
        <v>471</v>
      </c>
      <c r="AD1830" s="1058" t="s">
        <v>580</v>
      </c>
      <c r="AE1830" s="1059">
        <v>305983</v>
      </c>
      <c r="AF1830" s="889" t="s">
        <v>459</v>
      </c>
      <c r="AG1830" s="889" t="s">
        <v>459</v>
      </c>
    </row>
    <row r="1831" spans="26:33" x14ac:dyDescent="0.35">
      <c r="Z1831" s="344">
        <v>4509</v>
      </c>
      <c r="AA1831" s="344" t="s">
        <v>579</v>
      </c>
      <c r="AB1831" s="344">
        <v>1</v>
      </c>
      <c r="AC1831" s="344" t="s">
        <v>471</v>
      </c>
      <c r="AD1831" s="1058" t="s">
        <v>580</v>
      </c>
      <c r="AE1831" s="1059">
        <v>434069</v>
      </c>
      <c r="AF1831" s="889" t="s">
        <v>459</v>
      </c>
      <c r="AG1831" s="889" t="s">
        <v>459</v>
      </c>
    </row>
    <row r="1832" spans="26:33" x14ac:dyDescent="0.35">
      <c r="Z1832" s="344">
        <v>4510</v>
      </c>
      <c r="AA1832" s="344" t="s">
        <v>579</v>
      </c>
      <c r="AB1832" s="344">
        <v>1</v>
      </c>
      <c r="AC1832" s="344" t="s">
        <v>471</v>
      </c>
      <c r="AD1832" s="1058" t="s">
        <v>580</v>
      </c>
      <c r="AE1832" s="1059">
        <v>413886</v>
      </c>
      <c r="AF1832" s="889" t="s">
        <v>459</v>
      </c>
      <c r="AG1832" s="889" t="s">
        <v>459</v>
      </c>
    </row>
    <row r="1833" spans="26:33" x14ac:dyDescent="0.35">
      <c r="Z1833" s="344">
        <v>4511</v>
      </c>
      <c r="AA1833" s="344" t="s">
        <v>579</v>
      </c>
      <c r="AB1833" s="344">
        <v>1</v>
      </c>
      <c r="AC1833" s="344" t="s">
        <v>471</v>
      </c>
      <c r="AD1833" s="1058" t="s">
        <v>580</v>
      </c>
      <c r="AE1833" s="1059">
        <v>394279</v>
      </c>
      <c r="AF1833" s="889" t="s">
        <v>459</v>
      </c>
      <c r="AG1833" s="889" t="s">
        <v>459</v>
      </c>
    </row>
    <row r="1834" spans="26:33" x14ac:dyDescent="0.35">
      <c r="Z1834" s="344">
        <v>4512</v>
      </c>
      <c r="AA1834" s="344" t="s">
        <v>579</v>
      </c>
      <c r="AB1834" s="344">
        <v>1</v>
      </c>
      <c r="AC1834" s="344" t="s">
        <v>457</v>
      </c>
      <c r="AD1834" s="1058" t="s">
        <v>580</v>
      </c>
      <c r="AE1834" s="1059">
        <v>509901</v>
      </c>
      <c r="AF1834" s="889" t="s">
        <v>459</v>
      </c>
      <c r="AG1834" s="889" t="s">
        <v>459</v>
      </c>
    </row>
    <row r="1835" spans="26:33" x14ac:dyDescent="0.35">
      <c r="Z1835" s="344">
        <v>4514</v>
      </c>
      <c r="AA1835" s="344" t="s">
        <v>579</v>
      </c>
      <c r="AB1835" s="344">
        <v>2</v>
      </c>
      <c r="AC1835" s="344" t="s">
        <v>471</v>
      </c>
      <c r="AD1835" s="1058" t="s">
        <v>583</v>
      </c>
      <c r="AE1835" s="1059">
        <v>429854</v>
      </c>
      <c r="AF1835" s="889" t="s">
        <v>459</v>
      </c>
      <c r="AG1835" s="889" t="s">
        <v>459</v>
      </c>
    </row>
    <row r="1836" spans="26:33" x14ac:dyDescent="0.35">
      <c r="Z1836" s="344">
        <v>4515</v>
      </c>
      <c r="AA1836" s="344" t="s">
        <v>579</v>
      </c>
      <c r="AB1836" s="344">
        <v>4</v>
      </c>
      <c r="AC1836" s="344" t="s">
        <v>471</v>
      </c>
      <c r="AD1836" s="1058" t="s">
        <v>581</v>
      </c>
      <c r="AE1836" s="1059">
        <v>386736</v>
      </c>
      <c r="AF1836" s="889" t="s">
        <v>459</v>
      </c>
      <c r="AG1836" s="889" t="s">
        <v>459</v>
      </c>
    </row>
    <row r="1837" spans="26:33" x14ac:dyDescent="0.35">
      <c r="Z1837" s="344">
        <v>4516</v>
      </c>
      <c r="AA1837" s="344" t="s">
        <v>579</v>
      </c>
      <c r="AB1837" s="344">
        <v>1</v>
      </c>
      <c r="AC1837" s="344" t="s">
        <v>457</v>
      </c>
      <c r="AD1837" s="1058" t="s">
        <v>580</v>
      </c>
      <c r="AE1837" s="1059">
        <v>493466</v>
      </c>
      <c r="AF1837" s="889" t="s">
        <v>459</v>
      </c>
      <c r="AG1837" s="889" t="s">
        <v>459</v>
      </c>
    </row>
    <row r="1838" spans="26:33" x14ac:dyDescent="0.35">
      <c r="Z1838" s="344">
        <v>4517</v>
      </c>
      <c r="AA1838" s="344" t="s">
        <v>579</v>
      </c>
      <c r="AB1838" s="344">
        <v>1</v>
      </c>
      <c r="AC1838" s="344" t="s">
        <v>471</v>
      </c>
      <c r="AD1838" s="1058" t="s">
        <v>580</v>
      </c>
      <c r="AE1838" s="1059">
        <v>381244</v>
      </c>
      <c r="AF1838" s="889" t="s">
        <v>459</v>
      </c>
      <c r="AG1838" s="889" t="s">
        <v>459</v>
      </c>
    </row>
    <row r="1839" spans="26:33" x14ac:dyDescent="0.35">
      <c r="Z1839" s="344">
        <v>4518</v>
      </c>
      <c r="AA1839" s="344" t="s">
        <v>579</v>
      </c>
      <c r="AB1839" s="344">
        <v>1</v>
      </c>
      <c r="AC1839" s="344" t="s">
        <v>471</v>
      </c>
      <c r="AD1839" s="1058" t="s">
        <v>580</v>
      </c>
      <c r="AE1839" s="1059">
        <v>434630</v>
      </c>
      <c r="AF1839" s="889" t="s">
        <v>459</v>
      </c>
      <c r="AG1839" s="889" t="s">
        <v>459</v>
      </c>
    </row>
    <row r="1840" spans="26:33" x14ac:dyDescent="0.35">
      <c r="Z1840" s="344">
        <v>4519</v>
      </c>
      <c r="AA1840" s="344" t="s">
        <v>579</v>
      </c>
      <c r="AB1840" s="344">
        <v>1</v>
      </c>
      <c r="AC1840" s="344" t="s">
        <v>471</v>
      </c>
      <c r="AD1840" s="1058" t="s">
        <v>580</v>
      </c>
      <c r="AE1840" s="1059">
        <v>449423</v>
      </c>
      <c r="AF1840" s="889" t="s">
        <v>459</v>
      </c>
      <c r="AG1840" s="889" t="s">
        <v>459</v>
      </c>
    </row>
    <row r="1841" spans="26:33" x14ac:dyDescent="0.35">
      <c r="Z1841" s="344">
        <v>4520</v>
      </c>
      <c r="AA1841" s="344" t="s">
        <v>579</v>
      </c>
      <c r="AB1841" s="344">
        <v>1</v>
      </c>
      <c r="AC1841" s="344" t="s">
        <v>479</v>
      </c>
      <c r="AD1841" s="1058" t="s">
        <v>580</v>
      </c>
      <c r="AE1841" s="1059">
        <v>752022</v>
      </c>
      <c r="AF1841" s="889" t="s">
        <v>459</v>
      </c>
      <c r="AG1841" s="889" t="s">
        <v>459</v>
      </c>
    </row>
    <row r="1842" spans="26:33" x14ac:dyDescent="0.35">
      <c r="Z1842" s="344">
        <v>4521</v>
      </c>
      <c r="AA1842" s="344" t="s">
        <v>579</v>
      </c>
      <c r="AB1842" s="344">
        <v>1</v>
      </c>
      <c r="AC1842" s="344" t="s">
        <v>457</v>
      </c>
      <c r="AD1842" s="1058" t="s">
        <v>580</v>
      </c>
      <c r="AE1842" s="1059">
        <v>584223</v>
      </c>
      <c r="AF1842" s="889" t="s">
        <v>459</v>
      </c>
      <c r="AG1842" s="889" t="s">
        <v>459</v>
      </c>
    </row>
    <row r="1843" spans="26:33" x14ac:dyDescent="0.35">
      <c r="Z1843" s="344">
        <v>4550</v>
      </c>
      <c r="AA1843" s="344" t="s">
        <v>579</v>
      </c>
      <c r="AB1843" s="344">
        <v>1</v>
      </c>
      <c r="AC1843" s="344" t="s">
        <v>457</v>
      </c>
      <c r="AD1843" s="1058" t="s">
        <v>580</v>
      </c>
      <c r="AE1843" s="1059">
        <v>497311</v>
      </c>
      <c r="AF1843" s="889" t="s">
        <v>459</v>
      </c>
      <c r="AG1843" s="889" t="s">
        <v>459</v>
      </c>
    </row>
    <row r="1844" spans="26:33" x14ac:dyDescent="0.35">
      <c r="Z1844" s="344">
        <v>4551</v>
      </c>
      <c r="AA1844" s="344" t="s">
        <v>579</v>
      </c>
      <c r="AB1844" s="344">
        <v>1</v>
      </c>
      <c r="AC1844" s="344" t="s">
        <v>457</v>
      </c>
      <c r="AD1844" s="1058" t="s">
        <v>580</v>
      </c>
      <c r="AE1844" s="1059">
        <v>528542</v>
      </c>
      <c r="AF1844" s="889" t="s">
        <v>459</v>
      </c>
      <c r="AG1844" s="889" t="s">
        <v>459</v>
      </c>
    </row>
    <row r="1845" spans="26:33" x14ac:dyDescent="0.35">
      <c r="Z1845" s="344">
        <v>4552</v>
      </c>
      <c r="AA1845" s="344" t="s">
        <v>579</v>
      </c>
      <c r="AB1845" s="344">
        <v>1</v>
      </c>
      <c r="AC1845" s="344" t="s">
        <v>457</v>
      </c>
      <c r="AD1845" s="1058" t="s">
        <v>580</v>
      </c>
      <c r="AE1845" s="1059">
        <v>590701</v>
      </c>
      <c r="AF1845" s="889" t="s">
        <v>459</v>
      </c>
      <c r="AG1845" s="889" t="s">
        <v>459</v>
      </c>
    </row>
    <row r="1846" spans="26:33" x14ac:dyDescent="0.35">
      <c r="Z1846" s="344">
        <v>4553</v>
      </c>
      <c r="AA1846" s="344" t="s">
        <v>579</v>
      </c>
      <c r="AB1846" s="344">
        <v>1</v>
      </c>
      <c r="AC1846" s="344" t="s">
        <v>457</v>
      </c>
      <c r="AD1846" s="1058" t="s">
        <v>580</v>
      </c>
      <c r="AE1846" s="1059">
        <v>556965</v>
      </c>
      <c r="AF1846" s="889" t="s">
        <v>459</v>
      </c>
      <c r="AG1846" s="889" t="s">
        <v>459</v>
      </c>
    </row>
    <row r="1847" spans="26:33" x14ac:dyDescent="0.35">
      <c r="Z1847" s="344">
        <v>4554</v>
      </c>
      <c r="AA1847" s="344" t="s">
        <v>579</v>
      </c>
      <c r="AB1847" s="344">
        <v>1</v>
      </c>
      <c r="AC1847" s="344" t="s">
        <v>457</v>
      </c>
      <c r="AD1847" s="1058" t="s">
        <v>580</v>
      </c>
      <c r="AE1847" s="1059">
        <v>540312</v>
      </c>
      <c r="AF1847" s="889" t="s">
        <v>459</v>
      </c>
      <c r="AG1847" s="889" t="s">
        <v>459</v>
      </c>
    </row>
    <row r="1848" spans="26:33" x14ac:dyDescent="0.35">
      <c r="Z1848" s="344">
        <v>4555</v>
      </c>
      <c r="AA1848" s="344" t="s">
        <v>579</v>
      </c>
      <c r="AB1848" s="344">
        <v>1</v>
      </c>
      <c r="AC1848" s="344" t="s">
        <v>457</v>
      </c>
      <c r="AD1848" s="1058" t="s">
        <v>580</v>
      </c>
      <c r="AE1848" s="1059">
        <v>601635</v>
      </c>
      <c r="AF1848" s="889" t="s">
        <v>459</v>
      </c>
      <c r="AG1848" s="889" t="s">
        <v>459</v>
      </c>
    </row>
    <row r="1849" spans="26:33" x14ac:dyDescent="0.35">
      <c r="Z1849" s="344">
        <v>4556</v>
      </c>
      <c r="AA1849" s="344" t="s">
        <v>579</v>
      </c>
      <c r="AB1849" s="344">
        <v>1</v>
      </c>
      <c r="AC1849" s="344" t="s">
        <v>457</v>
      </c>
      <c r="AD1849" s="1058" t="s">
        <v>580</v>
      </c>
      <c r="AE1849" s="1059">
        <v>555818</v>
      </c>
      <c r="AF1849" s="889" t="s">
        <v>459</v>
      </c>
      <c r="AG1849" s="889" t="s">
        <v>459</v>
      </c>
    </row>
    <row r="1850" spans="26:33" x14ac:dyDescent="0.35">
      <c r="Z1850" s="344">
        <v>4557</v>
      </c>
      <c r="AA1850" s="344" t="s">
        <v>579</v>
      </c>
      <c r="AB1850" s="344">
        <v>1</v>
      </c>
      <c r="AC1850" s="344" t="s">
        <v>457</v>
      </c>
      <c r="AD1850" s="1058" t="s">
        <v>580</v>
      </c>
      <c r="AE1850" s="1059">
        <v>552687</v>
      </c>
      <c r="AF1850" s="889" t="s">
        <v>459</v>
      </c>
      <c r="AG1850" s="889" t="s">
        <v>459</v>
      </c>
    </row>
    <row r="1851" spans="26:33" x14ac:dyDescent="0.35">
      <c r="Z1851" s="344">
        <v>4558</v>
      </c>
      <c r="AA1851" s="344" t="s">
        <v>579</v>
      </c>
      <c r="AB1851" s="344">
        <v>1</v>
      </c>
      <c r="AC1851" s="344" t="s">
        <v>471</v>
      </c>
      <c r="AD1851" s="1058" t="s">
        <v>580</v>
      </c>
      <c r="AE1851" s="1059">
        <v>446694</v>
      </c>
      <c r="AF1851" s="889" t="s">
        <v>459</v>
      </c>
      <c r="AG1851" s="889" t="s">
        <v>459</v>
      </c>
    </row>
    <row r="1852" spans="26:33" x14ac:dyDescent="0.35">
      <c r="Z1852" s="344">
        <v>4559</v>
      </c>
      <c r="AA1852" s="344" t="s">
        <v>579</v>
      </c>
      <c r="AB1852" s="344">
        <v>1</v>
      </c>
      <c r="AC1852" s="344" t="s">
        <v>457</v>
      </c>
      <c r="AD1852" s="1058" t="s">
        <v>580</v>
      </c>
      <c r="AE1852" s="1059">
        <v>526536</v>
      </c>
      <c r="AF1852" s="889" t="s">
        <v>459</v>
      </c>
      <c r="AG1852" s="889" t="s">
        <v>459</v>
      </c>
    </row>
    <row r="1853" spans="26:33" x14ac:dyDescent="0.35">
      <c r="Z1853" s="344">
        <v>4560</v>
      </c>
      <c r="AA1853" s="344" t="s">
        <v>579</v>
      </c>
      <c r="AB1853" s="344">
        <v>1</v>
      </c>
      <c r="AC1853" s="344" t="s">
        <v>457</v>
      </c>
      <c r="AD1853" s="1058" t="s">
        <v>580</v>
      </c>
      <c r="AE1853" s="1059">
        <v>464972</v>
      </c>
      <c r="AF1853" s="889" t="s">
        <v>459</v>
      </c>
      <c r="AG1853" s="889" t="s">
        <v>459</v>
      </c>
    </row>
    <row r="1854" spans="26:33" x14ac:dyDescent="0.35">
      <c r="Z1854" s="344">
        <v>4561</v>
      </c>
      <c r="AA1854" s="344" t="s">
        <v>579</v>
      </c>
      <c r="AB1854" s="344">
        <v>1</v>
      </c>
      <c r="AC1854" s="344" t="s">
        <v>457</v>
      </c>
      <c r="AD1854" s="1058" t="s">
        <v>580</v>
      </c>
      <c r="AE1854" s="1059">
        <v>536136</v>
      </c>
      <c r="AF1854" s="889" t="s">
        <v>459</v>
      </c>
      <c r="AG1854" s="889" t="s">
        <v>459</v>
      </c>
    </row>
    <row r="1855" spans="26:33" x14ac:dyDescent="0.35">
      <c r="Z1855" s="344">
        <v>4562</v>
      </c>
      <c r="AA1855" s="344" t="s">
        <v>579</v>
      </c>
      <c r="AB1855" s="344">
        <v>1</v>
      </c>
      <c r="AC1855" s="344" t="s">
        <v>457</v>
      </c>
      <c r="AD1855" s="1058" t="s">
        <v>580</v>
      </c>
      <c r="AE1855" s="1059">
        <v>558576</v>
      </c>
      <c r="AF1855" s="889" t="s">
        <v>459</v>
      </c>
      <c r="AG1855" s="889" t="s">
        <v>459</v>
      </c>
    </row>
    <row r="1856" spans="26:33" x14ac:dyDescent="0.35">
      <c r="Z1856" s="344">
        <v>4563</v>
      </c>
      <c r="AA1856" s="344" t="s">
        <v>579</v>
      </c>
      <c r="AB1856" s="344">
        <v>1</v>
      </c>
      <c r="AC1856" s="344" t="s">
        <v>457</v>
      </c>
      <c r="AD1856" s="1058" t="s">
        <v>580</v>
      </c>
      <c r="AE1856" s="1059">
        <v>493580</v>
      </c>
      <c r="AF1856" s="889" t="s">
        <v>459</v>
      </c>
      <c r="AG1856" s="889" t="s">
        <v>459</v>
      </c>
    </row>
    <row r="1857" spans="26:33" x14ac:dyDescent="0.35">
      <c r="Z1857" s="344">
        <v>4564</v>
      </c>
      <c r="AA1857" s="344" t="s">
        <v>579</v>
      </c>
      <c r="AB1857" s="344">
        <v>1</v>
      </c>
      <c r="AC1857" s="344" t="s">
        <v>457</v>
      </c>
      <c r="AD1857" s="1058" t="s">
        <v>580</v>
      </c>
      <c r="AE1857" s="1059">
        <v>506052</v>
      </c>
      <c r="AF1857" s="889" t="s">
        <v>459</v>
      </c>
      <c r="AG1857" s="889" t="s">
        <v>459</v>
      </c>
    </row>
    <row r="1858" spans="26:33" x14ac:dyDescent="0.35">
      <c r="Z1858" s="344">
        <v>4565</v>
      </c>
      <c r="AA1858" s="344" t="s">
        <v>579</v>
      </c>
      <c r="AB1858" s="344">
        <v>2</v>
      </c>
      <c r="AC1858" s="344" t="s">
        <v>457</v>
      </c>
      <c r="AD1858" s="1058" t="s">
        <v>583</v>
      </c>
      <c r="AE1858" s="1059">
        <v>515793</v>
      </c>
      <c r="AF1858" s="889" t="s">
        <v>459</v>
      </c>
      <c r="AG1858" s="889" t="s">
        <v>459</v>
      </c>
    </row>
    <row r="1859" spans="26:33" x14ac:dyDescent="0.35">
      <c r="Z1859" s="344">
        <v>4566</v>
      </c>
      <c r="AA1859" s="344" t="s">
        <v>579</v>
      </c>
      <c r="AB1859" s="344">
        <v>1</v>
      </c>
      <c r="AC1859" s="344" t="s">
        <v>479</v>
      </c>
      <c r="AD1859" s="1058" t="s">
        <v>580</v>
      </c>
      <c r="AE1859" s="1059">
        <v>758846</v>
      </c>
      <c r="AF1859" s="889" t="s">
        <v>459</v>
      </c>
      <c r="AG1859" s="889" t="s">
        <v>459</v>
      </c>
    </row>
    <row r="1860" spans="26:33" x14ac:dyDescent="0.35">
      <c r="Z1860" s="344">
        <v>4567</v>
      </c>
      <c r="AA1860" s="344" t="s">
        <v>579</v>
      </c>
      <c r="AB1860" s="344">
        <v>1</v>
      </c>
      <c r="AC1860" s="344" t="s">
        <v>479</v>
      </c>
      <c r="AD1860" s="1058" t="s">
        <v>580</v>
      </c>
      <c r="AE1860" s="1059">
        <v>783534</v>
      </c>
      <c r="AF1860" s="889" t="s">
        <v>459</v>
      </c>
      <c r="AG1860" s="889" t="s">
        <v>459</v>
      </c>
    </row>
    <row r="1861" spans="26:33" x14ac:dyDescent="0.35">
      <c r="Z1861" s="344">
        <v>4568</v>
      </c>
      <c r="AA1861" s="344" t="s">
        <v>579</v>
      </c>
      <c r="AB1861" s="344">
        <v>2</v>
      </c>
      <c r="AC1861" s="344" t="s">
        <v>471</v>
      </c>
      <c r="AD1861" s="1058" t="s">
        <v>583</v>
      </c>
      <c r="AE1861" s="1059">
        <v>426098</v>
      </c>
      <c r="AF1861" s="889" t="s">
        <v>459</v>
      </c>
      <c r="AG1861" s="889" t="s">
        <v>459</v>
      </c>
    </row>
    <row r="1862" spans="26:33" x14ac:dyDescent="0.35">
      <c r="Z1862" s="344">
        <v>4569</v>
      </c>
      <c r="AA1862" s="344" t="s">
        <v>579</v>
      </c>
      <c r="AB1862" s="344">
        <v>4</v>
      </c>
      <c r="AC1862" s="344" t="s">
        <v>471</v>
      </c>
      <c r="AD1862" s="1058" t="s">
        <v>581</v>
      </c>
      <c r="AE1862" s="1059">
        <v>347177</v>
      </c>
      <c r="AF1862" s="889" t="s">
        <v>459</v>
      </c>
      <c r="AG1862" s="889" t="s">
        <v>459</v>
      </c>
    </row>
    <row r="1863" spans="26:33" x14ac:dyDescent="0.35">
      <c r="Z1863" s="344">
        <v>4570</v>
      </c>
      <c r="AA1863" s="344" t="s">
        <v>579</v>
      </c>
      <c r="AB1863" s="344">
        <v>2</v>
      </c>
      <c r="AC1863" s="344" t="s">
        <v>471</v>
      </c>
      <c r="AD1863" s="1058" t="s">
        <v>583</v>
      </c>
      <c r="AE1863" s="1059">
        <v>318219</v>
      </c>
      <c r="AF1863" s="889" t="s">
        <v>459</v>
      </c>
      <c r="AG1863" s="889" t="s">
        <v>459</v>
      </c>
    </row>
    <row r="1864" spans="26:33" x14ac:dyDescent="0.35">
      <c r="Z1864" s="344">
        <v>4571</v>
      </c>
      <c r="AA1864" s="344" t="s">
        <v>579</v>
      </c>
      <c r="AB1864" s="344">
        <v>4</v>
      </c>
      <c r="AC1864" s="344" t="s">
        <v>471</v>
      </c>
      <c r="AD1864" s="1058" t="s">
        <v>581</v>
      </c>
      <c r="AE1864" s="1059">
        <v>447097</v>
      </c>
      <c r="AF1864" s="889" t="s">
        <v>459</v>
      </c>
      <c r="AG1864" s="889" t="s">
        <v>459</v>
      </c>
    </row>
    <row r="1865" spans="26:33" x14ac:dyDescent="0.35">
      <c r="Z1865" s="344">
        <v>4572</v>
      </c>
      <c r="AA1865" s="344" t="s">
        <v>579</v>
      </c>
      <c r="AB1865" s="344">
        <v>1</v>
      </c>
      <c r="AC1865" s="344" t="s">
        <v>457</v>
      </c>
      <c r="AD1865" s="1058" t="s">
        <v>580</v>
      </c>
      <c r="AE1865" s="1059">
        <v>714120</v>
      </c>
      <c r="AF1865" s="889" t="s">
        <v>459</v>
      </c>
      <c r="AG1865" s="889" t="s">
        <v>459</v>
      </c>
    </row>
    <row r="1866" spans="26:33" x14ac:dyDescent="0.35">
      <c r="Z1866" s="344">
        <v>4573</v>
      </c>
      <c r="AA1866" s="344" t="s">
        <v>579</v>
      </c>
      <c r="AB1866" s="344">
        <v>1</v>
      </c>
      <c r="AC1866" s="344" t="s">
        <v>457</v>
      </c>
      <c r="AD1866" s="1058" t="s">
        <v>580</v>
      </c>
      <c r="AE1866" s="1059">
        <v>597249</v>
      </c>
      <c r="AF1866" s="889" t="s">
        <v>459</v>
      </c>
      <c r="AG1866" s="889" t="s">
        <v>459</v>
      </c>
    </row>
    <row r="1867" spans="26:33" x14ac:dyDescent="0.35">
      <c r="Z1867" s="344">
        <v>4574</v>
      </c>
      <c r="AA1867" s="344" t="s">
        <v>579</v>
      </c>
      <c r="AB1867" s="344">
        <v>1</v>
      </c>
      <c r="AC1867" s="344" t="s">
        <v>471</v>
      </c>
      <c r="AD1867" s="1058" t="s">
        <v>580</v>
      </c>
      <c r="AE1867" s="1059">
        <v>346308</v>
      </c>
      <c r="AF1867" s="889" t="s">
        <v>459</v>
      </c>
      <c r="AG1867" s="889" t="s">
        <v>459</v>
      </c>
    </row>
    <row r="1868" spans="26:33" x14ac:dyDescent="0.35">
      <c r="Z1868" s="344">
        <v>4575</v>
      </c>
      <c r="AA1868" s="344" t="s">
        <v>579</v>
      </c>
      <c r="AB1868" s="344">
        <v>1</v>
      </c>
      <c r="AC1868" s="344" t="s">
        <v>457</v>
      </c>
      <c r="AD1868" s="1058" t="s">
        <v>580</v>
      </c>
      <c r="AE1868" s="1059">
        <v>590643</v>
      </c>
      <c r="AF1868" s="889" t="s">
        <v>459</v>
      </c>
      <c r="AG1868" s="889" t="s">
        <v>459</v>
      </c>
    </row>
    <row r="1869" spans="26:33" x14ac:dyDescent="0.35">
      <c r="Z1869" s="344">
        <v>4580</v>
      </c>
      <c r="AA1869" s="344" t="s">
        <v>579</v>
      </c>
      <c r="AB1869" s="344">
        <v>4</v>
      </c>
      <c r="AC1869" s="344" t="s">
        <v>471</v>
      </c>
      <c r="AD1869" s="1058" t="s">
        <v>581</v>
      </c>
      <c r="AE1869" s="1059">
        <v>307619</v>
      </c>
      <c r="AF1869" s="889" t="s">
        <v>459</v>
      </c>
      <c r="AG1869" s="889" t="s">
        <v>459</v>
      </c>
    </row>
    <row r="1870" spans="26:33" x14ac:dyDescent="0.35">
      <c r="Z1870" s="344">
        <v>4581</v>
      </c>
      <c r="AA1870" s="344" t="s">
        <v>579</v>
      </c>
      <c r="AB1870" s="344">
        <v>4</v>
      </c>
      <c r="AC1870" s="344" t="s">
        <v>457</v>
      </c>
      <c r="AD1870" s="1058" t="s">
        <v>581</v>
      </c>
      <c r="AE1870" s="1059">
        <v>572830</v>
      </c>
      <c r="AF1870" s="889" t="s">
        <v>459</v>
      </c>
      <c r="AG1870" s="889" t="s">
        <v>459</v>
      </c>
    </row>
    <row r="1871" spans="26:33" x14ac:dyDescent="0.35">
      <c r="Z1871" s="344">
        <v>4600</v>
      </c>
      <c r="AA1871" s="344" t="s">
        <v>579</v>
      </c>
      <c r="AB1871" s="344">
        <v>4</v>
      </c>
      <c r="AC1871" s="344" t="s">
        <v>464</v>
      </c>
      <c r="AD1871" s="1058" t="s">
        <v>581</v>
      </c>
      <c r="AE1871" s="1059">
        <v>210784</v>
      </c>
      <c r="AF1871" s="889" t="s">
        <v>459</v>
      </c>
      <c r="AG1871" s="889" t="s">
        <v>459</v>
      </c>
    </row>
    <row r="1872" spans="26:33" x14ac:dyDescent="0.35">
      <c r="Z1872" s="344">
        <v>4601</v>
      </c>
      <c r="AA1872" s="344" t="s">
        <v>579</v>
      </c>
      <c r="AB1872" s="344">
        <v>4</v>
      </c>
      <c r="AC1872" s="344" t="s">
        <v>464</v>
      </c>
      <c r="AD1872" s="1058" t="s">
        <v>581</v>
      </c>
      <c r="AE1872" s="1059">
        <v>187171</v>
      </c>
      <c r="AF1872" s="889" t="s">
        <v>459</v>
      </c>
      <c r="AG1872" s="889" t="s">
        <v>459</v>
      </c>
    </row>
    <row r="1873" spans="26:33" x14ac:dyDescent="0.35">
      <c r="Z1873" s="344">
        <v>4605</v>
      </c>
      <c r="AA1873" s="344" t="s">
        <v>579</v>
      </c>
      <c r="AB1873" s="344">
        <v>4</v>
      </c>
      <c r="AC1873" s="344" t="s">
        <v>464</v>
      </c>
      <c r="AD1873" s="1058" t="s">
        <v>581</v>
      </c>
      <c r="AE1873" s="1059">
        <v>172577</v>
      </c>
      <c r="AF1873" s="889" t="s">
        <v>459</v>
      </c>
      <c r="AG1873" s="889" t="s">
        <v>459</v>
      </c>
    </row>
    <row r="1874" spans="26:33" x14ac:dyDescent="0.35">
      <c r="Z1874" s="344">
        <v>4606</v>
      </c>
      <c r="AA1874" s="344" t="s">
        <v>579</v>
      </c>
      <c r="AB1874" s="344">
        <v>4</v>
      </c>
      <c r="AC1874" s="344" t="s">
        <v>464</v>
      </c>
      <c r="AD1874" s="1058" t="s">
        <v>581</v>
      </c>
      <c r="AE1874" s="1059">
        <v>205364</v>
      </c>
      <c r="AF1874" s="889" t="s">
        <v>459</v>
      </c>
      <c r="AG1874" s="889" t="s">
        <v>459</v>
      </c>
    </row>
    <row r="1875" spans="26:33" x14ac:dyDescent="0.35">
      <c r="Z1875" s="344">
        <v>4608</v>
      </c>
      <c r="AA1875" s="344" t="s">
        <v>579</v>
      </c>
      <c r="AB1875" s="344">
        <v>4</v>
      </c>
      <c r="AC1875" s="344" t="s">
        <v>464</v>
      </c>
      <c r="AD1875" s="1058" t="s">
        <v>581</v>
      </c>
      <c r="AE1875" s="1059">
        <v>232358</v>
      </c>
      <c r="AF1875" s="889" t="s">
        <v>459</v>
      </c>
      <c r="AG1875" s="889" t="s">
        <v>459</v>
      </c>
    </row>
    <row r="1876" spans="26:33" x14ac:dyDescent="0.35">
      <c r="Z1876" s="344">
        <v>4610</v>
      </c>
      <c r="AA1876" s="344" t="s">
        <v>579</v>
      </c>
      <c r="AB1876" s="344">
        <v>3</v>
      </c>
      <c r="AC1876" s="344" t="s">
        <v>464</v>
      </c>
      <c r="AD1876" s="1058" t="s">
        <v>582</v>
      </c>
      <c r="AE1876" s="1059">
        <v>261023</v>
      </c>
      <c r="AF1876" s="889" t="s">
        <v>459</v>
      </c>
      <c r="AG1876" s="889" t="s">
        <v>459</v>
      </c>
    </row>
    <row r="1877" spans="26:33" x14ac:dyDescent="0.35">
      <c r="Z1877" s="344">
        <v>4611</v>
      </c>
      <c r="AA1877" s="344" t="s">
        <v>579</v>
      </c>
      <c r="AB1877" s="344">
        <v>4</v>
      </c>
      <c r="AC1877" s="344" t="e">
        <v>#N/A</v>
      </c>
      <c r="AD1877" s="1058" t="s">
        <v>581</v>
      </c>
      <c r="AE1877" s="1059" t="e">
        <v>#N/A</v>
      </c>
      <c r="AF1877" s="889" t="s">
        <v>459</v>
      </c>
      <c r="AG1877" s="889" t="s">
        <v>459</v>
      </c>
    </row>
    <row r="1878" spans="26:33" x14ac:dyDescent="0.35">
      <c r="Z1878" s="344">
        <v>4612</v>
      </c>
      <c r="AA1878" s="344" t="s">
        <v>579</v>
      </c>
      <c r="AB1878" s="344">
        <v>4</v>
      </c>
      <c r="AC1878" s="344" t="e">
        <v>#N/A</v>
      </c>
      <c r="AD1878" s="1058" t="s">
        <v>581</v>
      </c>
      <c r="AE1878" s="1059" t="e">
        <v>#N/A</v>
      </c>
      <c r="AF1878" s="889" t="s">
        <v>459</v>
      </c>
      <c r="AG1878" s="889" t="s">
        <v>459</v>
      </c>
    </row>
    <row r="1879" spans="26:33" x14ac:dyDescent="0.35">
      <c r="Z1879" s="344">
        <v>4613</v>
      </c>
      <c r="AA1879" s="344" t="s">
        <v>579</v>
      </c>
      <c r="AB1879" s="344">
        <v>4</v>
      </c>
      <c r="AC1879" s="344" t="s">
        <v>464</v>
      </c>
      <c r="AD1879" s="1058" t="s">
        <v>581</v>
      </c>
      <c r="AE1879" s="1059">
        <v>153079</v>
      </c>
      <c r="AF1879" s="889" t="s">
        <v>459</v>
      </c>
      <c r="AG1879" s="889" t="s">
        <v>459</v>
      </c>
    </row>
    <row r="1880" spans="26:33" x14ac:dyDescent="0.35">
      <c r="Z1880" s="344">
        <v>4614</v>
      </c>
      <c r="AA1880" s="344" t="s">
        <v>579</v>
      </c>
      <c r="AB1880" s="344">
        <v>4</v>
      </c>
      <c r="AC1880" s="344" t="s">
        <v>464</v>
      </c>
      <c r="AD1880" s="1058" t="s">
        <v>581</v>
      </c>
      <c r="AE1880" s="1059">
        <v>193569</v>
      </c>
      <c r="AF1880" s="889" t="s">
        <v>459</v>
      </c>
      <c r="AG1880" s="889" t="s">
        <v>459</v>
      </c>
    </row>
    <row r="1881" spans="26:33" x14ac:dyDescent="0.35">
      <c r="Z1881" s="344">
        <v>4615</v>
      </c>
      <c r="AA1881" s="344" t="s">
        <v>579</v>
      </c>
      <c r="AB1881" s="344">
        <v>4</v>
      </c>
      <c r="AC1881" s="344" t="s">
        <v>464</v>
      </c>
      <c r="AD1881" s="1058" t="s">
        <v>581</v>
      </c>
      <c r="AE1881" s="1059">
        <v>240149</v>
      </c>
      <c r="AF1881" s="889" t="s">
        <v>459</v>
      </c>
      <c r="AG1881" s="889" t="s">
        <v>459</v>
      </c>
    </row>
    <row r="1882" spans="26:33" x14ac:dyDescent="0.35">
      <c r="Z1882" s="344">
        <v>4620</v>
      </c>
      <c r="AA1882" s="344" t="s">
        <v>579</v>
      </c>
      <c r="AB1882" s="344">
        <v>4</v>
      </c>
      <c r="AC1882" s="344" t="e">
        <v>#N/A</v>
      </c>
      <c r="AD1882" s="1058" t="s">
        <v>581</v>
      </c>
      <c r="AE1882" s="1059" t="e">
        <v>#N/A</v>
      </c>
      <c r="AF1882" s="889" t="s">
        <v>459</v>
      </c>
      <c r="AG1882" s="889" t="s">
        <v>459</v>
      </c>
    </row>
    <row r="1883" spans="26:33" x14ac:dyDescent="0.35">
      <c r="Z1883" s="344">
        <v>4621</v>
      </c>
      <c r="AA1883" s="344" t="s">
        <v>579</v>
      </c>
      <c r="AB1883" s="344">
        <v>4</v>
      </c>
      <c r="AC1883" s="344" t="s">
        <v>464</v>
      </c>
      <c r="AD1883" s="1058" t="s">
        <v>581</v>
      </c>
      <c r="AE1883" s="1059">
        <v>192170</v>
      </c>
      <c r="AF1883" s="889" t="s">
        <v>459</v>
      </c>
      <c r="AG1883" s="889" t="s">
        <v>459</v>
      </c>
    </row>
    <row r="1884" spans="26:33" x14ac:dyDescent="0.35">
      <c r="Z1884" s="344">
        <v>4625</v>
      </c>
      <c r="AA1884" s="344" t="s">
        <v>579</v>
      </c>
      <c r="AB1884" s="344">
        <v>4</v>
      </c>
      <c r="AC1884" s="344" t="s">
        <v>464</v>
      </c>
      <c r="AD1884" s="1058" t="s">
        <v>581</v>
      </c>
      <c r="AE1884" s="1059">
        <v>212430</v>
      </c>
      <c r="AF1884" s="889" t="s">
        <v>459</v>
      </c>
      <c r="AG1884" s="889" t="s">
        <v>459</v>
      </c>
    </row>
    <row r="1885" spans="26:33" x14ac:dyDescent="0.35">
      <c r="Z1885" s="344">
        <v>4626</v>
      </c>
      <c r="AA1885" s="344" t="s">
        <v>579</v>
      </c>
      <c r="AB1885" s="344">
        <v>4</v>
      </c>
      <c r="AC1885" s="344" t="s">
        <v>464</v>
      </c>
      <c r="AD1885" s="1058" t="s">
        <v>581</v>
      </c>
      <c r="AE1885" s="1059">
        <v>179857</v>
      </c>
      <c r="AF1885" s="889" t="s">
        <v>459</v>
      </c>
      <c r="AG1885" s="889" t="s">
        <v>459</v>
      </c>
    </row>
    <row r="1886" spans="26:33" x14ac:dyDescent="0.35">
      <c r="Z1886" s="344">
        <v>4627</v>
      </c>
      <c r="AA1886" s="344" t="s">
        <v>579</v>
      </c>
      <c r="AB1886" s="344">
        <v>4</v>
      </c>
      <c r="AC1886" s="344" t="s">
        <v>464</v>
      </c>
      <c r="AD1886" s="1058" t="s">
        <v>581</v>
      </c>
      <c r="AE1886" s="1059">
        <v>145027</v>
      </c>
      <c r="AF1886" s="889" t="s">
        <v>459</v>
      </c>
      <c r="AG1886" s="889" t="s">
        <v>459</v>
      </c>
    </row>
    <row r="1887" spans="26:33" x14ac:dyDescent="0.35">
      <c r="Z1887" s="344">
        <v>4630</v>
      </c>
      <c r="AA1887" s="344" t="s">
        <v>579</v>
      </c>
      <c r="AB1887" s="344">
        <v>4</v>
      </c>
      <c r="AC1887" s="344" t="s">
        <v>464</v>
      </c>
      <c r="AD1887" s="1058" t="s">
        <v>581</v>
      </c>
      <c r="AE1887" s="1059">
        <v>171317</v>
      </c>
      <c r="AF1887" s="889" t="s">
        <v>459</v>
      </c>
      <c r="AG1887" s="889" t="s">
        <v>459</v>
      </c>
    </row>
    <row r="1888" spans="26:33" x14ac:dyDescent="0.35">
      <c r="Z1888" s="344">
        <v>4650</v>
      </c>
      <c r="AA1888" s="344" t="s">
        <v>579</v>
      </c>
      <c r="AB1888" s="344">
        <v>2</v>
      </c>
      <c r="AC1888" s="344" t="s">
        <v>471</v>
      </c>
      <c r="AD1888" s="1058" t="s">
        <v>583</v>
      </c>
      <c r="AE1888" s="1059">
        <v>306726</v>
      </c>
      <c r="AF1888" s="889" t="s">
        <v>459</v>
      </c>
      <c r="AG1888" s="889" t="s">
        <v>459</v>
      </c>
    </row>
    <row r="1889" spans="26:33" x14ac:dyDescent="0.35">
      <c r="Z1889" s="344">
        <v>4655</v>
      </c>
      <c r="AA1889" s="344" t="s">
        <v>579</v>
      </c>
      <c r="AB1889" s="344">
        <v>2</v>
      </c>
      <c r="AC1889" s="344" t="s">
        <v>471</v>
      </c>
      <c r="AD1889" s="1058" t="s">
        <v>583</v>
      </c>
      <c r="AE1889" s="1059">
        <v>367393</v>
      </c>
      <c r="AF1889" s="889" t="s">
        <v>459</v>
      </c>
      <c r="AG1889" s="889" t="s">
        <v>459</v>
      </c>
    </row>
    <row r="1890" spans="26:33" x14ac:dyDescent="0.35">
      <c r="Z1890" s="344">
        <v>4659</v>
      </c>
      <c r="AA1890" s="344" t="s">
        <v>579</v>
      </c>
      <c r="AB1890" s="344">
        <v>4</v>
      </c>
      <c r="AC1890" s="344" t="s">
        <v>471</v>
      </c>
      <c r="AD1890" s="1058" t="s">
        <v>581</v>
      </c>
      <c r="AE1890" s="1059">
        <v>332902</v>
      </c>
      <c r="AF1890" s="889" t="s">
        <v>459</v>
      </c>
      <c r="AG1890" s="889" t="s">
        <v>459</v>
      </c>
    </row>
    <row r="1891" spans="26:33" x14ac:dyDescent="0.35">
      <c r="Z1891" s="344">
        <v>4660</v>
      </c>
      <c r="AA1891" s="344" t="s">
        <v>579</v>
      </c>
      <c r="AB1891" s="344">
        <v>4</v>
      </c>
      <c r="AC1891" s="344" t="s">
        <v>471</v>
      </c>
      <c r="AD1891" s="1058" t="s">
        <v>581</v>
      </c>
      <c r="AE1891" s="1059">
        <v>318946</v>
      </c>
      <c r="AF1891" s="889" t="s">
        <v>459</v>
      </c>
      <c r="AG1891" s="889" t="s">
        <v>459</v>
      </c>
    </row>
    <row r="1892" spans="26:33" x14ac:dyDescent="0.35">
      <c r="Z1892" s="344">
        <v>4662</v>
      </c>
      <c r="AA1892" s="344" t="s">
        <v>579</v>
      </c>
      <c r="AB1892" s="344">
        <v>4</v>
      </c>
      <c r="AC1892" s="344" t="s">
        <v>464</v>
      </c>
      <c r="AD1892" s="1058" t="s">
        <v>581</v>
      </c>
      <c r="AE1892" s="1059">
        <v>273111</v>
      </c>
      <c r="AF1892" s="889" t="s">
        <v>459</v>
      </c>
      <c r="AG1892" s="889" t="s">
        <v>459</v>
      </c>
    </row>
    <row r="1893" spans="26:33" x14ac:dyDescent="0.35">
      <c r="Z1893" s="344">
        <v>4670</v>
      </c>
      <c r="AA1893" s="344" t="s">
        <v>579</v>
      </c>
      <c r="AB1893" s="344">
        <v>2</v>
      </c>
      <c r="AC1893" s="344" t="s">
        <v>471</v>
      </c>
      <c r="AD1893" s="1058" t="s">
        <v>583</v>
      </c>
      <c r="AE1893" s="1059">
        <v>319471</v>
      </c>
      <c r="AF1893" s="889" t="s">
        <v>459</v>
      </c>
      <c r="AG1893" s="889" t="s">
        <v>459</v>
      </c>
    </row>
    <row r="1894" spans="26:33" x14ac:dyDescent="0.35">
      <c r="Z1894" s="344">
        <v>4671</v>
      </c>
      <c r="AA1894" s="344" t="s">
        <v>579</v>
      </c>
      <c r="AB1894" s="344">
        <v>4</v>
      </c>
      <c r="AC1894" s="344" t="s">
        <v>464</v>
      </c>
      <c r="AD1894" s="1058" t="s">
        <v>581</v>
      </c>
      <c r="AE1894" s="1059">
        <v>263160</v>
      </c>
      <c r="AF1894" s="889" t="s">
        <v>459</v>
      </c>
      <c r="AG1894" s="889" t="s">
        <v>459</v>
      </c>
    </row>
    <row r="1895" spans="26:33" x14ac:dyDescent="0.35">
      <c r="Z1895" s="344">
        <v>4673</v>
      </c>
      <c r="AA1895" s="344" t="s">
        <v>579</v>
      </c>
      <c r="AB1895" s="344">
        <v>4</v>
      </c>
      <c r="AC1895" s="344" t="s">
        <v>471</v>
      </c>
      <c r="AD1895" s="1058" t="s">
        <v>581</v>
      </c>
      <c r="AE1895" s="1059">
        <v>326401</v>
      </c>
      <c r="AF1895" s="889" t="s">
        <v>459</v>
      </c>
      <c r="AG1895" s="889" t="s">
        <v>459</v>
      </c>
    </row>
    <row r="1896" spans="26:33" x14ac:dyDescent="0.35">
      <c r="Z1896" s="344">
        <v>4674</v>
      </c>
      <c r="AA1896" s="344" t="s">
        <v>579</v>
      </c>
      <c r="AB1896" s="344">
        <v>4</v>
      </c>
      <c r="AC1896" s="344" t="s">
        <v>471</v>
      </c>
      <c r="AD1896" s="1058" t="s">
        <v>581</v>
      </c>
      <c r="AE1896" s="1059">
        <v>302536</v>
      </c>
      <c r="AF1896" s="889" t="s">
        <v>459</v>
      </c>
      <c r="AG1896" s="889" t="s">
        <v>459</v>
      </c>
    </row>
    <row r="1897" spans="26:33" x14ac:dyDescent="0.35">
      <c r="Z1897" s="344">
        <v>4676</v>
      </c>
      <c r="AA1897" s="344" t="s">
        <v>579</v>
      </c>
      <c r="AB1897" s="344">
        <v>4</v>
      </c>
      <c r="AC1897" s="344" t="e">
        <v>#N/A</v>
      </c>
      <c r="AD1897" s="1058" t="s">
        <v>581</v>
      </c>
      <c r="AE1897" s="1059" t="e">
        <v>#N/A</v>
      </c>
      <c r="AF1897" s="889" t="s">
        <v>459</v>
      </c>
      <c r="AG1897" s="889" t="s">
        <v>459</v>
      </c>
    </row>
    <row r="1898" spans="26:33" x14ac:dyDescent="0.35">
      <c r="Z1898" s="344">
        <v>4677</v>
      </c>
      <c r="AA1898" s="344" t="s">
        <v>579</v>
      </c>
      <c r="AB1898" s="344">
        <v>4</v>
      </c>
      <c r="AC1898" s="344" t="s">
        <v>457</v>
      </c>
      <c r="AD1898" s="1058" t="s">
        <v>581</v>
      </c>
      <c r="AE1898" s="1059">
        <v>510203</v>
      </c>
      <c r="AF1898" s="889" t="s">
        <v>459</v>
      </c>
      <c r="AG1898" s="889" t="s">
        <v>459</v>
      </c>
    </row>
    <row r="1899" spans="26:33" x14ac:dyDescent="0.35">
      <c r="Z1899" s="344">
        <v>4678</v>
      </c>
      <c r="AA1899" s="344" t="s">
        <v>579</v>
      </c>
      <c r="AB1899" s="344">
        <v>4</v>
      </c>
      <c r="AC1899" s="344" t="s">
        <v>471</v>
      </c>
      <c r="AD1899" s="1058" t="s">
        <v>581</v>
      </c>
      <c r="AE1899" s="1059">
        <v>351331</v>
      </c>
      <c r="AF1899" s="889" t="s">
        <v>459</v>
      </c>
      <c r="AG1899" s="889" t="s">
        <v>459</v>
      </c>
    </row>
    <row r="1900" spans="26:33" x14ac:dyDescent="0.35">
      <c r="Z1900" s="344">
        <v>4680</v>
      </c>
      <c r="AA1900" s="344" t="s">
        <v>579</v>
      </c>
      <c r="AB1900" s="344">
        <v>2</v>
      </c>
      <c r="AC1900" s="344" t="s">
        <v>471</v>
      </c>
      <c r="AD1900" s="1058" t="s">
        <v>583</v>
      </c>
      <c r="AE1900" s="1059">
        <v>414994</v>
      </c>
      <c r="AF1900" s="889" t="s">
        <v>460</v>
      </c>
      <c r="AG1900" s="889" t="s">
        <v>459</v>
      </c>
    </row>
    <row r="1901" spans="26:33" x14ac:dyDescent="0.35">
      <c r="Z1901" s="344">
        <v>4694</v>
      </c>
      <c r="AA1901" s="344" t="s">
        <v>579</v>
      </c>
      <c r="AB1901" s="344">
        <v>4</v>
      </c>
      <c r="AC1901" s="344" t="e">
        <v>#N/A</v>
      </c>
      <c r="AD1901" s="1058" t="s">
        <v>581</v>
      </c>
      <c r="AE1901" s="1059" t="e">
        <v>#N/A</v>
      </c>
      <c r="AF1901" s="889" t="s">
        <v>459</v>
      </c>
      <c r="AG1901" s="889" t="s">
        <v>459</v>
      </c>
    </row>
    <row r="1902" spans="26:33" x14ac:dyDescent="0.35">
      <c r="Z1902" s="344">
        <v>4695</v>
      </c>
      <c r="AA1902" s="344" t="s">
        <v>579</v>
      </c>
      <c r="AB1902" s="344">
        <v>4</v>
      </c>
      <c r="AC1902" s="344" t="s">
        <v>471</v>
      </c>
      <c r="AD1902" s="1058" t="s">
        <v>581</v>
      </c>
      <c r="AE1902" s="1059">
        <v>306529</v>
      </c>
      <c r="AF1902" s="889" t="s">
        <v>459</v>
      </c>
      <c r="AG1902" s="889" t="s">
        <v>459</v>
      </c>
    </row>
    <row r="1903" spans="26:33" x14ac:dyDescent="0.35">
      <c r="Z1903" s="344">
        <v>4697</v>
      </c>
      <c r="AA1903" s="344" t="s">
        <v>579</v>
      </c>
      <c r="AB1903" s="344">
        <v>4</v>
      </c>
      <c r="AC1903" s="344" t="e">
        <v>#N/A</v>
      </c>
      <c r="AD1903" s="1058" t="s">
        <v>581</v>
      </c>
      <c r="AE1903" s="1059" t="e">
        <v>#N/A</v>
      </c>
      <c r="AF1903" s="889" t="s">
        <v>459</v>
      </c>
      <c r="AG1903" s="889" t="s">
        <v>459</v>
      </c>
    </row>
    <row r="1904" spans="26:33" x14ac:dyDescent="0.35">
      <c r="Z1904" s="344">
        <v>4699</v>
      </c>
      <c r="AA1904" s="344" t="s">
        <v>579</v>
      </c>
      <c r="AB1904" s="344">
        <v>4</v>
      </c>
      <c r="AC1904" s="344" t="s">
        <v>471</v>
      </c>
      <c r="AD1904" s="1058" t="s">
        <v>581</v>
      </c>
      <c r="AE1904" s="1059">
        <v>333790</v>
      </c>
      <c r="AF1904" s="889" t="s">
        <v>459</v>
      </c>
      <c r="AG1904" s="889" t="s">
        <v>459</v>
      </c>
    </row>
    <row r="1905" spans="26:33" x14ac:dyDescent="0.35">
      <c r="Z1905" s="344">
        <v>4700</v>
      </c>
      <c r="AA1905" s="344" t="s">
        <v>579</v>
      </c>
      <c r="AB1905" s="344">
        <v>1</v>
      </c>
      <c r="AC1905" s="344" t="s">
        <v>471</v>
      </c>
      <c r="AD1905" s="1058" t="s">
        <v>580</v>
      </c>
      <c r="AE1905" s="1059">
        <v>311346</v>
      </c>
      <c r="AF1905" s="889" t="s">
        <v>269</v>
      </c>
      <c r="AG1905" s="889" t="s">
        <v>459</v>
      </c>
    </row>
    <row r="1906" spans="26:33" x14ac:dyDescent="0.35">
      <c r="Z1906" s="344">
        <v>4701</v>
      </c>
      <c r="AA1906" s="344" t="s">
        <v>579</v>
      </c>
      <c r="AB1906" s="344">
        <v>1</v>
      </c>
      <c r="AC1906" s="344" t="s">
        <v>471</v>
      </c>
      <c r="AD1906" s="1058" t="s">
        <v>580</v>
      </c>
      <c r="AE1906" s="1059">
        <v>343156</v>
      </c>
      <c r="AF1906" s="889" t="s">
        <v>459</v>
      </c>
      <c r="AG1906" s="889" t="s">
        <v>459</v>
      </c>
    </row>
    <row r="1907" spans="26:33" x14ac:dyDescent="0.35">
      <c r="Z1907" s="344">
        <v>4702</v>
      </c>
      <c r="AA1907" s="344" t="s">
        <v>579</v>
      </c>
      <c r="AB1907" s="344">
        <v>2</v>
      </c>
      <c r="AC1907" s="344" t="s">
        <v>471</v>
      </c>
      <c r="AD1907" s="1058" t="s">
        <v>583</v>
      </c>
      <c r="AE1907" s="1059">
        <v>359197</v>
      </c>
      <c r="AF1907" s="889" t="s">
        <v>460</v>
      </c>
      <c r="AG1907" s="889" t="s">
        <v>459</v>
      </c>
    </row>
    <row r="1908" spans="26:33" x14ac:dyDescent="0.35">
      <c r="Z1908" s="344">
        <v>4703</v>
      </c>
      <c r="AA1908" s="344" t="s">
        <v>579</v>
      </c>
      <c r="AB1908" s="344">
        <v>2</v>
      </c>
      <c r="AC1908" s="344" t="s">
        <v>457</v>
      </c>
      <c r="AD1908" s="1058" t="s">
        <v>583</v>
      </c>
      <c r="AE1908" s="1059">
        <v>494295</v>
      </c>
      <c r="AF1908" s="889" t="s">
        <v>459</v>
      </c>
      <c r="AG1908" s="889" t="s">
        <v>459</v>
      </c>
    </row>
    <row r="1909" spans="26:33" x14ac:dyDescent="0.35">
      <c r="Z1909" s="344">
        <v>4704</v>
      </c>
      <c r="AA1909" s="344" t="s">
        <v>579</v>
      </c>
      <c r="AB1909" s="344">
        <v>4</v>
      </c>
      <c r="AC1909" s="344" t="e">
        <v>#N/A</v>
      </c>
      <c r="AD1909" s="1058" t="s">
        <v>581</v>
      </c>
      <c r="AE1909" s="1059" t="e">
        <v>#N/A</v>
      </c>
      <c r="AF1909" s="889" t="s">
        <v>459</v>
      </c>
      <c r="AG1909" s="889" t="s">
        <v>459</v>
      </c>
    </row>
    <row r="1910" spans="26:33" x14ac:dyDescent="0.35">
      <c r="Z1910" s="344">
        <v>4705</v>
      </c>
      <c r="AA1910" s="344" t="s">
        <v>579</v>
      </c>
      <c r="AB1910" s="344">
        <v>4</v>
      </c>
      <c r="AC1910" s="344" t="e">
        <v>#N/A</v>
      </c>
      <c r="AD1910" s="1058" t="s">
        <v>581</v>
      </c>
      <c r="AE1910" s="1059" t="e">
        <v>#N/A</v>
      </c>
      <c r="AF1910" s="889" t="s">
        <v>459</v>
      </c>
      <c r="AG1910" s="889" t="s">
        <v>459</v>
      </c>
    </row>
    <row r="1911" spans="26:33" x14ac:dyDescent="0.35">
      <c r="Z1911" s="344">
        <v>4706</v>
      </c>
      <c r="AA1911" s="344" t="s">
        <v>579</v>
      </c>
      <c r="AB1911" s="344">
        <v>4</v>
      </c>
      <c r="AC1911" s="344" t="e">
        <v>#N/A</v>
      </c>
      <c r="AD1911" s="1058" t="s">
        <v>581</v>
      </c>
      <c r="AE1911" s="1059" t="e">
        <v>#N/A</v>
      </c>
      <c r="AF1911" s="889" t="s">
        <v>459</v>
      </c>
      <c r="AG1911" s="889" t="s">
        <v>459</v>
      </c>
    </row>
    <row r="1912" spans="26:33" x14ac:dyDescent="0.35">
      <c r="Z1912" s="344">
        <v>4707</v>
      </c>
      <c r="AA1912" s="344" t="s">
        <v>579</v>
      </c>
      <c r="AB1912" s="344">
        <v>4</v>
      </c>
      <c r="AC1912" s="344" t="s">
        <v>464</v>
      </c>
      <c r="AD1912" s="1058" t="s">
        <v>581</v>
      </c>
      <c r="AE1912" s="1059">
        <v>178944</v>
      </c>
      <c r="AF1912" s="889" t="s">
        <v>459</v>
      </c>
      <c r="AG1912" s="889" t="s">
        <v>459</v>
      </c>
    </row>
    <row r="1913" spans="26:33" x14ac:dyDescent="0.35">
      <c r="Z1913" s="344">
        <v>4709</v>
      </c>
      <c r="AA1913" s="344" t="s">
        <v>579</v>
      </c>
      <c r="AB1913" s="344">
        <v>4</v>
      </c>
      <c r="AC1913" s="344" t="e">
        <v>#N/A</v>
      </c>
      <c r="AD1913" s="1058" t="s">
        <v>581</v>
      </c>
      <c r="AE1913" s="1059" t="e">
        <v>#N/A</v>
      </c>
      <c r="AF1913" s="889" t="s">
        <v>459</v>
      </c>
      <c r="AG1913" s="889" t="s">
        <v>459</v>
      </c>
    </row>
    <row r="1914" spans="26:33" x14ac:dyDescent="0.35">
      <c r="Z1914" s="344">
        <v>4710</v>
      </c>
      <c r="AA1914" s="344" t="s">
        <v>579</v>
      </c>
      <c r="AB1914" s="344">
        <v>2</v>
      </c>
      <c r="AC1914" s="344" t="s">
        <v>471</v>
      </c>
      <c r="AD1914" s="1058" t="s">
        <v>583</v>
      </c>
      <c r="AE1914" s="1059">
        <v>343354</v>
      </c>
      <c r="AF1914" s="889" t="s">
        <v>459</v>
      </c>
      <c r="AG1914" s="889" t="s">
        <v>459</v>
      </c>
    </row>
    <row r="1915" spans="26:33" x14ac:dyDescent="0.35">
      <c r="Z1915" s="344">
        <v>4711</v>
      </c>
      <c r="AA1915" s="344" t="s">
        <v>579</v>
      </c>
      <c r="AB1915" s="344">
        <v>1</v>
      </c>
      <c r="AC1915" s="344" t="s">
        <v>457</v>
      </c>
      <c r="AD1915" s="1058" t="s">
        <v>580</v>
      </c>
      <c r="AE1915" s="1059">
        <v>507166</v>
      </c>
      <c r="AF1915" s="889" t="s">
        <v>459</v>
      </c>
      <c r="AG1915" s="889" t="s">
        <v>459</v>
      </c>
    </row>
    <row r="1916" spans="26:33" x14ac:dyDescent="0.35">
      <c r="Z1916" s="344">
        <v>4712</v>
      </c>
      <c r="AA1916" s="344" t="s">
        <v>579</v>
      </c>
      <c r="AB1916" s="344">
        <v>4</v>
      </c>
      <c r="AC1916" s="344" t="e">
        <v>#N/A</v>
      </c>
      <c r="AD1916" s="1058" t="s">
        <v>581</v>
      </c>
      <c r="AE1916" s="1059" t="e">
        <v>#N/A</v>
      </c>
      <c r="AF1916" s="889" t="s">
        <v>459</v>
      </c>
      <c r="AG1916" s="889" t="s">
        <v>459</v>
      </c>
    </row>
    <row r="1917" spans="26:33" x14ac:dyDescent="0.35">
      <c r="Z1917" s="344">
        <v>4713</v>
      </c>
      <c r="AA1917" s="344" t="s">
        <v>579</v>
      </c>
      <c r="AB1917" s="344">
        <v>4</v>
      </c>
      <c r="AC1917" s="344" t="e">
        <v>#N/A</v>
      </c>
      <c r="AD1917" s="1058" t="s">
        <v>581</v>
      </c>
      <c r="AE1917" s="1059" t="e">
        <v>#N/A</v>
      </c>
      <c r="AF1917" s="889" t="s">
        <v>459</v>
      </c>
      <c r="AG1917" s="889" t="s">
        <v>459</v>
      </c>
    </row>
    <row r="1918" spans="26:33" x14ac:dyDescent="0.35">
      <c r="Z1918" s="344">
        <v>4714</v>
      </c>
      <c r="AA1918" s="344" t="s">
        <v>579</v>
      </c>
      <c r="AB1918" s="344">
        <v>4</v>
      </c>
      <c r="AC1918" s="344" t="s">
        <v>464</v>
      </c>
      <c r="AD1918" s="1058" t="s">
        <v>581</v>
      </c>
      <c r="AE1918" s="1059">
        <v>150777</v>
      </c>
      <c r="AF1918" s="889" t="s">
        <v>459</v>
      </c>
      <c r="AG1918" s="889" t="s">
        <v>459</v>
      </c>
    </row>
    <row r="1919" spans="26:33" x14ac:dyDescent="0.35">
      <c r="Z1919" s="344">
        <v>4715</v>
      </c>
      <c r="AA1919" s="344" t="s">
        <v>579</v>
      </c>
      <c r="AB1919" s="344">
        <v>4</v>
      </c>
      <c r="AC1919" s="344" t="s">
        <v>471</v>
      </c>
      <c r="AD1919" s="1058" t="s">
        <v>581</v>
      </c>
      <c r="AE1919" s="1059">
        <v>353775</v>
      </c>
      <c r="AF1919" s="889" t="s">
        <v>459</v>
      </c>
      <c r="AG1919" s="889" t="s">
        <v>459</v>
      </c>
    </row>
    <row r="1920" spans="26:33" x14ac:dyDescent="0.35">
      <c r="Z1920" s="344">
        <v>4716</v>
      </c>
      <c r="AA1920" s="344" t="s">
        <v>579</v>
      </c>
      <c r="AB1920" s="344">
        <v>4</v>
      </c>
      <c r="AC1920" s="344" t="s">
        <v>464</v>
      </c>
      <c r="AD1920" s="1058" t="s">
        <v>581</v>
      </c>
      <c r="AE1920" s="1059">
        <v>229935</v>
      </c>
      <c r="AF1920" s="889" t="s">
        <v>459</v>
      </c>
      <c r="AG1920" s="889" t="s">
        <v>459</v>
      </c>
    </row>
    <row r="1921" spans="26:33" x14ac:dyDescent="0.35">
      <c r="Z1921" s="344">
        <v>4717</v>
      </c>
      <c r="AA1921" s="344" t="s">
        <v>579</v>
      </c>
      <c r="AB1921" s="344">
        <v>4</v>
      </c>
      <c r="AC1921" s="344" t="s">
        <v>471</v>
      </c>
      <c r="AD1921" s="1058" t="s">
        <v>581</v>
      </c>
      <c r="AE1921" s="1059">
        <v>365628</v>
      </c>
      <c r="AF1921" s="889" t="s">
        <v>459</v>
      </c>
      <c r="AG1921" s="889" t="s">
        <v>459</v>
      </c>
    </row>
    <row r="1922" spans="26:33" x14ac:dyDescent="0.35">
      <c r="Z1922" s="344">
        <v>4718</v>
      </c>
      <c r="AA1922" s="344" t="s">
        <v>579</v>
      </c>
      <c r="AB1922" s="344">
        <v>4</v>
      </c>
      <c r="AC1922" s="344" t="s">
        <v>471</v>
      </c>
      <c r="AD1922" s="1058" t="s">
        <v>581</v>
      </c>
      <c r="AE1922" s="1059">
        <v>364888</v>
      </c>
      <c r="AF1922" s="889" t="s">
        <v>459</v>
      </c>
      <c r="AG1922" s="889" t="s">
        <v>459</v>
      </c>
    </row>
    <row r="1923" spans="26:33" x14ac:dyDescent="0.35">
      <c r="Z1923" s="344">
        <v>4719</v>
      </c>
      <c r="AA1923" s="344" t="s">
        <v>579</v>
      </c>
      <c r="AB1923" s="344">
        <v>4</v>
      </c>
      <c r="AC1923" s="344" t="s">
        <v>464</v>
      </c>
      <c r="AD1923" s="1058" t="s">
        <v>581</v>
      </c>
      <c r="AE1923" s="1059">
        <v>228685</v>
      </c>
      <c r="AF1923" s="889" t="s">
        <v>459</v>
      </c>
      <c r="AG1923" s="889" t="s">
        <v>459</v>
      </c>
    </row>
    <row r="1924" spans="26:33" x14ac:dyDescent="0.35">
      <c r="Z1924" s="344">
        <v>4720</v>
      </c>
      <c r="AA1924" s="344" t="s">
        <v>579</v>
      </c>
      <c r="AB1924" s="344">
        <v>2</v>
      </c>
      <c r="AC1924" s="344" t="s">
        <v>471</v>
      </c>
      <c r="AD1924" s="1058" t="s">
        <v>583</v>
      </c>
      <c r="AE1924" s="1059">
        <v>372836</v>
      </c>
      <c r="AF1924" s="889" t="s">
        <v>460</v>
      </c>
      <c r="AG1924" s="889" t="s">
        <v>459</v>
      </c>
    </row>
    <row r="1925" spans="26:33" x14ac:dyDescent="0.35">
      <c r="Z1925" s="344">
        <v>4721</v>
      </c>
      <c r="AA1925" s="344" t="s">
        <v>579</v>
      </c>
      <c r="AB1925" s="344">
        <v>4</v>
      </c>
      <c r="AC1925" s="344" t="s">
        <v>471</v>
      </c>
      <c r="AD1925" s="1058" t="s">
        <v>581</v>
      </c>
      <c r="AE1925" s="1059">
        <v>354157</v>
      </c>
      <c r="AF1925" s="889" t="s">
        <v>459</v>
      </c>
      <c r="AG1925" s="889" t="s">
        <v>459</v>
      </c>
    </row>
    <row r="1926" spans="26:33" x14ac:dyDescent="0.35">
      <c r="Z1926" s="344">
        <v>4722</v>
      </c>
      <c r="AA1926" s="344" t="s">
        <v>579</v>
      </c>
      <c r="AB1926" s="344">
        <v>4</v>
      </c>
      <c r="AC1926" s="344" t="s">
        <v>464</v>
      </c>
      <c r="AD1926" s="1058" t="s">
        <v>581</v>
      </c>
      <c r="AE1926" s="1059">
        <v>266262</v>
      </c>
      <c r="AF1926" s="889" t="s">
        <v>459</v>
      </c>
      <c r="AG1926" s="889" t="s">
        <v>459</v>
      </c>
    </row>
    <row r="1927" spans="26:33" x14ac:dyDescent="0.35">
      <c r="Z1927" s="344">
        <v>4723</v>
      </c>
      <c r="AA1927" s="344" t="s">
        <v>579</v>
      </c>
      <c r="AB1927" s="344">
        <v>4</v>
      </c>
      <c r="AC1927" s="344" t="s">
        <v>471</v>
      </c>
      <c r="AD1927" s="1058" t="s">
        <v>581</v>
      </c>
      <c r="AE1927" s="1059">
        <v>304414</v>
      </c>
      <c r="AF1927" s="889" t="s">
        <v>459</v>
      </c>
      <c r="AG1927" s="889" t="s">
        <v>459</v>
      </c>
    </row>
    <row r="1928" spans="26:33" x14ac:dyDescent="0.35">
      <c r="Z1928" s="344">
        <v>4724</v>
      </c>
      <c r="AA1928" s="344" t="s">
        <v>579</v>
      </c>
      <c r="AB1928" s="344">
        <v>4</v>
      </c>
      <c r="AC1928" s="344" t="s">
        <v>464</v>
      </c>
      <c r="AD1928" s="1058" t="s">
        <v>581</v>
      </c>
      <c r="AE1928" s="1059">
        <v>255832</v>
      </c>
      <c r="AF1928" s="889" t="s">
        <v>459</v>
      </c>
      <c r="AG1928" s="889" t="s">
        <v>459</v>
      </c>
    </row>
    <row r="1929" spans="26:33" x14ac:dyDescent="0.35">
      <c r="Z1929" s="344">
        <v>4725</v>
      </c>
      <c r="AA1929" s="344" t="s">
        <v>579</v>
      </c>
      <c r="AB1929" s="344">
        <v>4</v>
      </c>
      <c r="AC1929" s="344" t="s">
        <v>464</v>
      </c>
      <c r="AD1929" s="1058" t="s">
        <v>581</v>
      </c>
      <c r="AE1929" s="1059">
        <v>235493</v>
      </c>
      <c r="AF1929" s="889" t="s">
        <v>459</v>
      </c>
      <c r="AG1929" s="889" t="s">
        <v>459</v>
      </c>
    </row>
    <row r="1930" spans="26:33" x14ac:dyDescent="0.35">
      <c r="Z1930" s="344">
        <v>4726</v>
      </c>
      <c r="AA1930" s="344" t="s">
        <v>579</v>
      </c>
      <c r="AB1930" s="344">
        <v>4</v>
      </c>
      <c r="AC1930" s="344" t="s">
        <v>464</v>
      </c>
      <c r="AD1930" s="1058" t="s">
        <v>581</v>
      </c>
      <c r="AE1930" s="1059">
        <v>120765</v>
      </c>
      <c r="AF1930" s="889" t="s">
        <v>459</v>
      </c>
      <c r="AG1930" s="889" t="s">
        <v>459</v>
      </c>
    </row>
    <row r="1931" spans="26:33" x14ac:dyDescent="0.35">
      <c r="Z1931" s="344">
        <v>4727</v>
      </c>
      <c r="AA1931" s="344" t="s">
        <v>579</v>
      </c>
      <c r="AB1931" s="344">
        <v>4</v>
      </c>
      <c r="AC1931" s="344" t="s">
        <v>464</v>
      </c>
      <c r="AD1931" s="1058" t="s">
        <v>581</v>
      </c>
      <c r="AE1931" s="1059">
        <v>171763</v>
      </c>
      <c r="AF1931" s="889" t="s">
        <v>459</v>
      </c>
      <c r="AG1931" s="889" t="s">
        <v>459</v>
      </c>
    </row>
    <row r="1932" spans="26:33" x14ac:dyDescent="0.35">
      <c r="Z1932" s="344">
        <v>4728</v>
      </c>
      <c r="AA1932" s="344" t="s">
        <v>579</v>
      </c>
      <c r="AB1932" s="344">
        <v>4</v>
      </c>
      <c r="AC1932" s="344" t="s">
        <v>464</v>
      </c>
      <c r="AD1932" s="1058" t="s">
        <v>581</v>
      </c>
      <c r="AE1932" s="1059">
        <v>120163</v>
      </c>
      <c r="AF1932" s="889" t="s">
        <v>459</v>
      </c>
      <c r="AG1932" s="889" t="s">
        <v>459</v>
      </c>
    </row>
    <row r="1933" spans="26:33" x14ac:dyDescent="0.35">
      <c r="Z1933" s="344">
        <v>4730</v>
      </c>
      <c r="AA1933" s="344" t="s">
        <v>579</v>
      </c>
      <c r="AB1933" s="344">
        <v>4</v>
      </c>
      <c r="AC1933" s="344" t="s">
        <v>464</v>
      </c>
      <c r="AD1933" s="1058" t="s">
        <v>581</v>
      </c>
      <c r="AE1933" s="1059">
        <v>269850</v>
      </c>
      <c r="AF1933" s="889" t="s">
        <v>459</v>
      </c>
      <c r="AG1933" s="889" t="s">
        <v>459</v>
      </c>
    </row>
    <row r="1934" spans="26:33" x14ac:dyDescent="0.35">
      <c r="Z1934" s="344">
        <v>4731</v>
      </c>
      <c r="AA1934" s="344" t="s">
        <v>579</v>
      </c>
      <c r="AB1934" s="344">
        <v>4</v>
      </c>
      <c r="AC1934" s="344" t="s">
        <v>464</v>
      </c>
      <c r="AD1934" s="1058" t="s">
        <v>581</v>
      </c>
      <c r="AE1934" s="1059">
        <v>94575</v>
      </c>
      <c r="AF1934" s="889" t="s">
        <v>459</v>
      </c>
      <c r="AG1934" s="889" t="s">
        <v>459</v>
      </c>
    </row>
    <row r="1935" spans="26:33" x14ac:dyDescent="0.35">
      <c r="Z1935" s="344">
        <v>4732</v>
      </c>
      <c r="AA1935" s="344" t="s">
        <v>579</v>
      </c>
      <c r="AB1935" s="344">
        <v>4</v>
      </c>
      <c r="AC1935" s="344" t="e">
        <v>#N/A</v>
      </c>
      <c r="AD1935" s="1058" t="s">
        <v>581</v>
      </c>
      <c r="AE1935" s="1059" t="e">
        <v>#N/A</v>
      </c>
      <c r="AF1935" s="889" t="s">
        <v>459</v>
      </c>
      <c r="AG1935" s="889" t="s">
        <v>459</v>
      </c>
    </row>
    <row r="1936" spans="26:33" x14ac:dyDescent="0.35">
      <c r="Z1936" s="344">
        <v>4733</v>
      </c>
      <c r="AA1936" s="344" t="s">
        <v>579</v>
      </c>
      <c r="AB1936" s="344">
        <v>4</v>
      </c>
      <c r="AC1936" s="344" t="e">
        <v>#N/A</v>
      </c>
      <c r="AD1936" s="1058" t="s">
        <v>581</v>
      </c>
      <c r="AE1936" s="1059" t="e">
        <v>#N/A</v>
      </c>
      <c r="AF1936" s="889" t="s">
        <v>459</v>
      </c>
      <c r="AG1936" s="889" t="s">
        <v>459</v>
      </c>
    </row>
    <row r="1937" spans="26:33" x14ac:dyDescent="0.35">
      <c r="Z1937" s="344">
        <v>4735</v>
      </c>
      <c r="AA1937" s="344" t="s">
        <v>579</v>
      </c>
      <c r="AB1937" s="344">
        <v>4</v>
      </c>
      <c r="AC1937" s="344" t="s">
        <v>464</v>
      </c>
      <c r="AD1937" s="1058" t="s">
        <v>581</v>
      </c>
      <c r="AE1937" s="1059">
        <v>162272</v>
      </c>
      <c r="AF1937" s="889" t="s">
        <v>459</v>
      </c>
      <c r="AG1937" s="889" t="s">
        <v>459</v>
      </c>
    </row>
    <row r="1938" spans="26:33" x14ac:dyDescent="0.35">
      <c r="Z1938" s="344">
        <v>4736</v>
      </c>
      <c r="AA1938" s="344" t="s">
        <v>579</v>
      </c>
      <c r="AB1938" s="344">
        <v>4</v>
      </c>
      <c r="AC1938" s="344" t="e">
        <v>#N/A</v>
      </c>
      <c r="AD1938" s="1058" t="s">
        <v>581</v>
      </c>
      <c r="AE1938" s="1059" t="e">
        <v>#N/A</v>
      </c>
      <c r="AF1938" s="889" t="s">
        <v>459</v>
      </c>
      <c r="AG1938" s="889" t="s">
        <v>459</v>
      </c>
    </row>
    <row r="1939" spans="26:33" x14ac:dyDescent="0.35">
      <c r="Z1939" s="344">
        <v>4737</v>
      </c>
      <c r="AA1939" s="344" t="s">
        <v>579</v>
      </c>
      <c r="AB1939" s="344">
        <v>3</v>
      </c>
      <c r="AC1939" s="344" t="s">
        <v>471</v>
      </c>
      <c r="AD1939" s="1058" t="s">
        <v>582</v>
      </c>
      <c r="AE1939" s="1059">
        <v>410810</v>
      </c>
      <c r="AF1939" s="889" t="s">
        <v>460</v>
      </c>
      <c r="AG1939" s="889" t="s">
        <v>459</v>
      </c>
    </row>
    <row r="1940" spans="26:33" x14ac:dyDescent="0.35">
      <c r="Z1940" s="344">
        <v>4738</v>
      </c>
      <c r="AA1940" s="344" t="s">
        <v>579</v>
      </c>
      <c r="AB1940" s="344">
        <v>4</v>
      </c>
      <c r="AC1940" s="344" t="s">
        <v>471</v>
      </c>
      <c r="AD1940" s="1058" t="s">
        <v>581</v>
      </c>
      <c r="AE1940" s="1059">
        <v>322532</v>
      </c>
      <c r="AF1940" s="889" t="s">
        <v>459</v>
      </c>
      <c r="AG1940" s="889" t="s">
        <v>459</v>
      </c>
    </row>
    <row r="1941" spans="26:33" x14ac:dyDescent="0.35">
      <c r="Z1941" s="344">
        <v>4739</v>
      </c>
      <c r="AA1941" s="344" t="s">
        <v>579</v>
      </c>
      <c r="AB1941" s="344">
        <v>4</v>
      </c>
      <c r="AC1941" s="344" t="s">
        <v>464</v>
      </c>
      <c r="AD1941" s="1058" t="s">
        <v>581</v>
      </c>
      <c r="AE1941" s="1059">
        <v>257265</v>
      </c>
      <c r="AF1941" s="889" t="s">
        <v>459</v>
      </c>
      <c r="AG1941" s="889" t="s">
        <v>459</v>
      </c>
    </row>
    <row r="1942" spans="26:33" x14ac:dyDescent="0.35">
      <c r="Z1942" s="344">
        <v>4740</v>
      </c>
      <c r="AA1942" s="344" t="s">
        <v>579</v>
      </c>
      <c r="AB1942" s="344">
        <v>1</v>
      </c>
      <c r="AC1942" s="344" t="s">
        <v>457</v>
      </c>
      <c r="AD1942" s="1058" t="s">
        <v>580</v>
      </c>
      <c r="AE1942" s="1059">
        <v>480827</v>
      </c>
      <c r="AF1942" s="889" t="s">
        <v>459</v>
      </c>
      <c r="AG1942" s="889" t="s">
        <v>459</v>
      </c>
    </row>
    <row r="1943" spans="26:33" x14ac:dyDescent="0.35">
      <c r="Z1943" s="344">
        <v>4741</v>
      </c>
      <c r="AA1943" s="344" t="s">
        <v>579</v>
      </c>
      <c r="AB1943" s="344">
        <v>4</v>
      </c>
      <c r="AC1943" s="344" t="s">
        <v>471</v>
      </c>
      <c r="AD1943" s="1058" t="s">
        <v>581</v>
      </c>
      <c r="AE1943" s="1059">
        <v>421912</v>
      </c>
      <c r="AF1943" s="889" t="s">
        <v>459</v>
      </c>
      <c r="AG1943" s="889" t="s">
        <v>459</v>
      </c>
    </row>
    <row r="1944" spans="26:33" x14ac:dyDescent="0.35">
      <c r="Z1944" s="344">
        <v>4742</v>
      </c>
      <c r="AA1944" s="344" t="s">
        <v>579</v>
      </c>
      <c r="AB1944" s="344">
        <v>4</v>
      </c>
      <c r="AC1944" s="344" t="s">
        <v>471</v>
      </c>
      <c r="AD1944" s="1058" t="s">
        <v>581</v>
      </c>
      <c r="AE1944" s="1059">
        <v>323228</v>
      </c>
      <c r="AF1944" s="889" t="s">
        <v>459</v>
      </c>
      <c r="AG1944" s="889" t="s">
        <v>459</v>
      </c>
    </row>
    <row r="1945" spans="26:33" x14ac:dyDescent="0.35">
      <c r="Z1945" s="344">
        <v>4743</v>
      </c>
      <c r="AA1945" s="344" t="s">
        <v>579</v>
      </c>
      <c r="AB1945" s="344">
        <v>4</v>
      </c>
      <c r="AC1945" s="344" t="e">
        <v>#N/A</v>
      </c>
      <c r="AD1945" s="1058" t="s">
        <v>581</v>
      </c>
      <c r="AE1945" s="1059" t="e">
        <v>#N/A</v>
      </c>
      <c r="AF1945" s="889" t="s">
        <v>459</v>
      </c>
      <c r="AG1945" s="889" t="s">
        <v>459</v>
      </c>
    </row>
    <row r="1946" spans="26:33" x14ac:dyDescent="0.35">
      <c r="Z1946" s="344">
        <v>4744</v>
      </c>
      <c r="AA1946" s="344" t="s">
        <v>579</v>
      </c>
      <c r="AB1946" s="344">
        <v>3</v>
      </c>
      <c r="AC1946" s="344" t="s">
        <v>471</v>
      </c>
      <c r="AD1946" s="1058" t="s">
        <v>582</v>
      </c>
      <c r="AE1946" s="1059">
        <v>444632</v>
      </c>
      <c r="AF1946" s="889" t="s">
        <v>459</v>
      </c>
      <c r="AG1946" s="889" t="s">
        <v>459</v>
      </c>
    </row>
    <row r="1947" spans="26:33" x14ac:dyDescent="0.35">
      <c r="Z1947" s="344">
        <v>4745</v>
      </c>
      <c r="AA1947" s="344" t="s">
        <v>579</v>
      </c>
      <c r="AB1947" s="344">
        <v>4</v>
      </c>
      <c r="AC1947" s="344" t="s">
        <v>471</v>
      </c>
      <c r="AD1947" s="1058" t="s">
        <v>581</v>
      </c>
      <c r="AE1947" s="1059">
        <v>362398</v>
      </c>
      <c r="AF1947" s="889" t="s">
        <v>459</v>
      </c>
      <c r="AG1947" s="889" t="s">
        <v>459</v>
      </c>
    </row>
    <row r="1948" spans="26:33" x14ac:dyDescent="0.35">
      <c r="Z1948" s="344">
        <v>4746</v>
      </c>
      <c r="AA1948" s="344" t="s">
        <v>579</v>
      </c>
      <c r="AB1948" s="344">
        <v>4</v>
      </c>
      <c r="AC1948" s="344" t="s">
        <v>471</v>
      </c>
      <c r="AD1948" s="1058" t="s">
        <v>581</v>
      </c>
      <c r="AE1948" s="1059">
        <v>400698</v>
      </c>
      <c r="AF1948" s="889" t="s">
        <v>459</v>
      </c>
      <c r="AG1948" s="889" t="s">
        <v>459</v>
      </c>
    </row>
    <row r="1949" spans="26:33" x14ac:dyDescent="0.35">
      <c r="Z1949" s="344">
        <v>4750</v>
      </c>
      <c r="AA1949" s="344" t="s">
        <v>579</v>
      </c>
      <c r="AB1949" s="344">
        <v>1</v>
      </c>
      <c r="AC1949" s="344" t="s">
        <v>471</v>
      </c>
      <c r="AD1949" s="1058" t="s">
        <v>580</v>
      </c>
      <c r="AE1949" s="1059">
        <v>423558</v>
      </c>
      <c r="AF1949" s="889" t="s">
        <v>459</v>
      </c>
      <c r="AG1949" s="889" t="s">
        <v>459</v>
      </c>
    </row>
    <row r="1950" spans="26:33" x14ac:dyDescent="0.35">
      <c r="Z1950" s="344">
        <v>4751</v>
      </c>
      <c r="AA1950" s="344" t="s">
        <v>579</v>
      </c>
      <c r="AB1950" s="344">
        <v>1</v>
      </c>
      <c r="AC1950" s="344" t="s">
        <v>457</v>
      </c>
      <c r="AD1950" s="1058" t="s">
        <v>580</v>
      </c>
      <c r="AE1950" s="1059">
        <v>484623</v>
      </c>
      <c r="AF1950" s="889" t="s">
        <v>459</v>
      </c>
      <c r="AG1950" s="889" t="s">
        <v>459</v>
      </c>
    </row>
    <row r="1951" spans="26:33" x14ac:dyDescent="0.35">
      <c r="Z1951" s="344">
        <v>4753</v>
      </c>
      <c r="AA1951" s="344" t="s">
        <v>579</v>
      </c>
      <c r="AB1951" s="344">
        <v>3</v>
      </c>
      <c r="AC1951" s="344" t="s">
        <v>457</v>
      </c>
      <c r="AD1951" s="1058" t="s">
        <v>582</v>
      </c>
      <c r="AE1951" s="1059">
        <v>453036</v>
      </c>
      <c r="AF1951" s="889" t="s">
        <v>459</v>
      </c>
      <c r="AG1951" s="889" t="s">
        <v>459</v>
      </c>
    </row>
    <row r="1952" spans="26:33" x14ac:dyDescent="0.35">
      <c r="Z1952" s="344">
        <v>4754</v>
      </c>
      <c r="AA1952" s="344" t="s">
        <v>579</v>
      </c>
      <c r="AB1952" s="344">
        <v>4</v>
      </c>
      <c r="AC1952" s="344" t="s">
        <v>471</v>
      </c>
      <c r="AD1952" s="1058" t="s">
        <v>581</v>
      </c>
      <c r="AE1952" s="1059">
        <v>371083</v>
      </c>
      <c r="AF1952" s="889" t="s">
        <v>459</v>
      </c>
      <c r="AG1952" s="889" t="s">
        <v>459</v>
      </c>
    </row>
    <row r="1953" spans="26:33" x14ac:dyDescent="0.35">
      <c r="Z1953" s="344">
        <v>4756</v>
      </c>
      <c r="AA1953" s="344" t="s">
        <v>579</v>
      </c>
      <c r="AB1953" s="344">
        <v>4</v>
      </c>
      <c r="AC1953" s="344" t="s">
        <v>464</v>
      </c>
      <c r="AD1953" s="1058" t="s">
        <v>581</v>
      </c>
      <c r="AE1953" s="1059">
        <v>246473</v>
      </c>
      <c r="AF1953" s="889" t="s">
        <v>459</v>
      </c>
      <c r="AG1953" s="889" t="s">
        <v>459</v>
      </c>
    </row>
    <row r="1954" spans="26:33" x14ac:dyDescent="0.35">
      <c r="Z1954" s="344">
        <v>4757</v>
      </c>
      <c r="AA1954" s="344" t="s">
        <v>579</v>
      </c>
      <c r="AB1954" s="344">
        <v>4</v>
      </c>
      <c r="AC1954" s="344" t="s">
        <v>464</v>
      </c>
      <c r="AD1954" s="1058" t="s">
        <v>581</v>
      </c>
      <c r="AE1954" s="1059">
        <v>283403</v>
      </c>
      <c r="AF1954" s="889" t="s">
        <v>459</v>
      </c>
      <c r="AG1954" s="889" t="s">
        <v>459</v>
      </c>
    </row>
    <row r="1955" spans="26:33" x14ac:dyDescent="0.35">
      <c r="Z1955" s="344">
        <v>4798</v>
      </c>
      <c r="AA1955" s="344" t="s">
        <v>579</v>
      </c>
      <c r="AB1955" s="344">
        <v>4</v>
      </c>
      <c r="AC1955" s="344" t="s">
        <v>471</v>
      </c>
      <c r="AD1955" s="1058" t="s">
        <v>581</v>
      </c>
      <c r="AE1955" s="1059">
        <v>310397</v>
      </c>
      <c r="AF1955" s="889" t="s">
        <v>459</v>
      </c>
      <c r="AG1955" s="889" t="s">
        <v>459</v>
      </c>
    </row>
    <row r="1956" spans="26:33" x14ac:dyDescent="0.35">
      <c r="Z1956" s="344">
        <v>4799</v>
      </c>
      <c r="AA1956" s="344" t="s">
        <v>579</v>
      </c>
      <c r="AB1956" s="344">
        <v>4</v>
      </c>
      <c r="AC1956" s="344" t="s">
        <v>471</v>
      </c>
      <c r="AD1956" s="1058" t="s">
        <v>581</v>
      </c>
      <c r="AE1956" s="1059">
        <v>338734</v>
      </c>
      <c r="AF1956" s="889" t="s">
        <v>459</v>
      </c>
      <c r="AG1956" s="889" t="s">
        <v>459</v>
      </c>
    </row>
    <row r="1957" spans="26:33" x14ac:dyDescent="0.35">
      <c r="Z1957" s="344">
        <v>4800</v>
      </c>
      <c r="AA1957" s="344" t="s">
        <v>579</v>
      </c>
      <c r="AB1957" s="344">
        <v>3</v>
      </c>
      <c r="AC1957" s="344" t="s">
        <v>457</v>
      </c>
      <c r="AD1957" s="1058" t="s">
        <v>582</v>
      </c>
      <c r="AE1957" s="1059">
        <v>452742</v>
      </c>
      <c r="AF1957" s="889" t="s">
        <v>459</v>
      </c>
      <c r="AG1957" s="889" t="s">
        <v>459</v>
      </c>
    </row>
    <row r="1958" spans="26:33" x14ac:dyDescent="0.35">
      <c r="Z1958" s="344">
        <v>4801</v>
      </c>
      <c r="AA1958" s="344" t="s">
        <v>579</v>
      </c>
      <c r="AB1958" s="344">
        <v>4</v>
      </c>
      <c r="AC1958" s="344" t="e">
        <v>#N/A</v>
      </c>
      <c r="AD1958" s="1058" t="s">
        <v>581</v>
      </c>
      <c r="AE1958" s="1059" t="e">
        <v>#N/A</v>
      </c>
      <c r="AF1958" s="889" t="s">
        <v>459</v>
      </c>
      <c r="AG1958" s="889" t="s">
        <v>459</v>
      </c>
    </row>
    <row r="1959" spans="26:33" x14ac:dyDescent="0.35">
      <c r="Z1959" s="344">
        <v>4802</v>
      </c>
      <c r="AA1959" s="344" t="s">
        <v>579</v>
      </c>
      <c r="AB1959" s="344">
        <v>2</v>
      </c>
      <c r="AC1959" s="344" t="s">
        <v>457</v>
      </c>
      <c r="AD1959" s="1058" t="s">
        <v>583</v>
      </c>
      <c r="AE1959" s="1059">
        <v>492519</v>
      </c>
      <c r="AF1959" s="889" t="s">
        <v>459</v>
      </c>
      <c r="AG1959" s="889" t="s">
        <v>459</v>
      </c>
    </row>
    <row r="1960" spans="26:33" x14ac:dyDescent="0.35">
      <c r="Z1960" s="344">
        <v>4803</v>
      </c>
      <c r="AA1960" s="344" t="s">
        <v>579</v>
      </c>
      <c r="AB1960" s="344">
        <v>4</v>
      </c>
      <c r="AC1960" s="344" t="e">
        <v>#N/A</v>
      </c>
      <c r="AD1960" s="1058" t="s">
        <v>581</v>
      </c>
      <c r="AE1960" s="1059" t="e">
        <v>#N/A</v>
      </c>
      <c r="AF1960" s="889" t="s">
        <v>459</v>
      </c>
      <c r="AG1960" s="889" t="s">
        <v>459</v>
      </c>
    </row>
    <row r="1961" spans="26:33" x14ac:dyDescent="0.35">
      <c r="Z1961" s="344">
        <v>4804</v>
      </c>
      <c r="AA1961" s="344" t="s">
        <v>579</v>
      </c>
      <c r="AB1961" s="344">
        <v>4</v>
      </c>
      <c r="AC1961" s="344" t="s">
        <v>464</v>
      </c>
      <c r="AD1961" s="1058" t="s">
        <v>581</v>
      </c>
      <c r="AE1961" s="1059">
        <v>276012</v>
      </c>
      <c r="AF1961" s="889" t="s">
        <v>459</v>
      </c>
      <c r="AG1961" s="889" t="s">
        <v>459</v>
      </c>
    </row>
    <row r="1962" spans="26:33" x14ac:dyDescent="0.35">
      <c r="Z1962" s="344">
        <v>4805</v>
      </c>
      <c r="AA1962" s="344" t="s">
        <v>579</v>
      </c>
      <c r="AB1962" s="344">
        <v>3</v>
      </c>
      <c r="AC1962" s="344" t="s">
        <v>471</v>
      </c>
      <c r="AD1962" s="1058" t="s">
        <v>582</v>
      </c>
      <c r="AE1962" s="1059">
        <v>315061</v>
      </c>
      <c r="AF1962" s="889" t="s">
        <v>460</v>
      </c>
      <c r="AG1962" s="889" t="s">
        <v>459</v>
      </c>
    </row>
    <row r="1963" spans="26:33" x14ac:dyDescent="0.35">
      <c r="Z1963" s="344">
        <v>4806</v>
      </c>
      <c r="AA1963" s="344" t="s">
        <v>579</v>
      </c>
      <c r="AB1963" s="344">
        <v>4</v>
      </c>
      <c r="AC1963" s="344" t="s">
        <v>464</v>
      </c>
      <c r="AD1963" s="1058" t="s">
        <v>581</v>
      </c>
      <c r="AE1963" s="1059">
        <v>230311</v>
      </c>
      <c r="AF1963" s="889" t="s">
        <v>459</v>
      </c>
      <c r="AG1963" s="889" t="s">
        <v>459</v>
      </c>
    </row>
    <row r="1964" spans="26:33" x14ac:dyDescent="0.35">
      <c r="Z1964" s="344">
        <v>4807</v>
      </c>
      <c r="AA1964" s="344" t="s">
        <v>579</v>
      </c>
      <c r="AB1964" s="344">
        <v>3</v>
      </c>
      <c r="AC1964" s="344" t="s">
        <v>464</v>
      </c>
      <c r="AD1964" s="1058" t="s">
        <v>582</v>
      </c>
      <c r="AE1964" s="1059">
        <v>270044</v>
      </c>
      <c r="AF1964" s="889" t="s">
        <v>459</v>
      </c>
      <c r="AG1964" s="889" t="s">
        <v>459</v>
      </c>
    </row>
    <row r="1965" spans="26:33" x14ac:dyDescent="0.35">
      <c r="Z1965" s="344">
        <v>4808</v>
      </c>
      <c r="AA1965" s="344" t="s">
        <v>579</v>
      </c>
      <c r="AB1965" s="344">
        <v>4</v>
      </c>
      <c r="AC1965" s="344" t="s">
        <v>464</v>
      </c>
      <c r="AD1965" s="1058" t="s">
        <v>581</v>
      </c>
      <c r="AE1965" s="1059">
        <v>235135</v>
      </c>
      <c r="AF1965" s="889"/>
      <c r="AG1965" s="889" t="s">
        <v>459</v>
      </c>
    </row>
    <row r="1966" spans="26:33" x14ac:dyDescent="0.35">
      <c r="Z1966" s="344">
        <v>4809</v>
      </c>
      <c r="AA1966" s="344" t="s">
        <v>579</v>
      </c>
      <c r="AB1966" s="344">
        <v>4</v>
      </c>
      <c r="AC1966" s="344" t="s">
        <v>464</v>
      </c>
      <c r="AD1966" s="1058" t="s">
        <v>581</v>
      </c>
      <c r="AE1966" s="1059">
        <v>202169</v>
      </c>
      <c r="AF1966" s="889" t="s">
        <v>459</v>
      </c>
      <c r="AG1966" s="889" t="s">
        <v>459</v>
      </c>
    </row>
    <row r="1967" spans="26:33" x14ac:dyDescent="0.35">
      <c r="Z1967" s="344">
        <v>4810</v>
      </c>
      <c r="AA1967" s="344" t="s">
        <v>579</v>
      </c>
      <c r="AB1967" s="344">
        <v>1</v>
      </c>
      <c r="AC1967" s="344" t="s">
        <v>457</v>
      </c>
      <c r="AD1967" s="1058" t="s">
        <v>580</v>
      </c>
      <c r="AE1967" s="1059">
        <v>535495</v>
      </c>
      <c r="AF1967" s="889" t="s">
        <v>459</v>
      </c>
      <c r="AG1967" s="889" t="s">
        <v>459</v>
      </c>
    </row>
    <row r="1968" spans="26:33" x14ac:dyDescent="0.35">
      <c r="Z1968" s="344">
        <v>4811</v>
      </c>
      <c r="AA1968" s="344" t="s">
        <v>579</v>
      </c>
      <c r="AB1968" s="344">
        <v>1</v>
      </c>
      <c r="AC1968" s="344" t="s">
        <v>471</v>
      </c>
      <c r="AD1968" s="1058" t="s">
        <v>580</v>
      </c>
      <c r="AE1968" s="1059">
        <v>365281</v>
      </c>
      <c r="AF1968" s="889" t="s">
        <v>459</v>
      </c>
      <c r="AG1968" s="889" t="s">
        <v>459</v>
      </c>
    </row>
    <row r="1969" spans="26:33" x14ac:dyDescent="0.35">
      <c r="Z1969" s="344">
        <v>4812</v>
      </c>
      <c r="AA1969" s="344" t="s">
        <v>579</v>
      </c>
      <c r="AB1969" s="344">
        <v>1</v>
      </c>
      <c r="AC1969" s="344" t="s">
        <v>471</v>
      </c>
      <c r="AD1969" s="1058" t="s">
        <v>580</v>
      </c>
      <c r="AE1969" s="1059">
        <v>360934</v>
      </c>
      <c r="AF1969" s="889" t="s">
        <v>269</v>
      </c>
      <c r="AG1969" s="889" t="s">
        <v>459</v>
      </c>
    </row>
    <row r="1970" spans="26:33" x14ac:dyDescent="0.35">
      <c r="Z1970" s="344">
        <v>4813</v>
      </c>
      <c r="AA1970" s="344" t="s">
        <v>579</v>
      </c>
      <c r="AB1970" s="344">
        <v>1</v>
      </c>
      <c r="AC1970" s="344" t="e">
        <v>#N/A</v>
      </c>
      <c r="AD1970" s="1058" t="s">
        <v>580</v>
      </c>
      <c r="AE1970" s="1059" t="e">
        <v>#N/A</v>
      </c>
      <c r="AF1970" s="889" t="s">
        <v>459</v>
      </c>
      <c r="AG1970" s="889" t="s">
        <v>459</v>
      </c>
    </row>
    <row r="1971" spans="26:33" x14ac:dyDescent="0.35">
      <c r="Z1971" s="344">
        <v>4814</v>
      </c>
      <c r="AA1971" s="344" t="s">
        <v>579</v>
      </c>
      <c r="AB1971" s="344">
        <v>1</v>
      </c>
      <c r="AC1971" s="344" t="s">
        <v>471</v>
      </c>
      <c r="AD1971" s="1058" t="s">
        <v>580</v>
      </c>
      <c r="AE1971" s="1059">
        <v>325732</v>
      </c>
      <c r="AF1971" s="889" t="s">
        <v>459</v>
      </c>
      <c r="AG1971" s="889" t="s">
        <v>459</v>
      </c>
    </row>
    <row r="1972" spans="26:33" x14ac:dyDescent="0.35">
      <c r="Z1972" s="344">
        <v>4815</v>
      </c>
      <c r="AA1972" s="344" t="s">
        <v>579</v>
      </c>
      <c r="AB1972" s="344">
        <v>1</v>
      </c>
      <c r="AC1972" s="344" t="s">
        <v>464</v>
      </c>
      <c r="AD1972" s="1058" t="s">
        <v>580</v>
      </c>
      <c r="AE1972" s="1059">
        <v>298940</v>
      </c>
      <c r="AF1972" s="889" t="s">
        <v>460</v>
      </c>
      <c r="AG1972" s="889" t="s">
        <v>459</v>
      </c>
    </row>
    <row r="1973" spans="26:33" x14ac:dyDescent="0.35">
      <c r="Z1973" s="344">
        <v>4816</v>
      </c>
      <c r="AA1973" s="344" t="s">
        <v>579</v>
      </c>
      <c r="AB1973" s="344">
        <v>3</v>
      </c>
      <c r="AC1973" s="344" t="s">
        <v>471</v>
      </c>
      <c r="AD1973" s="1058" t="s">
        <v>582</v>
      </c>
      <c r="AE1973" s="1059">
        <v>306509</v>
      </c>
      <c r="AF1973" s="889" t="s">
        <v>460</v>
      </c>
      <c r="AG1973" s="889" t="s">
        <v>459</v>
      </c>
    </row>
    <row r="1974" spans="26:33" x14ac:dyDescent="0.35">
      <c r="Z1974" s="344">
        <v>4817</v>
      </c>
      <c r="AA1974" s="344" t="s">
        <v>579</v>
      </c>
      <c r="AB1974" s="344">
        <v>1</v>
      </c>
      <c r="AC1974" s="344" t="s">
        <v>457</v>
      </c>
      <c r="AD1974" s="1058" t="s">
        <v>580</v>
      </c>
      <c r="AE1974" s="1059">
        <v>451533</v>
      </c>
      <c r="AF1974" s="889" t="s">
        <v>459</v>
      </c>
      <c r="AG1974" s="889" t="s">
        <v>459</v>
      </c>
    </row>
    <row r="1975" spans="26:33" x14ac:dyDescent="0.35">
      <c r="Z1975" s="344">
        <v>4818</v>
      </c>
      <c r="AA1975" s="344" t="s">
        <v>579</v>
      </c>
      <c r="AB1975" s="344">
        <v>1</v>
      </c>
      <c r="AC1975" s="344" t="s">
        <v>471</v>
      </c>
      <c r="AD1975" s="1058" t="s">
        <v>580</v>
      </c>
      <c r="AE1975" s="1059">
        <v>386874</v>
      </c>
      <c r="AF1975" s="889" t="s">
        <v>459</v>
      </c>
      <c r="AG1975" s="889" t="s">
        <v>459</v>
      </c>
    </row>
    <row r="1976" spans="26:33" x14ac:dyDescent="0.35">
      <c r="Z1976" s="344">
        <v>4819</v>
      </c>
      <c r="AA1976" s="344" t="s">
        <v>579</v>
      </c>
      <c r="AB1976" s="344">
        <v>2</v>
      </c>
      <c r="AC1976" s="344" t="s">
        <v>471</v>
      </c>
      <c r="AD1976" s="1058" t="s">
        <v>583</v>
      </c>
      <c r="AE1976" s="1059">
        <v>410997</v>
      </c>
      <c r="AF1976" s="889" t="s">
        <v>460</v>
      </c>
      <c r="AG1976" s="889" t="s">
        <v>459</v>
      </c>
    </row>
    <row r="1977" spans="26:33" x14ac:dyDescent="0.35">
      <c r="Z1977" s="344">
        <v>4820</v>
      </c>
      <c r="AA1977" s="344" t="s">
        <v>579</v>
      </c>
      <c r="AB1977" s="344">
        <v>3</v>
      </c>
      <c r="AC1977" s="344" t="s">
        <v>471</v>
      </c>
      <c r="AD1977" s="1058" t="s">
        <v>582</v>
      </c>
      <c r="AE1977" s="1059">
        <v>332074</v>
      </c>
      <c r="AF1977" s="889" t="s">
        <v>460</v>
      </c>
      <c r="AG1977" s="889" t="s">
        <v>459</v>
      </c>
    </row>
    <row r="1978" spans="26:33" x14ac:dyDescent="0.35">
      <c r="Z1978" s="344">
        <v>4821</v>
      </c>
      <c r="AA1978" s="344" t="s">
        <v>579</v>
      </c>
      <c r="AB1978" s="344">
        <v>4</v>
      </c>
      <c r="AC1978" s="344" t="s">
        <v>464</v>
      </c>
      <c r="AD1978" s="1058" t="s">
        <v>581</v>
      </c>
      <c r="AE1978" s="1059">
        <v>142567</v>
      </c>
      <c r="AF1978" s="889" t="s">
        <v>459</v>
      </c>
      <c r="AG1978" s="889" t="s">
        <v>459</v>
      </c>
    </row>
    <row r="1979" spans="26:33" x14ac:dyDescent="0.35">
      <c r="Z1979" s="344">
        <v>4822</v>
      </c>
      <c r="AA1979" s="344" t="s">
        <v>579</v>
      </c>
      <c r="AB1979" s="344">
        <v>4</v>
      </c>
      <c r="AC1979" s="344" t="s">
        <v>464</v>
      </c>
      <c r="AD1979" s="1058" t="s">
        <v>581</v>
      </c>
      <c r="AE1979" s="1059">
        <v>140999</v>
      </c>
      <c r="AF1979" s="889" t="s">
        <v>459</v>
      </c>
      <c r="AG1979" s="889" t="s">
        <v>459</v>
      </c>
    </row>
    <row r="1980" spans="26:33" x14ac:dyDescent="0.35">
      <c r="Z1980" s="344">
        <v>4823</v>
      </c>
      <c r="AA1980" s="344" t="s">
        <v>579</v>
      </c>
      <c r="AB1980" s="344">
        <v>4</v>
      </c>
      <c r="AC1980" s="344" t="s">
        <v>464</v>
      </c>
      <c r="AD1980" s="1058" t="s">
        <v>581</v>
      </c>
      <c r="AE1980" s="1059">
        <v>106729</v>
      </c>
      <c r="AF1980" s="889" t="s">
        <v>459</v>
      </c>
      <c r="AG1980" s="889" t="s">
        <v>459</v>
      </c>
    </row>
    <row r="1981" spans="26:33" x14ac:dyDescent="0.35">
      <c r="Z1981" s="344">
        <v>4824</v>
      </c>
      <c r="AA1981" s="344" t="s">
        <v>579</v>
      </c>
      <c r="AB1981" s="344">
        <v>4</v>
      </c>
      <c r="AC1981" s="344" t="s">
        <v>464</v>
      </c>
      <c r="AD1981" s="1058" t="s">
        <v>581</v>
      </c>
      <c r="AE1981" s="1059">
        <v>288244</v>
      </c>
      <c r="AF1981" s="889" t="s">
        <v>459</v>
      </c>
      <c r="AG1981" s="889" t="s">
        <v>459</v>
      </c>
    </row>
    <row r="1982" spans="26:33" x14ac:dyDescent="0.35">
      <c r="Z1982" s="344">
        <v>4825</v>
      </c>
      <c r="AA1982" s="344" t="s">
        <v>579</v>
      </c>
      <c r="AB1982" s="344">
        <v>4</v>
      </c>
      <c r="AC1982" s="344" t="s">
        <v>471</v>
      </c>
      <c r="AD1982" s="1058" t="s">
        <v>581</v>
      </c>
      <c r="AE1982" s="1059">
        <v>374134</v>
      </c>
      <c r="AF1982" s="889" t="s">
        <v>460</v>
      </c>
      <c r="AG1982" s="889" t="s">
        <v>459</v>
      </c>
    </row>
    <row r="1983" spans="26:33" x14ac:dyDescent="0.35">
      <c r="Z1983" s="344">
        <v>4828</v>
      </c>
      <c r="AA1983" s="344" t="s">
        <v>579</v>
      </c>
      <c r="AB1983" s="344">
        <v>4</v>
      </c>
      <c r="AC1983" s="344" t="e">
        <v>#N/A</v>
      </c>
      <c r="AD1983" s="1058" t="s">
        <v>581</v>
      </c>
      <c r="AE1983" s="1059" t="e">
        <v>#N/A</v>
      </c>
      <c r="AF1983" s="889" t="s">
        <v>459</v>
      </c>
      <c r="AG1983" s="889" t="s">
        <v>459</v>
      </c>
    </row>
    <row r="1984" spans="26:33" x14ac:dyDescent="0.35">
      <c r="Z1984" s="344">
        <v>4829</v>
      </c>
      <c r="AA1984" s="344" t="s">
        <v>579</v>
      </c>
      <c r="AB1984" s="344">
        <v>4</v>
      </c>
      <c r="AC1984" s="344" t="e">
        <v>#N/A</v>
      </c>
      <c r="AD1984" s="1058" t="s">
        <v>581</v>
      </c>
      <c r="AE1984" s="1059" t="e">
        <v>#N/A</v>
      </c>
      <c r="AF1984" s="889" t="s">
        <v>459</v>
      </c>
      <c r="AG1984" s="889" t="s">
        <v>459</v>
      </c>
    </row>
    <row r="1985" spans="26:33" x14ac:dyDescent="0.35">
      <c r="Z1985" s="344">
        <v>4830</v>
      </c>
      <c r="AA1985" s="344" t="s">
        <v>579</v>
      </c>
      <c r="AB1985" s="344">
        <v>4</v>
      </c>
      <c r="AC1985" s="344" t="e">
        <v>#N/A</v>
      </c>
      <c r="AD1985" s="1058" t="s">
        <v>581</v>
      </c>
      <c r="AE1985" s="1059" t="e">
        <v>#N/A</v>
      </c>
      <c r="AF1985" s="889" t="s">
        <v>459</v>
      </c>
      <c r="AG1985" s="889" t="s">
        <v>459</v>
      </c>
    </row>
    <row r="1986" spans="26:33" x14ac:dyDescent="0.35">
      <c r="Z1986" s="344">
        <v>4849</v>
      </c>
      <c r="AA1986" s="344" t="s">
        <v>579</v>
      </c>
      <c r="AB1986" s="344">
        <v>4</v>
      </c>
      <c r="AC1986" s="344" t="s">
        <v>471</v>
      </c>
      <c r="AD1986" s="1058" t="s">
        <v>581</v>
      </c>
      <c r="AE1986" s="1059">
        <v>321684</v>
      </c>
      <c r="AF1986" s="889" t="s">
        <v>459</v>
      </c>
      <c r="AG1986" s="889" t="s">
        <v>459</v>
      </c>
    </row>
    <row r="1987" spans="26:33" x14ac:dyDescent="0.35">
      <c r="Z1987" s="344">
        <v>4850</v>
      </c>
      <c r="AA1987" s="344" t="s">
        <v>579</v>
      </c>
      <c r="AB1987" s="344">
        <v>3</v>
      </c>
      <c r="AC1987" s="344" t="s">
        <v>464</v>
      </c>
      <c r="AD1987" s="1058" t="s">
        <v>582</v>
      </c>
      <c r="AE1987" s="1059">
        <v>277371</v>
      </c>
      <c r="AF1987" s="889" t="s">
        <v>459</v>
      </c>
      <c r="AG1987" s="889" t="s">
        <v>459</v>
      </c>
    </row>
    <row r="1988" spans="26:33" x14ac:dyDescent="0.35">
      <c r="Z1988" s="344">
        <v>4852</v>
      </c>
      <c r="AA1988" s="344" t="s">
        <v>579</v>
      </c>
      <c r="AB1988" s="344">
        <v>4</v>
      </c>
      <c r="AC1988" s="344" t="s">
        <v>471</v>
      </c>
      <c r="AD1988" s="1058" t="s">
        <v>581</v>
      </c>
      <c r="AE1988" s="1059">
        <v>397035</v>
      </c>
      <c r="AF1988" s="889" t="s">
        <v>459</v>
      </c>
      <c r="AG1988" s="889" t="s">
        <v>459</v>
      </c>
    </row>
    <row r="1989" spans="26:33" x14ac:dyDescent="0.35">
      <c r="Z1989" s="344">
        <v>4854</v>
      </c>
      <c r="AA1989" s="344" t="s">
        <v>579</v>
      </c>
      <c r="AB1989" s="344">
        <v>4</v>
      </c>
      <c r="AC1989" s="344" t="s">
        <v>471</v>
      </c>
      <c r="AD1989" s="1058" t="s">
        <v>581</v>
      </c>
      <c r="AE1989" s="1059">
        <v>347387</v>
      </c>
      <c r="AF1989" s="889" t="s">
        <v>459</v>
      </c>
      <c r="AG1989" s="889" t="s">
        <v>459</v>
      </c>
    </row>
    <row r="1990" spans="26:33" x14ac:dyDescent="0.35">
      <c r="Z1990" s="344">
        <v>4855</v>
      </c>
      <c r="AA1990" s="344" t="s">
        <v>579</v>
      </c>
      <c r="AB1990" s="344">
        <v>4</v>
      </c>
      <c r="AC1990" s="344" t="s">
        <v>464</v>
      </c>
      <c r="AD1990" s="1058" t="s">
        <v>581</v>
      </c>
      <c r="AE1990" s="1059">
        <v>230442</v>
      </c>
      <c r="AF1990" s="889" t="s">
        <v>459</v>
      </c>
      <c r="AG1990" s="889" t="s">
        <v>459</v>
      </c>
    </row>
    <row r="1991" spans="26:33" x14ac:dyDescent="0.35">
      <c r="Z1991" s="344">
        <v>4856</v>
      </c>
      <c r="AA1991" s="344" t="s">
        <v>579</v>
      </c>
      <c r="AB1991" s="344">
        <v>4</v>
      </c>
      <c r="AC1991" s="344" t="s">
        <v>464</v>
      </c>
      <c r="AD1991" s="1058" t="s">
        <v>581</v>
      </c>
      <c r="AE1991" s="1059">
        <v>223310</v>
      </c>
      <c r="AF1991" s="889" t="s">
        <v>459</v>
      </c>
      <c r="AG1991" s="889" t="s">
        <v>459</v>
      </c>
    </row>
    <row r="1992" spans="26:33" x14ac:dyDescent="0.35">
      <c r="Z1992" s="344">
        <v>4857</v>
      </c>
      <c r="AA1992" s="344" t="s">
        <v>579</v>
      </c>
      <c r="AB1992" s="344">
        <v>4</v>
      </c>
      <c r="AC1992" s="344" t="e">
        <v>#N/A</v>
      </c>
      <c r="AD1992" s="1058" t="s">
        <v>581</v>
      </c>
      <c r="AE1992" s="1059" t="e">
        <v>#N/A</v>
      </c>
      <c r="AF1992" s="889" t="s">
        <v>459</v>
      </c>
      <c r="AG1992" s="889" t="s">
        <v>459</v>
      </c>
    </row>
    <row r="1993" spans="26:33" x14ac:dyDescent="0.35">
      <c r="Z1993" s="344">
        <v>4858</v>
      </c>
      <c r="AA1993" s="344" t="s">
        <v>579</v>
      </c>
      <c r="AB1993" s="344">
        <v>4</v>
      </c>
      <c r="AC1993" s="344" t="s">
        <v>471</v>
      </c>
      <c r="AD1993" s="1058" t="s">
        <v>581</v>
      </c>
      <c r="AE1993" s="1059">
        <v>327790</v>
      </c>
      <c r="AF1993" s="889" t="s">
        <v>459</v>
      </c>
      <c r="AG1993" s="889" t="s">
        <v>459</v>
      </c>
    </row>
    <row r="1994" spans="26:33" x14ac:dyDescent="0.35">
      <c r="Z1994" s="344">
        <v>4859</v>
      </c>
      <c r="AA1994" s="344" t="s">
        <v>579</v>
      </c>
      <c r="AB1994" s="344">
        <v>4</v>
      </c>
      <c r="AC1994" s="344" t="s">
        <v>464</v>
      </c>
      <c r="AD1994" s="1058" t="s">
        <v>581</v>
      </c>
      <c r="AE1994" s="1059">
        <v>191386</v>
      </c>
      <c r="AF1994" s="889" t="s">
        <v>459</v>
      </c>
      <c r="AG1994" s="889" t="s">
        <v>459</v>
      </c>
    </row>
    <row r="1995" spans="26:33" x14ac:dyDescent="0.35">
      <c r="Z1995" s="344">
        <v>4860</v>
      </c>
      <c r="AA1995" s="344" t="s">
        <v>579</v>
      </c>
      <c r="AB1995" s="344">
        <v>3</v>
      </c>
      <c r="AC1995" s="344" t="s">
        <v>464</v>
      </c>
      <c r="AD1995" s="1058" t="s">
        <v>582</v>
      </c>
      <c r="AE1995" s="1059">
        <v>258761</v>
      </c>
      <c r="AF1995" s="889" t="s">
        <v>459</v>
      </c>
      <c r="AG1995" s="889" t="s">
        <v>459</v>
      </c>
    </row>
    <row r="1996" spans="26:33" x14ac:dyDescent="0.35">
      <c r="Z1996" s="344">
        <v>4861</v>
      </c>
      <c r="AA1996" s="344" t="s">
        <v>579</v>
      </c>
      <c r="AB1996" s="344">
        <v>4</v>
      </c>
      <c r="AC1996" s="344" t="s">
        <v>464</v>
      </c>
      <c r="AD1996" s="1058" t="s">
        <v>581</v>
      </c>
      <c r="AE1996" s="1059">
        <v>229723</v>
      </c>
      <c r="AF1996" s="889" t="s">
        <v>459</v>
      </c>
      <c r="AG1996" s="889" t="s">
        <v>459</v>
      </c>
    </row>
    <row r="1997" spans="26:33" x14ac:dyDescent="0.35">
      <c r="Z1997" s="344">
        <v>4865</v>
      </c>
      <c r="AA1997" s="344" t="s">
        <v>579</v>
      </c>
      <c r="AB1997" s="344">
        <v>1</v>
      </c>
      <c r="AC1997" s="344" t="s">
        <v>471</v>
      </c>
      <c r="AD1997" s="1058" t="s">
        <v>580</v>
      </c>
      <c r="AE1997" s="1059">
        <v>370219</v>
      </c>
      <c r="AF1997" s="889" t="s">
        <v>459</v>
      </c>
      <c r="AG1997" s="889" t="s">
        <v>459</v>
      </c>
    </row>
    <row r="1998" spans="26:33" x14ac:dyDescent="0.35">
      <c r="Z1998" s="344">
        <v>4868</v>
      </c>
      <c r="AA1998" s="344" t="s">
        <v>579</v>
      </c>
      <c r="AB1998" s="344">
        <v>1</v>
      </c>
      <c r="AC1998" s="344" t="s">
        <v>471</v>
      </c>
      <c r="AD1998" s="1058" t="s">
        <v>580</v>
      </c>
      <c r="AE1998" s="1059">
        <v>336411</v>
      </c>
      <c r="AF1998" s="889" t="s">
        <v>459</v>
      </c>
      <c r="AG1998" s="889" t="s">
        <v>459</v>
      </c>
    </row>
    <row r="1999" spans="26:33" x14ac:dyDescent="0.35">
      <c r="Z1999" s="344">
        <v>4869</v>
      </c>
      <c r="AA1999" s="344" t="s">
        <v>579</v>
      </c>
      <c r="AB1999" s="344">
        <v>1</v>
      </c>
      <c r="AC1999" s="344" t="s">
        <v>471</v>
      </c>
      <c r="AD1999" s="1058" t="s">
        <v>580</v>
      </c>
      <c r="AE1999" s="1059">
        <v>316059</v>
      </c>
      <c r="AF1999" s="889" t="s">
        <v>459</v>
      </c>
      <c r="AG1999" s="889" t="s">
        <v>459</v>
      </c>
    </row>
    <row r="2000" spans="26:33" x14ac:dyDescent="0.35">
      <c r="Z2000" s="344">
        <v>4870</v>
      </c>
      <c r="AA2000" s="344" t="s">
        <v>579</v>
      </c>
      <c r="AB2000" s="344">
        <v>1</v>
      </c>
      <c r="AC2000" s="344" t="s">
        <v>471</v>
      </c>
      <c r="AD2000" s="1058" t="s">
        <v>580</v>
      </c>
      <c r="AE2000" s="1059">
        <v>399233</v>
      </c>
      <c r="AF2000" s="889" t="s">
        <v>459</v>
      </c>
      <c r="AG2000" s="889" t="s">
        <v>459</v>
      </c>
    </row>
    <row r="2001" spans="26:33" x14ac:dyDescent="0.35">
      <c r="Z2001" s="344">
        <v>4871</v>
      </c>
      <c r="AA2001" s="344" t="s">
        <v>579</v>
      </c>
      <c r="AB2001" s="344">
        <v>3</v>
      </c>
      <c r="AC2001" s="344" t="s">
        <v>471</v>
      </c>
      <c r="AD2001" s="1058" t="s">
        <v>582</v>
      </c>
      <c r="AE2001" s="1059">
        <v>318086</v>
      </c>
      <c r="AF2001" s="889" t="s">
        <v>459</v>
      </c>
      <c r="AG2001" s="889" t="s">
        <v>459</v>
      </c>
    </row>
    <row r="2002" spans="26:33" x14ac:dyDescent="0.35">
      <c r="Z2002" s="344">
        <v>4872</v>
      </c>
      <c r="AA2002" s="344" t="s">
        <v>579</v>
      </c>
      <c r="AB2002" s="344">
        <v>4</v>
      </c>
      <c r="AC2002" s="344" t="s">
        <v>471</v>
      </c>
      <c r="AD2002" s="1058" t="s">
        <v>581</v>
      </c>
      <c r="AE2002" s="1059">
        <v>353883</v>
      </c>
      <c r="AF2002" s="889" t="s">
        <v>459</v>
      </c>
      <c r="AG2002" s="889" t="s">
        <v>459</v>
      </c>
    </row>
    <row r="2003" spans="26:33" x14ac:dyDescent="0.35">
      <c r="Z2003" s="344">
        <v>4873</v>
      </c>
      <c r="AA2003" s="344" t="s">
        <v>579</v>
      </c>
      <c r="AB2003" s="344">
        <v>4</v>
      </c>
      <c r="AC2003" s="344" t="s">
        <v>471</v>
      </c>
      <c r="AD2003" s="1058" t="s">
        <v>581</v>
      </c>
      <c r="AE2003" s="1059">
        <v>321404</v>
      </c>
      <c r="AF2003" s="889" t="s">
        <v>459</v>
      </c>
      <c r="AG2003" s="889" t="s">
        <v>459</v>
      </c>
    </row>
    <row r="2004" spans="26:33" x14ac:dyDescent="0.35">
      <c r="Z2004" s="344">
        <v>4874</v>
      </c>
      <c r="AA2004" s="344" t="s">
        <v>579</v>
      </c>
      <c r="AB2004" s="344">
        <v>4</v>
      </c>
      <c r="AC2004" s="344" t="s">
        <v>457</v>
      </c>
      <c r="AD2004" s="1058" t="s">
        <v>581</v>
      </c>
      <c r="AE2004" s="1059">
        <v>488196</v>
      </c>
      <c r="AF2004" s="889" t="s">
        <v>459</v>
      </c>
      <c r="AG2004" s="889" t="s">
        <v>459</v>
      </c>
    </row>
    <row r="2005" spans="26:33" x14ac:dyDescent="0.35">
      <c r="Z2005" s="344">
        <v>4875</v>
      </c>
      <c r="AA2005" s="344" t="s">
        <v>579</v>
      </c>
      <c r="AB2005" s="344">
        <v>4</v>
      </c>
      <c r="AC2005" s="344" t="e">
        <v>#N/A</v>
      </c>
      <c r="AD2005" s="1058" t="s">
        <v>581</v>
      </c>
      <c r="AE2005" s="1059" t="e">
        <v>#N/A</v>
      </c>
      <c r="AF2005" s="889" t="s">
        <v>459</v>
      </c>
      <c r="AG2005" s="889" t="s">
        <v>459</v>
      </c>
    </row>
    <row r="2006" spans="26:33" x14ac:dyDescent="0.35">
      <c r="Z2006" s="344">
        <v>4876</v>
      </c>
      <c r="AA2006" s="344" t="s">
        <v>579</v>
      </c>
      <c r="AB2006" s="344">
        <v>4</v>
      </c>
      <c r="AC2006" s="344" t="e">
        <v>#N/A</v>
      </c>
      <c r="AD2006" s="1058" t="s">
        <v>581</v>
      </c>
      <c r="AE2006" s="1059" t="e">
        <v>#N/A</v>
      </c>
      <c r="AF2006" s="889" t="s">
        <v>459</v>
      </c>
      <c r="AG2006" s="889" t="s">
        <v>459</v>
      </c>
    </row>
    <row r="2007" spans="26:33" x14ac:dyDescent="0.35">
      <c r="Z2007" s="344">
        <v>4877</v>
      </c>
      <c r="AA2007" s="344" t="s">
        <v>579</v>
      </c>
      <c r="AB2007" s="344">
        <v>3</v>
      </c>
      <c r="AC2007" s="344" t="s">
        <v>457</v>
      </c>
      <c r="AD2007" s="1058" t="s">
        <v>582</v>
      </c>
      <c r="AE2007" s="1059">
        <v>556370</v>
      </c>
      <c r="AF2007" s="889" t="s">
        <v>459</v>
      </c>
      <c r="AG2007" s="889" t="s">
        <v>459</v>
      </c>
    </row>
    <row r="2008" spans="26:33" x14ac:dyDescent="0.35">
      <c r="Z2008" s="344">
        <v>4878</v>
      </c>
      <c r="AA2008" s="344" t="s">
        <v>579</v>
      </c>
      <c r="AB2008" s="344">
        <v>1</v>
      </c>
      <c r="AC2008" s="344" t="s">
        <v>471</v>
      </c>
      <c r="AD2008" s="1058" t="s">
        <v>580</v>
      </c>
      <c r="AE2008" s="1059">
        <v>374387</v>
      </c>
      <c r="AF2008" s="889" t="s">
        <v>459</v>
      </c>
      <c r="AG2008" s="889" t="s">
        <v>459</v>
      </c>
    </row>
    <row r="2009" spans="26:33" x14ac:dyDescent="0.35">
      <c r="Z2009" s="344">
        <v>4879</v>
      </c>
      <c r="AA2009" s="344" t="s">
        <v>579</v>
      </c>
      <c r="AB2009" s="344">
        <v>1</v>
      </c>
      <c r="AC2009" s="344" t="s">
        <v>457</v>
      </c>
      <c r="AD2009" s="1058" t="s">
        <v>580</v>
      </c>
      <c r="AE2009" s="1059">
        <v>481415</v>
      </c>
      <c r="AF2009" s="889" t="s">
        <v>459</v>
      </c>
      <c r="AG2009" s="889" t="s">
        <v>459</v>
      </c>
    </row>
    <row r="2010" spans="26:33" x14ac:dyDescent="0.35">
      <c r="Z2010" s="344">
        <v>4880</v>
      </c>
      <c r="AA2010" s="344" t="s">
        <v>579</v>
      </c>
      <c r="AB2010" s="344">
        <v>3</v>
      </c>
      <c r="AC2010" s="344" t="s">
        <v>471</v>
      </c>
      <c r="AD2010" s="1058" t="s">
        <v>582</v>
      </c>
      <c r="AE2010" s="1059">
        <v>383146</v>
      </c>
      <c r="AF2010" s="889" t="s">
        <v>459</v>
      </c>
      <c r="AG2010" s="889" t="s">
        <v>459</v>
      </c>
    </row>
    <row r="2011" spans="26:33" x14ac:dyDescent="0.35">
      <c r="Z2011" s="344">
        <v>4881</v>
      </c>
      <c r="AA2011" s="344" t="s">
        <v>579</v>
      </c>
      <c r="AB2011" s="344">
        <v>1</v>
      </c>
      <c r="AC2011" s="344" t="s">
        <v>471</v>
      </c>
      <c r="AD2011" s="1058" t="s">
        <v>580</v>
      </c>
      <c r="AE2011" s="1059">
        <v>448830</v>
      </c>
      <c r="AF2011" s="889" t="s">
        <v>459</v>
      </c>
      <c r="AG2011" s="889" t="s">
        <v>459</v>
      </c>
    </row>
    <row r="2012" spans="26:33" x14ac:dyDescent="0.35">
      <c r="Z2012" s="344">
        <v>4882</v>
      </c>
      <c r="AA2012" s="344" t="s">
        <v>579</v>
      </c>
      <c r="AB2012" s="344">
        <v>4</v>
      </c>
      <c r="AC2012" s="344" t="s">
        <v>471</v>
      </c>
      <c r="AD2012" s="1058" t="s">
        <v>581</v>
      </c>
      <c r="AE2012" s="1059">
        <v>393217</v>
      </c>
      <c r="AF2012" s="889" t="s">
        <v>459</v>
      </c>
      <c r="AG2012" s="889" t="s">
        <v>459</v>
      </c>
    </row>
    <row r="2013" spans="26:33" x14ac:dyDescent="0.35">
      <c r="Z2013" s="344">
        <v>4883</v>
      </c>
      <c r="AA2013" s="344" t="s">
        <v>579</v>
      </c>
      <c r="AB2013" s="344">
        <v>3</v>
      </c>
      <c r="AC2013" s="344" t="s">
        <v>471</v>
      </c>
      <c r="AD2013" s="1058" t="s">
        <v>582</v>
      </c>
      <c r="AE2013" s="1059">
        <v>372679</v>
      </c>
      <c r="AF2013" s="889" t="s">
        <v>459</v>
      </c>
      <c r="AG2013" s="889" t="s">
        <v>459</v>
      </c>
    </row>
    <row r="2014" spans="26:33" x14ac:dyDescent="0.35">
      <c r="Z2014" s="344">
        <v>4884</v>
      </c>
      <c r="AA2014" s="344" t="s">
        <v>579</v>
      </c>
      <c r="AB2014" s="344">
        <v>4</v>
      </c>
      <c r="AC2014" s="344" t="s">
        <v>471</v>
      </c>
      <c r="AD2014" s="1058" t="s">
        <v>581</v>
      </c>
      <c r="AE2014" s="1059">
        <v>429012</v>
      </c>
      <c r="AF2014" s="889" t="s">
        <v>459</v>
      </c>
      <c r="AG2014" s="889" t="s">
        <v>459</v>
      </c>
    </row>
    <row r="2015" spans="26:33" x14ac:dyDescent="0.35">
      <c r="Z2015" s="344">
        <v>4885</v>
      </c>
      <c r="AA2015" s="344" t="s">
        <v>579</v>
      </c>
      <c r="AB2015" s="344">
        <v>4</v>
      </c>
      <c r="AC2015" s="344" t="s">
        <v>471</v>
      </c>
      <c r="AD2015" s="1058" t="s">
        <v>581</v>
      </c>
      <c r="AE2015" s="1059">
        <v>361834</v>
      </c>
      <c r="AF2015" s="889" t="s">
        <v>459</v>
      </c>
      <c r="AG2015" s="889" t="s">
        <v>459</v>
      </c>
    </row>
    <row r="2016" spans="26:33" x14ac:dyDescent="0.35">
      <c r="Z2016" s="344">
        <v>4886</v>
      </c>
      <c r="AA2016" s="344" t="s">
        <v>579</v>
      </c>
      <c r="AB2016" s="344">
        <v>4</v>
      </c>
      <c r="AC2016" s="344" t="s">
        <v>464</v>
      </c>
      <c r="AD2016" s="1058" t="s">
        <v>581</v>
      </c>
      <c r="AE2016" s="1059">
        <v>233778</v>
      </c>
      <c r="AF2016" s="889" t="s">
        <v>459</v>
      </c>
      <c r="AG2016" s="889" t="s">
        <v>459</v>
      </c>
    </row>
    <row r="2017" spans="26:33" x14ac:dyDescent="0.35">
      <c r="Z2017" s="344">
        <v>4887</v>
      </c>
      <c r="AA2017" s="344" t="s">
        <v>579</v>
      </c>
      <c r="AB2017" s="344">
        <v>4</v>
      </c>
      <c r="AC2017" s="344" t="s">
        <v>464</v>
      </c>
      <c r="AD2017" s="1058" t="s">
        <v>581</v>
      </c>
      <c r="AE2017" s="1059">
        <v>290556</v>
      </c>
      <c r="AF2017" s="889" t="s">
        <v>459</v>
      </c>
      <c r="AG2017" s="889" t="s">
        <v>459</v>
      </c>
    </row>
    <row r="2018" spans="26:33" x14ac:dyDescent="0.35">
      <c r="Z2018" s="344">
        <v>4888</v>
      </c>
      <c r="AA2018" s="344" t="s">
        <v>579</v>
      </c>
      <c r="AB2018" s="344">
        <v>4</v>
      </c>
      <c r="AC2018" s="344" t="s">
        <v>464</v>
      </c>
      <c r="AD2018" s="1058" t="s">
        <v>581</v>
      </c>
      <c r="AE2018" s="1059">
        <v>272429</v>
      </c>
      <c r="AF2018" s="889" t="s">
        <v>459</v>
      </c>
      <c r="AG2018" s="889" t="s">
        <v>459</v>
      </c>
    </row>
    <row r="2019" spans="26:33" x14ac:dyDescent="0.35">
      <c r="Z2019" s="344">
        <v>4890</v>
      </c>
      <c r="AA2019" s="344" t="s">
        <v>579</v>
      </c>
      <c r="AB2019" s="344">
        <v>4</v>
      </c>
      <c r="AC2019" s="344" t="s">
        <v>464</v>
      </c>
      <c r="AD2019" s="1058" t="s">
        <v>581</v>
      </c>
      <c r="AE2019" s="1059">
        <v>233629</v>
      </c>
      <c r="AF2019" s="889" t="s">
        <v>459</v>
      </c>
      <c r="AG2019" s="889" t="s">
        <v>459</v>
      </c>
    </row>
    <row r="2020" spans="26:33" x14ac:dyDescent="0.35">
      <c r="Z2020" s="344">
        <v>4891</v>
      </c>
      <c r="AA2020" s="344" t="s">
        <v>579</v>
      </c>
      <c r="AB2020" s="344">
        <v>4</v>
      </c>
      <c r="AC2020" s="344" t="s">
        <v>464</v>
      </c>
      <c r="AD2020" s="1058" t="s">
        <v>581</v>
      </c>
      <c r="AE2020" s="1059">
        <v>272183</v>
      </c>
      <c r="AF2020" s="889" t="s">
        <v>459</v>
      </c>
      <c r="AG2020" s="889" t="s">
        <v>459</v>
      </c>
    </row>
    <row r="2021" spans="26:33" x14ac:dyDescent="0.35">
      <c r="Z2021" s="344">
        <v>4895</v>
      </c>
      <c r="AA2021" s="344" t="s">
        <v>579</v>
      </c>
      <c r="AB2021" s="344">
        <v>4</v>
      </c>
      <c r="AC2021" s="344" t="s">
        <v>471</v>
      </c>
      <c r="AD2021" s="1058" t="s">
        <v>581</v>
      </c>
      <c r="AE2021" s="1059">
        <v>333397</v>
      </c>
      <c r="AF2021" s="889" t="s">
        <v>459</v>
      </c>
      <c r="AG2021" s="889" t="s">
        <v>459</v>
      </c>
    </row>
    <row r="2022" spans="26:33" x14ac:dyDescent="0.35">
      <c r="Z2022" s="344">
        <v>5000</v>
      </c>
      <c r="AA2022" s="344" t="s">
        <v>584</v>
      </c>
      <c r="AB2022" s="344">
        <v>1</v>
      </c>
      <c r="AC2022" s="344" t="s">
        <v>457</v>
      </c>
      <c r="AD2022" s="1058" t="s">
        <v>585</v>
      </c>
      <c r="AE2022" s="1059">
        <v>541972</v>
      </c>
      <c r="AF2022" s="889" t="s">
        <v>459</v>
      </c>
      <c r="AG2022" s="889" t="s">
        <v>460</v>
      </c>
    </row>
    <row r="2023" spans="26:33" x14ac:dyDescent="0.35">
      <c r="Z2023" s="344">
        <v>5001</v>
      </c>
      <c r="AA2023" s="344" t="s">
        <v>584</v>
      </c>
      <c r="AB2023" s="344">
        <v>1</v>
      </c>
      <c r="AC2023" s="344" t="e">
        <v>#N/A</v>
      </c>
      <c r="AD2023" s="1058" t="s">
        <v>585</v>
      </c>
      <c r="AE2023" s="1059" t="e">
        <v>#N/A</v>
      </c>
      <c r="AF2023" s="889" t="s">
        <v>459</v>
      </c>
      <c r="AG2023" s="889" t="s">
        <v>459</v>
      </c>
    </row>
    <row r="2024" spans="26:33" x14ac:dyDescent="0.35">
      <c r="Z2024" s="344">
        <v>5002</v>
      </c>
      <c r="AA2024" s="344" t="s">
        <v>584</v>
      </c>
      <c r="AB2024" s="344">
        <v>1</v>
      </c>
      <c r="AC2024" s="344" t="e">
        <v>#N/A</v>
      </c>
      <c r="AD2024" s="1058" t="s">
        <v>585</v>
      </c>
      <c r="AE2024" s="1059" t="e">
        <v>#N/A</v>
      </c>
      <c r="AF2024" s="889" t="s">
        <v>459</v>
      </c>
      <c r="AG2024" s="889" t="s">
        <v>459</v>
      </c>
    </row>
    <row r="2025" spans="26:33" x14ac:dyDescent="0.35">
      <c r="Z2025" s="344">
        <v>5003</v>
      </c>
      <c r="AA2025" s="344" t="s">
        <v>584</v>
      </c>
      <c r="AB2025" s="344">
        <v>1</v>
      </c>
      <c r="AC2025" s="344" t="e">
        <v>#N/A</v>
      </c>
      <c r="AD2025" s="1058" t="s">
        <v>585</v>
      </c>
      <c r="AE2025" s="1059" t="e">
        <v>#N/A</v>
      </c>
      <c r="AF2025" s="889" t="s">
        <v>459</v>
      </c>
      <c r="AG2025" s="889" t="s">
        <v>459</v>
      </c>
    </row>
    <row r="2026" spans="26:33" x14ac:dyDescent="0.35">
      <c r="Z2026" s="344">
        <v>5004</v>
      </c>
      <c r="AA2026" s="344" t="s">
        <v>584</v>
      </c>
      <c r="AB2026" s="344">
        <v>1</v>
      </c>
      <c r="AC2026" s="344" t="e">
        <v>#N/A</v>
      </c>
      <c r="AD2026" s="1058" t="s">
        <v>585</v>
      </c>
      <c r="AE2026" s="1059" t="e">
        <v>#N/A</v>
      </c>
      <c r="AF2026" s="889" t="s">
        <v>459</v>
      </c>
      <c r="AG2026" s="889" t="s">
        <v>459</v>
      </c>
    </row>
    <row r="2027" spans="26:33" x14ac:dyDescent="0.35">
      <c r="Z2027" s="344">
        <v>5005</v>
      </c>
      <c r="AA2027" s="344" t="s">
        <v>584</v>
      </c>
      <c r="AB2027" s="344">
        <v>1</v>
      </c>
      <c r="AC2027" s="344" t="e">
        <v>#N/A</v>
      </c>
      <c r="AD2027" s="1058" t="s">
        <v>585</v>
      </c>
      <c r="AE2027" s="1059" t="e">
        <v>#N/A</v>
      </c>
      <c r="AF2027" s="889" t="s">
        <v>459</v>
      </c>
      <c r="AG2027" s="889" t="s">
        <v>459</v>
      </c>
    </row>
    <row r="2028" spans="26:33" x14ac:dyDescent="0.35">
      <c r="Z2028" s="344">
        <v>5006</v>
      </c>
      <c r="AA2028" s="344" t="s">
        <v>584</v>
      </c>
      <c r="AB2028" s="344">
        <v>1</v>
      </c>
      <c r="AC2028" s="344" t="s">
        <v>482</v>
      </c>
      <c r="AD2028" s="1058" t="s">
        <v>585</v>
      </c>
      <c r="AE2028" s="1059">
        <v>1024709</v>
      </c>
      <c r="AF2028" s="889" t="s">
        <v>459</v>
      </c>
      <c r="AG2028" s="889" t="s">
        <v>459</v>
      </c>
    </row>
    <row r="2029" spans="26:33" x14ac:dyDescent="0.35">
      <c r="Z2029" s="344">
        <v>5007</v>
      </c>
      <c r="AA2029" s="344" t="s">
        <v>584</v>
      </c>
      <c r="AB2029" s="344">
        <v>1</v>
      </c>
      <c r="AC2029" s="344" t="s">
        <v>457</v>
      </c>
      <c r="AD2029" s="1058" t="s">
        <v>585</v>
      </c>
      <c r="AE2029" s="1059">
        <v>485585</v>
      </c>
      <c r="AF2029" s="889" t="s">
        <v>459</v>
      </c>
      <c r="AG2029" s="889" t="s">
        <v>459</v>
      </c>
    </row>
    <row r="2030" spans="26:33" x14ac:dyDescent="0.35">
      <c r="Z2030" s="344">
        <v>5008</v>
      </c>
      <c r="AA2030" s="344" t="s">
        <v>584</v>
      </c>
      <c r="AB2030" s="344">
        <v>1</v>
      </c>
      <c r="AC2030" s="344" t="s">
        <v>457</v>
      </c>
      <c r="AD2030" s="1058" t="s">
        <v>585</v>
      </c>
      <c r="AE2030" s="1059">
        <v>452366</v>
      </c>
      <c r="AF2030" s="889" t="s">
        <v>459</v>
      </c>
      <c r="AG2030" s="889" t="s">
        <v>459</v>
      </c>
    </row>
    <row r="2031" spans="26:33" x14ac:dyDescent="0.35">
      <c r="Z2031" s="344">
        <v>5009</v>
      </c>
      <c r="AA2031" s="344" t="s">
        <v>584</v>
      </c>
      <c r="AB2031" s="344">
        <v>1</v>
      </c>
      <c r="AC2031" s="344" t="s">
        <v>471</v>
      </c>
      <c r="AD2031" s="1058" t="s">
        <v>585</v>
      </c>
      <c r="AE2031" s="1059">
        <v>443444</v>
      </c>
      <c r="AF2031" s="889" t="s">
        <v>459</v>
      </c>
      <c r="AG2031" s="889" t="s">
        <v>459</v>
      </c>
    </row>
    <row r="2032" spans="26:33" x14ac:dyDescent="0.35">
      <c r="Z2032" s="344">
        <v>5010</v>
      </c>
      <c r="AA2032" s="344" t="s">
        <v>584</v>
      </c>
      <c r="AB2032" s="344">
        <v>1</v>
      </c>
      <c r="AC2032" s="344" t="s">
        <v>471</v>
      </c>
      <c r="AD2032" s="1058" t="s">
        <v>585</v>
      </c>
      <c r="AE2032" s="1059">
        <v>383163</v>
      </c>
      <c r="AF2032" s="889" t="s">
        <v>459</v>
      </c>
      <c r="AG2032" s="889" t="s">
        <v>459</v>
      </c>
    </row>
    <row r="2033" spans="26:33" x14ac:dyDescent="0.35">
      <c r="Z2033" s="344">
        <v>5011</v>
      </c>
      <c r="AA2033" s="344" t="s">
        <v>584</v>
      </c>
      <c r="AB2033" s="344">
        <v>1</v>
      </c>
      <c r="AC2033" s="344" t="s">
        <v>457</v>
      </c>
      <c r="AD2033" s="1058" t="s">
        <v>585</v>
      </c>
      <c r="AE2033" s="1059">
        <v>500333</v>
      </c>
      <c r="AF2033" s="889" t="s">
        <v>459</v>
      </c>
      <c r="AG2033" s="889" t="s">
        <v>459</v>
      </c>
    </row>
    <row r="2034" spans="26:33" x14ac:dyDescent="0.35">
      <c r="Z2034" s="344">
        <v>5012</v>
      </c>
      <c r="AA2034" s="344" t="s">
        <v>584</v>
      </c>
      <c r="AB2034" s="344">
        <v>1</v>
      </c>
      <c r="AC2034" s="344" t="s">
        <v>471</v>
      </c>
      <c r="AD2034" s="1058" t="s">
        <v>585</v>
      </c>
      <c r="AE2034" s="1059">
        <v>363445</v>
      </c>
      <c r="AF2034" s="889" t="s">
        <v>459</v>
      </c>
      <c r="AG2034" s="889" t="s">
        <v>459</v>
      </c>
    </row>
    <row r="2035" spans="26:33" x14ac:dyDescent="0.35">
      <c r="Z2035" s="344">
        <v>5013</v>
      </c>
      <c r="AA2035" s="344" t="s">
        <v>584</v>
      </c>
      <c r="AB2035" s="344">
        <v>1</v>
      </c>
      <c r="AC2035" s="344" t="s">
        <v>471</v>
      </c>
      <c r="AD2035" s="1058" t="s">
        <v>585</v>
      </c>
      <c r="AE2035" s="1059">
        <v>309510</v>
      </c>
      <c r="AF2035" s="889" t="s">
        <v>459</v>
      </c>
      <c r="AG2035" s="889" t="s">
        <v>459</v>
      </c>
    </row>
    <row r="2036" spans="26:33" x14ac:dyDescent="0.35">
      <c r="Z2036" s="344">
        <v>5014</v>
      </c>
      <c r="AA2036" s="344" t="s">
        <v>584</v>
      </c>
      <c r="AB2036" s="344">
        <v>1</v>
      </c>
      <c r="AC2036" s="344" t="s">
        <v>471</v>
      </c>
      <c r="AD2036" s="1058" t="s">
        <v>585</v>
      </c>
      <c r="AE2036" s="1059">
        <v>389402</v>
      </c>
      <c r="AF2036" s="889" t="s">
        <v>459</v>
      </c>
      <c r="AG2036" s="889" t="s">
        <v>459</v>
      </c>
    </row>
    <row r="2037" spans="26:33" x14ac:dyDescent="0.35">
      <c r="Z2037" s="344">
        <v>5015</v>
      </c>
      <c r="AA2037" s="344" t="s">
        <v>584</v>
      </c>
      <c r="AB2037" s="344">
        <v>1</v>
      </c>
      <c r="AC2037" s="344" t="s">
        <v>471</v>
      </c>
      <c r="AD2037" s="1058" t="s">
        <v>585</v>
      </c>
      <c r="AE2037" s="1059">
        <v>363518</v>
      </c>
      <c r="AF2037" s="889" t="s">
        <v>459</v>
      </c>
      <c r="AG2037" s="889" t="s">
        <v>459</v>
      </c>
    </row>
    <row r="2038" spans="26:33" x14ac:dyDescent="0.35">
      <c r="Z2038" s="344">
        <v>5016</v>
      </c>
      <c r="AA2038" s="344" t="s">
        <v>584</v>
      </c>
      <c r="AB2038" s="344">
        <v>1</v>
      </c>
      <c r="AC2038" s="344" t="s">
        <v>471</v>
      </c>
      <c r="AD2038" s="1058" t="s">
        <v>585</v>
      </c>
      <c r="AE2038" s="1059">
        <v>414697</v>
      </c>
      <c r="AF2038" s="889" t="s">
        <v>459</v>
      </c>
      <c r="AG2038" s="889" t="s">
        <v>459</v>
      </c>
    </row>
    <row r="2039" spans="26:33" x14ac:dyDescent="0.35">
      <c r="Z2039" s="344">
        <v>5017</v>
      </c>
      <c r="AA2039" s="344" t="s">
        <v>584</v>
      </c>
      <c r="AB2039" s="344">
        <v>1</v>
      </c>
      <c r="AC2039" s="344" t="s">
        <v>471</v>
      </c>
      <c r="AD2039" s="1058" t="s">
        <v>585</v>
      </c>
      <c r="AE2039" s="1059">
        <v>325351</v>
      </c>
      <c r="AF2039" s="889" t="s">
        <v>459</v>
      </c>
      <c r="AG2039" s="889" t="s">
        <v>459</v>
      </c>
    </row>
    <row r="2040" spans="26:33" x14ac:dyDescent="0.35">
      <c r="Z2040" s="344">
        <v>5018</v>
      </c>
      <c r="AA2040" s="344" t="s">
        <v>584</v>
      </c>
      <c r="AB2040" s="344">
        <v>1</v>
      </c>
      <c r="AC2040" s="344" t="s">
        <v>457</v>
      </c>
      <c r="AD2040" s="1058" t="s">
        <v>585</v>
      </c>
      <c r="AE2040" s="1059">
        <v>470346</v>
      </c>
      <c r="AF2040" s="889" t="s">
        <v>269</v>
      </c>
      <c r="AG2040" s="889" t="s">
        <v>459</v>
      </c>
    </row>
    <row r="2041" spans="26:33" x14ac:dyDescent="0.35">
      <c r="Z2041" s="344">
        <v>5019</v>
      </c>
      <c r="AA2041" s="344" t="s">
        <v>584</v>
      </c>
      <c r="AB2041" s="344">
        <v>1</v>
      </c>
      <c r="AC2041" s="344" t="s">
        <v>457</v>
      </c>
      <c r="AD2041" s="1058" t="s">
        <v>585</v>
      </c>
      <c r="AE2041" s="1059">
        <v>479599</v>
      </c>
      <c r="AF2041" s="889" t="s">
        <v>459</v>
      </c>
      <c r="AG2041" s="889" t="s">
        <v>459</v>
      </c>
    </row>
    <row r="2042" spans="26:33" x14ac:dyDescent="0.35">
      <c r="Z2042" s="344">
        <v>5020</v>
      </c>
      <c r="AA2042" s="344" t="s">
        <v>584</v>
      </c>
      <c r="AB2042" s="344">
        <v>1</v>
      </c>
      <c r="AC2042" s="344" t="s">
        <v>457</v>
      </c>
      <c r="AD2042" s="1058" t="s">
        <v>585</v>
      </c>
      <c r="AE2042" s="1059">
        <v>557893</v>
      </c>
      <c r="AF2042" s="889" t="s">
        <v>459</v>
      </c>
      <c r="AG2042" s="889" t="s">
        <v>459</v>
      </c>
    </row>
    <row r="2043" spans="26:33" x14ac:dyDescent="0.35">
      <c r="Z2043" s="344">
        <v>5021</v>
      </c>
      <c r="AA2043" s="344" t="s">
        <v>584</v>
      </c>
      <c r="AB2043" s="344">
        <v>1</v>
      </c>
      <c r="AC2043" s="344" t="s">
        <v>457</v>
      </c>
      <c r="AD2043" s="1058" t="s">
        <v>585</v>
      </c>
      <c r="AE2043" s="1059">
        <v>683511</v>
      </c>
      <c r="AF2043" s="889" t="s">
        <v>459</v>
      </c>
      <c r="AG2043" s="889" t="s">
        <v>459</v>
      </c>
    </row>
    <row r="2044" spans="26:33" x14ac:dyDescent="0.35">
      <c r="Z2044" s="344">
        <v>5022</v>
      </c>
      <c r="AA2044" s="344" t="s">
        <v>584</v>
      </c>
      <c r="AB2044" s="344">
        <v>1</v>
      </c>
      <c r="AC2044" s="344" t="s">
        <v>457</v>
      </c>
      <c r="AD2044" s="1058" t="s">
        <v>585</v>
      </c>
      <c r="AE2044" s="1059">
        <v>739637</v>
      </c>
      <c r="AF2044" s="889" t="s">
        <v>459</v>
      </c>
      <c r="AG2044" s="889" t="s">
        <v>459</v>
      </c>
    </row>
    <row r="2045" spans="26:33" x14ac:dyDescent="0.35">
      <c r="Z2045" s="344">
        <v>5023</v>
      </c>
      <c r="AA2045" s="344" t="s">
        <v>584</v>
      </c>
      <c r="AB2045" s="344">
        <v>1</v>
      </c>
      <c r="AC2045" s="344" t="s">
        <v>471</v>
      </c>
      <c r="AD2045" s="1058" t="s">
        <v>585</v>
      </c>
      <c r="AE2045" s="1059">
        <v>433477</v>
      </c>
      <c r="AF2045" s="889" t="s">
        <v>459</v>
      </c>
      <c r="AG2045" s="889" t="s">
        <v>459</v>
      </c>
    </row>
    <row r="2046" spans="26:33" x14ac:dyDescent="0.35">
      <c r="Z2046" s="344">
        <v>5024</v>
      </c>
      <c r="AA2046" s="344" t="s">
        <v>584</v>
      </c>
      <c r="AB2046" s="344">
        <v>1</v>
      </c>
      <c r="AC2046" s="344" t="s">
        <v>457</v>
      </c>
      <c r="AD2046" s="1058" t="s">
        <v>585</v>
      </c>
      <c r="AE2046" s="1059">
        <v>564679</v>
      </c>
      <c r="AF2046" s="889" t="s">
        <v>459</v>
      </c>
      <c r="AG2046" s="889" t="s">
        <v>459</v>
      </c>
    </row>
    <row r="2047" spans="26:33" x14ac:dyDescent="0.35">
      <c r="Z2047" s="344">
        <v>5025</v>
      </c>
      <c r="AA2047" s="344" t="s">
        <v>584</v>
      </c>
      <c r="AB2047" s="344">
        <v>1</v>
      </c>
      <c r="AC2047" s="344" t="s">
        <v>457</v>
      </c>
      <c r="AD2047" s="1058" t="s">
        <v>585</v>
      </c>
      <c r="AE2047" s="1059">
        <v>512468</v>
      </c>
      <c r="AF2047" s="889" t="s">
        <v>459</v>
      </c>
      <c r="AG2047" s="889" t="s">
        <v>459</v>
      </c>
    </row>
    <row r="2048" spans="26:33" x14ac:dyDescent="0.35">
      <c r="Z2048" s="344">
        <v>5026</v>
      </c>
      <c r="AA2048" s="344" t="s">
        <v>584</v>
      </c>
      <c r="AB2048" s="344">
        <v>1</v>
      </c>
      <c r="AC2048" s="344" t="e">
        <v>#N/A</v>
      </c>
      <c r="AD2048" s="1058" t="s">
        <v>585</v>
      </c>
      <c r="AE2048" s="1059" t="e">
        <v>#N/A</v>
      </c>
      <c r="AF2048" s="889" t="s">
        <v>459</v>
      </c>
      <c r="AG2048" s="889" t="s">
        <v>459</v>
      </c>
    </row>
    <row r="2049" spans="26:33" x14ac:dyDescent="0.35">
      <c r="Z2049" s="344">
        <v>5027</v>
      </c>
      <c r="AA2049" s="344" t="s">
        <v>584</v>
      </c>
      <c r="AB2049" s="344">
        <v>1</v>
      </c>
      <c r="AC2049" s="344" t="e">
        <v>#N/A</v>
      </c>
      <c r="AD2049" s="1058" t="s">
        <v>585</v>
      </c>
      <c r="AE2049" s="1059" t="e">
        <v>#N/A</v>
      </c>
      <c r="AF2049" s="889" t="s">
        <v>459</v>
      </c>
      <c r="AG2049" s="889" t="s">
        <v>459</v>
      </c>
    </row>
    <row r="2050" spans="26:33" x14ac:dyDescent="0.35">
      <c r="Z2050" s="344">
        <v>5028</v>
      </c>
      <c r="AA2050" s="344" t="s">
        <v>584</v>
      </c>
      <c r="AB2050" s="344">
        <v>1</v>
      </c>
      <c r="AC2050" s="344" t="e">
        <v>#N/A</v>
      </c>
      <c r="AD2050" s="1058" t="s">
        <v>585</v>
      </c>
      <c r="AE2050" s="1059" t="e">
        <v>#N/A</v>
      </c>
      <c r="AF2050" s="889" t="s">
        <v>459</v>
      </c>
      <c r="AG2050" s="889" t="s">
        <v>459</v>
      </c>
    </row>
    <row r="2051" spans="26:33" x14ac:dyDescent="0.35">
      <c r="Z2051" s="344">
        <v>5029</v>
      </c>
      <c r="AA2051" s="344" t="s">
        <v>584</v>
      </c>
      <c r="AB2051" s="344">
        <v>1</v>
      </c>
      <c r="AC2051" s="344" t="e">
        <v>#N/A</v>
      </c>
      <c r="AD2051" s="1058" t="s">
        <v>585</v>
      </c>
      <c r="AE2051" s="1059" t="e">
        <v>#N/A</v>
      </c>
      <c r="AF2051" s="889" t="s">
        <v>459</v>
      </c>
      <c r="AG2051" s="889" t="s">
        <v>459</v>
      </c>
    </row>
    <row r="2052" spans="26:33" x14ac:dyDescent="0.35">
      <c r="Z2052" s="344">
        <v>5030</v>
      </c>
      <c r="AA2052" s="344" t="s">
        <v>584</v>
      </c>
      <c r="AB2052" s="344">
        <v>1</v>
      </c>
      <c r="AC2052" s="344" t="e">
        <v>#N/A</v>
      </c>
      <c r="AD2052" s="1058" t="s">
        <v>585</v>
      </c>
      <c r="AE2052" s="1059" t="e">
        <v>#N/A</v>
      </c>
      <c r="AF2052" s="889" t="s">
        <v>459</v>
      </c>
      <c r="AG2052" s="889" t="s">
        <v>459</v>
      </c>
    </row>
    <row r="2053" spans="26:33" x14ac:dyDescent="0.35">
      <c r="Z2053" s="344">
        <v>5031</v>
      </c>
      <c r="AA2053" s="344" t="s">
        <v>584</v>
      </c>
      <c r="AB2053" s="344">
        <v>1</v>
      </c>
      <c r="AC2053" s="344" t="s">
        <v>457</v>
      </c>
      <c r="AD2053" s="1058" t="s">
        <v>585</v>
      </c>
      <c r="AE2053" s="1059">
        <v>469661</v>
      </c>
      <c r="AF2053" s="889" t="s">
        <v>459</v>
      </c>
      <c r="AG2053" s="889" t="s">
        <v>459</v>
      </c>
    </row>
    <row r="2054" spans="26:33" x14ac:dyDescent="0.35">
      <c r="Z2054" s="344">
        <v>5032</v>
      </c>
      <c r="AA2054" s="344" t="s">
        <v>584</v>
      </c>
      <c r="AB2054" s="344">
        <v>1</v>
      </c>
      <c r="AC2054" s="344" t="s">
        <v>457</v>
      </c>
      <c r="AD2054" s="1058" t="s">
        <v>585</v>
      </c>
      <c r="AE2054" s="1059">
        <v>513270</v>
      </c>
      <c r="AF2054" s="889" t="s">
        <v>459</v>
      </c>
      <c r="AG2054" s="889" t="s">
        <v>459</v>
      </c>
    </row>
    <row r="2055" spans="26:33" x14ac:dyDescent="0.35">
      <c r="Z2055" s="344">
        <v>5033</v>
      </c>
      <c r="AA2055" s="344" t="s">
        <v>584</v>
      </c>
      <c r="AB2055" s="344">
        <v>1</v>
      </c>
      <c r="AC2055" s="344" t="s">
        <v>471</v>
      </c>
      <c r="AD2055" s="1058" t="s">
        <v>585</v>
      </c>
      <c r="AE2055" s="1059">
        <v>438699</v>
      </c>
      <c r="AF2055" s="889" t="s">
        <v>459</v>
      </c>
      <c r="AG2055" s="889" t="s">
        <v>459</v>
      </c>
    </row>
    <row r="2056" spans="26:33" x14ac:dyDescent="0.35">
      <c r="Z2056" s="344">
        <v>5034</v>
      </c>
      <c r="AA2056" s="344" t="s">
        <v>584</v>
      </c>
      <c r="AB2056" s="344">
        <v>1</v>
      </c>
      <c r="AC2056" s="344" t="s">
        <v>457</v>
      </c>
      <c r="AD2056" s="1058" t="s">
        <v>585</v>
      </c>
      <c r="AE2056" s="1059">
        <v>716631</v>
      </c>
      <c r="AF2056" s="889" t="s">
        <v>459</v>
      </c>
      <c r="AG2056" s="889" t="s">
        <v>459</v>
      </c>
    </row>
    <row r="2057" spans="26:33" x14ac:dyDescent="0.35">
      <c r="Z2057" s="344">
        <v>5035</v>
      </c>
      <c r="AA2057" s="344" t="s">
        <v>584</v>
      </c>
      <c r="AB2057" s="344">
        <v>1</v>
      </c>
      <c r="AC2057" s="344" t="s">
        <v>457</v>
      </c>
      <c r="AD2057" s="1058" t="s">
        <v>585</v>
      </c>
      <c r="AE2057" s="1059">
        <v>580230</v>
      </c>
      <c r="AF2057" s="889" t="s">
        <v>459</v>
      </c>
      <c r="AG2057" s="889" t="s">
        <v>459</v>
      </c>
    </row>
    <row r="2058" spans="26:33" x14ac:dyDescent="0.35">
      <c r="Z2058" s="344">
        <v>5036</v>
      </c>
      <c r="AA2058" s="344" t="s">
        <v>584</v>
      </c>
      <c r="AB2058" s="344">
        <v>1</v>
      </c>
      <c r="AC2058" s="344" t="e">
        <v>#N/A</v>
      </c>
      <c r="AD2058" s="1058" t="s">
        <v>585</v>
      </c>
      <c r="AE2058" s="1059" t="e">
        <v>#N/A</v>
      </c>
      <c r="AF2058" s="889" t="s">
        <v>459</v>
      </c>
      <c r="AG2058" s="889" t="s">
        <v>459</v>
      </c>
    </row>
    <row r="2059" spans="26:33" x14ac:dyDescent="0.35">
      <c r="Z2059" s="344">
        <v>5037</v>
      </c>
      <c r="AA2059" s="344" t="s">
        <v>584</v>
      </c>
      <c r="AB2059" s="344">
        <v>1</v>
      </c>
      <c r="AC2059" s="344" t="s">
        <v>457</v>
      </c>
      <c r="AD2059" s="1058" t="s">
        <v>585</v>
      </c>
      <c r="AE2059" s="1059">
        <v>482679</v>
      </c>
      <c r="AF2059" s="889" t="s">
        <v>459</v>
      </c>
      <c r="AG2059" s="889" t="s">
        <v>459</v>
      </c>
    </row>
    <row r="2060" spans="26:33" x14ac:dyDescent="0.35">
      <c r="Z2060" s="344">
        <v>5038</v>
      </c>
      <c r="AA2060" s="344" t="s">
        <v>584</v>
      </c>
      <c r="AB2060" s="344">
        <v>1</v>
      </c>
      <c r="AC2060" s="344" t="s">
        <v>457</v>
      </c>
      <c r="AD2060" s="1058" t="s">
        <v>585</v>
      </c>
      <c r="AE2060" s="1059">
        <v>453610</v>
      </c>
      <c r="AF2060" s="889" t="s">
        <v>459</v>
      </c>
      <c r="AG2060" s="889" t="s">
        <v>459</v>
      </c>
    </row>
    <row r="2061" spans="26:33" x14ac:dyDescent="0.35">
      <c r="Z2061" s="344">
        <v>5039</v>
      </c>
      <c r="AA2061" s="344" t="s">
        <v>584</v>
      </c>
      <c r="AB2061" s="344">
        <v>1</v>
      </c>
      <c r="AC2061" s="344" t="s">
        <v>457</v>
      </c>
      <c r="AD2061" s="1058" t="s">
        <v>585</v>
      </c>
      <c r="AE2061" s="1059">
        <v>467332</v>
      </c>
      <c r="AF2061" s="889" t="s">
        <v>459</v>
      </c>
      <c r="AG2061" s="889" t="s">
        <v>459</v>
      </c>
    </row>
    <row r="2062" spans="26:33" x14ac:dyDescent="0.35">
      <c r="Z2062" s="344">
        <v>5040</v>
      </c>
      <c r="AA2062" s="344" t="s">
        <v>584</v>
      </c>
      <c r="AB2062" s="344">
        <v>1</v>
      </c>
      <c r="AC2062" s="344" t="s">
        <v>457</v>
      </c>
      <c r="AD2062" s="1058" t="s">
        <v>585</v>
      </c>
      <c r="AE2062" s="1059">
        <v>564723</v>
      </c>
      <c r="AF2062" s="889" t="s">
        <v>459</v>
      </c>
      <c r="AG2062" s="889" t="s">
        <v>459</v>
      </c>
    </row>
    <row r="2063" spans="26:33" x14ac:dyDescent="0.35">
      <c r="Z2063" s="344">
        <v>5041</v>
      </c>
      <c r="AA2063" s="344" t="s">
        <v>584</v>
      </c>
      <c r="AB2063" s="344">
        <v>1</v>
      </c>
      <c r="AC2063" s="344" t="s">
        <v>457</v>
      </c>
      <c r="AD2063" s="1058" t="s">
        <v>585</v>
      </c>
      <c r="AE2063" s="1059">
        <v>601215</v>
      </c>
      <c r="AF2063" s="889" t="s">
        <v>459</v>
      </c>
      <c r="AG2063" s="889" t="s">
        <v>459</v>
      </c>
    </row>
    <row r="2064" spans="26:33" x14ac:dyDescent="0.35">
      <c r="Z2064" s="344">
        <v>5042</v>
      </c>
      <c r="AA2064" s="344" t="s">
        <v>584</v>
      </c>
      <c r="AB2064" s="344">
        <v>1</v>
      </c>
      <c r="AC2064" s="344" t="s">
        <v>471</v>
      </c>
      <c r="AD2064" s="1058" t="s">
        <v>585</v>
      </c>
      <c r="AE2064" s="1059">
        <v>434009</v>
      </c>
      <c r="AF2064" s="889" t="s">
        <v>459</v>
      </c>
      <c r="AG2064" s="889" t="s">
        <v>459</v>
      </c>
    </row>
    <row r="2065" spans="26:33" x14ac:dyDescent="0.35">
      <c r="Z2065" s="344">
        <v>5043</v>
      </c>
      <c r="AA2065" s="344" t="s">
        <v>584</v>
      </c>
      <c r="AB2065" s="344">
        <v>1</v>
      </c>
      <c r="AC2065" s="344" t="s">
        <v>471</v>
      </c>
      <c r="AD2065" s="1058" t="s">
        <v>585</v>
      </c>
      <c r="AE2065" s="1059">
        <v>434971</v>
      </c>
      <c r="AF2065" s="889" t="s">
        <v>459</v>
      </c>
      <c r="AG2065" s="889" t="s">
        <v>459</v>
      </c>
    </row>
    <row r="2066" spans="26:33" x14ac:dyDescent="0.35">
      <c r="Z2066" s="344">
        <v>5044</v>
      </c>
      <c r="AA2066" s="344" t="s">
        <v>584</v>
      </c>
      <c r="AB2066" s="344">
        <v>1</v>
      </c>
      <c r="AC2066" s="344" t="s">
        <v>457</v>
      </c>
      <c r="AD2066" s="1058" t="s">
        <v>585</v>
      </c>
      <c r="AE2066" s="1059">
        <v>619883</v>
      </c>
      <c r="AF2066" s="889" t="s">
        <v>459</v>
      </c>
      <c r="AG2066" s="889" t="s">
        <v>459</v>
      </c>
    </row>
    <row r="2067" spans="26:33" x14ac:dyDescent="0.35">
      <c r="Z2067" s="344">
        <v>5045</v>
      </c>
      <c r="AA2067" s="344" t="s">
        <v>584</v>
      </c>
      <c r="AB2067" s="344">
        <v>1</v>
      </c>
      <c r="AC2067" s="344" t="s">
        <v>457</v>
      </c>
      <c r="AD2067" s="1058" t="s">
        <v>585</v>
      </c>
      <c r="AE2067" s="1059">
        <v>717193</v>
      </c>
      <c r="AF2067" s="889" t="s">
        <v>459</v>
      </c>
      <c r="AG2067" s="889" t="s">
        <v>459</v>
      </c>
    </row>
    <row r="2068" spans="26:33" x14ac:dyDescent="0.35">
      <c r="Z2068" s="344">
        <v>5046</v>
      </c>
      <c r="AA2068" s="344" t="s">
        <v>584</v>
      </c>
      <c r="AB2068" s="344">
        <v>1</v>
      </c>
      <c r="AC2068" s="344" t="s">
        <v>457</v>
      </c>
      <c r="AD2068" s="1058" t="s">
        <v>585</v>
      </c>
      <c r="AE2068" s="1059">
        <v>467234</v>
      </c>
      <c r="AF2068" s="889" t="s">
        <v>459</v>
      </c>
      <c r="AG2068" s="889" t="s">
        <v>459</v>
      </c>
    </row>
    <row r="2069" spans="26:33" x14ac:dyDescent="0.35">
      <c r="Z2069" s="344">
        <v>5047</v>
      </c>
      <c r="AA2069" s="344" t="s">
        <v>584</v>
      </c>
      <c r="AB2069" s="344">
        <v>1</v>
      </c>
      <c r="AC2069" s="344" t="s">
        <v>471</v>
      </c>
      <c r="AD2069" s="1058" t="s">
        <v>585</v>
      </c>
      <c r="AE2069" s="1059">
        <v>419887</v>
      </c>
      <c r="AF2069" s="889" t="s">
        <v>459</v>
      </c>
      <c r="AG2069" s="889" t="s">
        <v>459</v>
      </c>
    </row>
    <row r="2070" spans="26:33" x14ac:dyDescent="0.35">
      <c r="Z2070" s="344">
        <v>5048</v>
      </c>
      <c r="AA2070" s="344" t="s">
        <v>584</v>
      </c>
      <c r="AB2070" s="344">
        <v>1</v>
      </c>
      <c r="AC2070" s="344" t="s">
        <v>457</v>
      </c>
      <c r="AD2070" s="1058" t="s">
        <v>585</v>
      </c>
      <c r="AE2070" s="1059">
        <v>542341</v>
      </c>
      <c r="AF2070" s="889" t="s">
        <v>459</v>
      </c>
      <c r="AG2070" s="889" t="s">
        <v>459</v>
      </c>
    </row>
    <row r="2071" spans="26:33" x14ac:dyDescent="0.35">
      <c r="Z2071" s="344">
        <v>5049</v>
      </c>
      <c r="AA2071" s="344" t="s">
        <v>584</v>
      </c>
      <c r="AB2071" s="344">
        <v>1</v>
      </c>
      <c r="AC2071" s="344" t="s">
        <v>457</v>
      </c>
      <c r="AD2071" s="1058" t="s">
        <v>585</v>
      </c>
      <c r="AE2071" s="1059">
        <v>582845</v>
      </c>
      <c r="AF2071" s="889" t="s">
        <v>459</v>
      </c>
      <c r="AG2071" s="889" t="s">
        <v>459</v>
      </c>
    </row>
    <row r="2072" spans="26:33" x14ac:dyDescent="0.35">
      <c r="Z2072" s="344">
        <v>5050</v>
      </c>
      <c r="AA2072" s="344" t="s">
        <v>584</v>
      </c>
      <c r="AB2072" s="344">
        <v>1</v>
      </c>
      <c r="AC2072" s="344" t="s">
        <v>457</v>
      </c>
      <c r="AD2072" s="1058" t="s">
        <v>585</v>
      </c>
      <c r="AE2072" s="1059">
        <v>506141</v>
      </c>
      <c r="AF2072" s="889" t="s">
        <v>459</v>
      </c>
      <c r="AG2072" s="889" t="s">
        <v>459</v>
      </c>
    </row>
    <row r="2073" spans="26:33" x14ac:dyDescent="0.35">
      <c r="Z2073" s="344">
        <v>5051</v>
      </c>
      <c r="AA2073" s="344" t="s">
        <v>584</v>
      </c>
      <c r="AB2073" s="344">
        <v>1</v>
      </c>
      <c r="AC2073" s="344" t="s">
        <v>457</v>
      </c>
      <c r="AD2073" s="1058" t="s">
        <v>585</v>
      </c>
      <c r="AE2073" s="1059">
        <v>535943</v>
      </c>
      <c r="AF2073" s="889" t="s">
        <v>459</v>
      </c>
      <c r="AG2073" s="889" t="s">
        <v>459</v>
      </c>
    </row>
    <row r="2074" spans="26:33" x14ac:dyDescent="0.35">
      <c r="Z2074" s="344">
        <v>5052</v>
      </c>
      <c r="AA2074" s="344" t="s">
        <v>584</v>
      </c>
      <c r="AB2074" s="344">
        <v>1</v>
      </c>
      <c r="AC2074" s="344" t="s">
        <v>457</v>
      </c>
      <c r="AD2074" s="1058" t="s">
        <v>585</v>
      </c>
      <c r="AE2074" s="1059">
        <v>509083</v>
      </c>
      <c r="AF2074" s="889" t="s">
        <v>459</v>
      </c>
      <c r="AG2074" s="889" t="s">
        <v>459</v>
      </c>
    </row>
    <row r="2075" spans="26:33" x14ac:dyDescent="0.35">
      <c r="Z2075" s="344">
        <v>5053</v>
      </c>
      <c r="AA2075" s="344" t="s">
        <v>584</v>
      </c>
      <c r="AB2075" s="344">
        <v>1</v>
      </c>
      <c r="AC2075" s="344" t="e">
        <v>#N/A</v>
      </c>
      <c r="AD2075" s="1058" t="s">
        <v>585</v>
      </c>
      <c r="AE2075" s="1059" t="e">
        <v>#N/A</v>
      </c>
      <c r="AF2075" s="889" t="s">
        <v>459</v>
      </c>
      <c r="AG2075" s="889" t="s">
        <v>459</v>
      </c>
    </row>
    <row r="2076" spans="26:33" x14ac:dyDescent="0.35">
      <c r="Z2076" s="344">
        <v>5054</v>
      </c>
      <c r="AA2076" s="344" t="s">
        <v>584</v>
      </c>
      <c r="AB2076" s="344">
        <v>1</v>
      </c>
      <c r="AC2076" s="344" t="e">
        <v>#N/A</v>
      </c>
      <c r="AD2076" s="1058" t="s">
        <v>585</v>
      </c>
      <c r="AE2076" s="1059" t="e">
        <v>#N/A</v>
      </c>
      <c r="AF2076" s="889" t="s">
        <v>459</v>
      </c>
      <c r="AG2076" s="889" t="s">
        <v>459</v>
      </c>
    </row>
    <row r="2077" spans="26:33" x14ac:dyDescent="0.35">
      <c r="Z2077" s="344">
        <v>5055</v>
      </c>
      <c r="AA2077" s="344" t="s">
        <v>584</v>
      </c>
      <c r="AB2077" s="344">
        <v>1</v>
      </c>
      <c r="AC2077" s="344" t="e">
        <v>#N/A</v>
      </c>
      <c r="AD2077" s="1058" t="s">
        <v>585</v>
      </c>
      <c r="AE2077" s="1059" t="e">
        <v>#N/A</v>
      </c>
      <c r="AF2077" s="889" t="s">
        <v>459</v>
      </c>
      <c r="AG2077" s="889" t="s">
        <v>459</v>
      </c>
    </row>
    <row r="2078" spans="26:33" x14ac:dyDescent="0.35">
      <c r="Z2078" s="344">
        <v>5056</v>
      </c>
      <c r="AA2078" s="344" t="s">
        <v>584</v>
      </c>
      <c r="AB2078" s="344">
        <v>1</v>
      </c>
      <c r="AC2078" s="344" t="e">
        <v>#N/A</v>
      </c>
      <c r="AD2078" s="1058" t="s">
        <v>585</v>
      </c>
      <c r="AE2078" s="1059" t="e">
        <v>#N/A</v>
      </c>
      <c r="AF2078" s="889" t="s">
        <v>459</v>
      </c>
      <c r="AG2078" s="889" t="s">
        <v>459</v>
      </c>
    </row>
    <row r="2079" spans="26:33" x14ac:dyDescent="0.35">
      <c r="Z2079" s="344">
        <v>5057</v>
      </c>
      <c r="AA2079" s="344" t="s">
        <v>584</v>
      </c>
      <c r="AB2079" s="344">
        <v>1</v>
      </c>
      <c r="AC2079" s="344" t="e">
        <v>#N/A</v>
      </c>
      <c r="AD2079" s="1058" t="s">
        <v>585</v>
      </c>
      <c r="AE2079" s="1059" t="e">
        <v>#N/A</v>
      </c>
      <c r="AF2079" s="889" t="s">
        <v>459</v>
      </c>
      <c r="AG2079" s="889" t="s">
        <v>459</v>
      </c>
    </row>
    <row r="2080" spans="26:33" x14ac:dyDescent="0.35">
      <c r="Z2080" s="344">
        <v>5058</v>
      </c>
      <c r="AA2080" s="344" t="s">
        <v>584</v>
      </c>
      <c r="AB2080" s="344">
        <v>1</v>
      </c>
      <c r="AC2080" s="344" t="e">
        <v>#N/A</v>
      </c>
      <c r="AD2080" s="1058" t="s">
        <v>585</v>
      </c>
      <c r="AE2080" s="1059" t="e">
        <v>#N/A</v>
      </c>
      <c r="AF2080" s="889" t="s">
        <v>459</v>
      </c>
      <c r="AG2080" s="889" t="s">
        <v>459</v>
      </c>
    </row>
    <row r="2081" spans="26:33" x14ac:dyDescent="0.35">
      <c r="Z2081" s="344">
        <v>5059</v>
      </c>
      <c r="AA2081" s="344" t="s">
        <v>584</v>
      </c>
      <c r="AB2081" s="344">
        <v>1</v>
      </c>
      <c r="AC2081" s="344" t="e">
        <v>#N/A</v>
      </c>
      <c r="AD2081" s="1058" t="s">
        <v>585</v>
      </c>
      <c r="AE2081" s="1059" t="e">
        <v>#N/A</v>
      </c>
      <c r="AF2081" s="889" t="s">
        <v>459</v>
      </c>
      <c r="AG2081" s="889" t="s">
        <v>459</v>
      </c>
    </row>
    <row r="2082" spans="26:33" x14ac:dyDescent="0.35">
      <c r="Z2082" s="344">
        <v>5060</v>
      </c>
      <c r="AA2082" s="344" t="s">
        <v>584</v>
      </c>
      <c r="AB2082" s="344">
        <v>1</v>
      </c>
      <c r="AC2082" s="344" t="e">
        <v>#N/A</v>
      </c>
      <c r="AD2082" s="1058" t="s">
        <v>585</v>
      </c>
      <c r="AE2082" s="1059" t="e">
        <v>#N/A</v>
      </c>
      <c r="AF2082" s="889" t="s">
        <v>459</v>
      </c>
      <c r="AG2082" s="889" t="s">
        <v>459</v>
      </c>
    </row>
    <row r="2083" spans="26:33" x14ac:dyDescent="0.35">
      <c r="Z2083" s="344">
        <v>5061</v>
      </c>
      <c r="AA2083" s="344" t="s">
        <v>584</v>
      </c>
      <c r="AB2083" s="344">
        <v>1</v>
      </c>
      <c r="AC2083" s="344" t="s">
        <v>482</v>
      </c>
      <c r="AD2083" s="1058" t="s">
        <v>585</v>
      </c>
      <c r="AE2083" s="1059">
        <v>1068005</v>
      </c>
      <c r="AF2083" s="889" t="s">
        <v>459</v>
      </c>
      <c r="AG2083" s="889" t="s">
        <v>459</v>
      </c>
    </row>
    <row r="2084" spans="26:33" x14ac:dyDescent="0.35">
      <c r="Z2084" s="344">
        <v>5062</v>
      </c>
      <c r="AA2084" s="344" t="s">
        <v>584</v>
      </c>
      <c r="AB2084" s="344">
        <v>1</v>
      </c>
      <c r="AC2084" s="344" t="s">
        <v>479</v>
      </c>
      <c r="AD2084" s="1058" t="s">
        <v>585</v>
      </c>
      <c r="AE2084" s="1059">
        <v>796657</v>
      </c>
      <c r="AF2084" s="889" t="s">
        <v>459</v>
      </c>
      <c r="AG2084" s="889" t="s">
        <v>459</v>
      </c>
    </row>
    <row r="2085" spans="26:33" x14ac:dyDescent="0.35">
      <c r="Z2085" s="344">
        <v>5063</v>
      </c>
      <c r="AA2085" s="344" t="s">
        <v>584</v>
      </c>
      <c r="AB2085" s="344">
        <v>1</v>
      </c>
      <c r="AC2085" s="344" t="s">
        <v>457</v>
      </c>
      <c r="AD2085" s="1058" t="s">
        <v>585</v>
      </c>
      <c r="AE2085" s="1059">
        <v>688391</v>
      </c>
      <c r="AF2085" s="889" t="s">
        <v>459</v>
      </c>
      <c r="AG2085" s="889" t="s">
        <v>459</v>
      </c>
    </row>
    <row r="2086" spans="26:33" x14ac:dyDescent="0.35">
      <c r="Z2086" s="344">
        <v>5064</v>
      </c>
      <c r="AA2086" s="344" t="s">
        <v>584</v>
      </c>
      <c r="AB2086" s="344">
        <v>1</v>
      </c>
      <c r="AC2086" s="344" t="s">
        <v>479</v>
      </c>
      <c r="AD2086" s="1058" t="s">
        <v>585</v>
      </c>
      <c r="AE2086" s="1059">
        <v>780379</v>
      </c>
      <c r="AF2086" s="889" t="s">
        <v>459</v>
      </c>
      <c r="AG2086" s="889" t="s">
        <v>459</v>
      </c>
    </row>
    <row r="2087" spans="26:33" x14ac:dyDescent="0.35">
      <c r="Z2087" s="344">
        <v>5065</v>
      </c>
      <c r="AA2087" s="344" t="s">
        <v>584</v>
      </c>
      <c r="AB2087" s="344">
        <v>1</v>
      </c>
      <c r="AC2087" s="344" t="s">
        <v>482</v>
      </c>
      <c r="AD2087" s="1058" t="s">
        <v>585</v>
      </c>
      <c r="AE2087" s="1059">
        <v>914737</v>
      </c>
      <c r="AF2087" s="889" t="s">
        <v>459</v>
      </c>
      <c r="AG2087" s="889" t="s">
        <v>459</v>
      </c>
    </row>
    <row r="2088" spans="26:33" x14ac:dyDescent="0.35">
      <c r="Z2088" s="344">
        <v>5066</v>
      </c>
      <c r="AA2088" s="344" t="s">
        <v>584</v>
      </c>
      <c r="AB2088" s="344">
        <v>1</v>
      </c>
      <c r="AC2088" s="344" t="s">
        <v>479</v>
      </c>
      <c r="AD2088" s="1058" t="s">
        <v>585</v>
      </c>
      <c r="AE2088" s="1059">
        <v>759195</v>
      </c>
      <c r="AF2088" s="889" t="s">
        <v>459</v>
      </c>
      <c r="AG2088" s="889" t="s">
        <v>459</v>
      </c>
    </row>
    <row r="2089" spans="26:33" x14ac:dyDescent="0.35">
      <c r="Z2089" s="344">
        <v>5067</v>
      </c>
      <c r="AA2089" s="344" t="s">
        <v>584</v>
      </c>
      <c r="AB2089" s="344">
        <v>1</v>
      </c>
      <c r="AC2089" s="344" t="s">
        <v>479</v>
      </c>
      <c r="AD2089" s="1058" t="s">
        <v>585</v>
      </c>
      <c r="AE2089" s="1059">
        <v>846625</v>
      </c>
      <c r="AF2089" s="889" t="s">
        <v>459</v>
      </c>
      <c r="AG2089" s="889" t="s">
        <v>459</v>
      </c>
    </row>
    <row r="2090" spans="26:33" x14ac:dyDescent="0.35">
      <c r="Z2090" s="344">
        <v>5068</v>
      </c>
      <c r="AA2090" s="344" t="s">
        <v>584</v>
      </c>
      <c r="AB2090" s="344">
        <v>1</v>
      </c>
      <c r="AC2090" s="344" t="s">
        <v>457</v>
      </c>
      <c r="AD2090" s="1058" t="s">
        <v>585</v>
      </c>
      <c r="AE2090" s="1059">
        <v>739796</v>
      </c>
      <c r="AF2090" s="889" t="s">
        <v>459</v>
      </c>
      <c r="AG2090" s="889" t="s">
        <v>459</v>
      </c>
    </row>
    <row r="2091" spans="26:33" x14ac:dyDescent="0.35">
      <c r="Z2091" s="344">
        <v>5069</v>
      </c>
      <c r="AA2091" s="344" t="s">
        <v>584</v>
      </c>
      <c r="AB2091" s="344">
        <v>1</v>
      </c>
      <c r="AC2091" s="344" t="s">
        <v>479</v>
      </c>
      <c r="AD2091" s="1058" t="s">
        <v>585</v>
      </c>
      <c r="AE2091" s="1059">
        <v>812280</v>
      </c>
      <c r="AF2091" s="889" t="s">
        <v>459</v>
      </c>
      <c r="AG2091" s="889" t="s">
        <v>459</v>
      </c>
    </row>
    <row r="2092" spans="26:33" x14ac:dyDescent="0.35">
      <c r="Z2092" s="344">
        <v>5070</v>
      </c>
      <c r="AA2092" s="344" t="s">
        <v>584</v>
      </c>
      <c r="AB2092" s="344">
        <v>1</v>
      </c>
      <c r="AC2092" s="344" t="s">
        <v>457</v>
      </c>
      <c r="AD2092" s="1058" t="s">
        <v>585</v>
      </c>
      <c r="AE2092" s="1059">
        <v>608305</v>
      </c>
      <c r="AF2092" s="889" t="s">
        <v>459</v>
      </c>
      <c r="AG2092" s="889" t="s">
        <v>459</v>
      </c>
    </row>
    <row r="2093" spans="26:33" x14ac:dyDescent="0.35">
      <c r="Z2093" s="344">
        <v>5071</v>
      </c>
      <c r="AA2093" s="344" t="s">
        <v>584</v>
      </c>
      <c r="AB2093" s="344">
        <v>1</v>
      </c>
      <c r="AC2093" s="344" t="e">
        <v>#N/A</v>
      </c>
      <c r="AD2093" s="1058" t="s">
        <v>585</v>
      </c>
      <c r="AE2093" s="1059" t="e">
        <v>#N/A</v>
      </c>
      <c r="AF2093" s="889" t="s">
        <v>459</v>
      </c>
      <c r="AG2093" s="889" t="s">
        <v>459</v>
      </c>
    </row>
    <row r="2094" spans="26:33" x14ac:dyDescent="0.35">
      <c r="Z2094" s="344">
        <v>5072</v>
      </c>
      <c r="AA2094" s="344" t="s">
        <v>584</v>
      </c>
      <c r="AB2094" s="344">
        <v>1</v>
      </c>
      <c r="AC2094" s="344" t="s">
        <v>479</v>
      </c>
      <c r="AD2094" s="1058" t="s">
        <v>585</v>
      </c>
      <c r="AE2094" s="1059">
        <v>756081</v>
      </c>
      <c r="AF2094" s="889" t="s">
        <v>459</v>
      </c>
      <c r="AG2094" s="889" t="s">
        <v>459</v>
      </c>
    </row>
    <row r="2095" spans="26:33" x14ac:dyDescent="0.35">
      <c r="Z2095" s="344">
        <v>5073</v>
      </c>
      <c r="AA2095" s="344" t="s">
        <v>584</v>
      </c>
      <c r="AB2095" s="344">
        <v>1</v>
      </c>
      <c r="AC2095" s="344" t="s">
        <v>457</v>
      </c>
      <c r="AD2095" s="1058" t="s">
        <v>585</v>
      </c>
      <c r="AE2095" s="1059">
        <v>519481</v>
      </c>
      <c r="AF2095" s="889" t="s">
        <v>459</v>
      </c>
      <c r="AG2095" s="889" t="s">
        <v>459</v>
      </c>
    </row>
    <row r="2096" spans="26:33" x14ac:dyDescent="0.35">
      <c r="Z2096" s="344">
        <v>5074</v>
      </c>
      <c r="AA2096" s="344" t="s">
        <v>584</v>
      </c>
      <c r="AB2096" s="344">
        <v>1</v>
      </c>
      <c r="AC2096" s="344" t="s">
        <v>457</v>
      </c>
      <c r="AD2096" s="1058" t="s">
        <v>585</v>
      </c>
      <c r="AE2096" s="1059">
        <v>457403</v>
      </c>
      <c r="AF2096" s="889" t="s">
        <v>459</v>
      </c>
      <c r="AG2096" s="889" t="s">
        <v>459</v>
      </c>
    </row>
    <row r="2097" spans="26:33" x14ac:dyDescent="0.35">
      <c r="Z2097" s="344">
        <v>5075</v>
      </c>
      <c r="AA2097" s="344" t="s">
        <v>584</v>
      </c>
      <c r="AB2097" s="344">
        <v>1</v>
      </c>
      <c r="AC2097" s="344" t="s">
        <v>471</v>
      </c>
      <c r="AD2097" s="1058" t="s">
        <v>585</v>
      </c>
      <c r="AE2097" s="1059">
        <v>426597</v>
      </c>
      <c r="AF2097" s="889" t="s">
        <v>459</v>
      </c>
      <c r="AG2097" s="889" t="s">
        <v>459</v>
      </c>
    </row>
    <row r="2098" spans="26:33" x14ac:dyDescent="0.35">
      <c r="Z2098" s="344">
        <v>5076</v>
      </c>
      <c r="AA2098" s="344" t="s">
        <v>584</v>
      </c>
      <c r="AB2098" s="344">
        <v>1</v>
      </c>
      <c r="AC2098" s="344" t="s">
        <v>457</v>
      </c>
      <c r="AD2098" s="1058" t="s">
        <v>585</v>
      </c>
      <c r="AE2098" s="1059">
        <v>467610</v>
      </c>
      <c r="AF2098" s="889" t="s">
        <v>459</v>
      </c>
      <c r="AG2098" s="889" t="s">
        <v>459</v>
      </c>
    </row>
    <row r="2099" spans="26:33" x14ac:dyDescent="0.35">
      <c r="Z2099" s="344">
        <v>5077</v>
      </c>
      <c r="AA2099" s="344" t="s">
        <v>584</v>
      </c>
      <c r="AB2099" s="344">
        <v>1</v>
      </c>
      <c r="AC2099" s="344" t="e">
        <v>#N/A</v>
      </c>
      <c r="AD2099" s="1058" t="s">
        <v>585</v>
      </c>
      <c r="AE2099" s="1059" t="e">
        <v>#N/A</v>
      </c>
      <c r="AF2099" s="889" t="s">
        <v>459</v>
      </c>
      <c r="AG2099" s="889" t="s">
        <v>459</v>
      </c>
    </row>
    <row r="2100" spans="26:33" x14ac:dyDescent="0.35">
      <c r="Z2100" s="344">
        <v>5078</v>
      </c>
      <c r="AA2100" s="344" t="s">
        <v>584</v>
      </c>
      <c r="AB2100" s="344">
        <v>1</v>
      </c>
      <c r="AC2100" s="344" t="e">
        <v>#N/A</v>
      </c>
      <c r="AD2100" s="1058" t="s">
        <v>585</v>
      </c>
      <c r="AE2100" s="1059" t="e">
        <v>#N/A</v>
      </c>
      <c r="AF2100" s="889" t="s">
        <v>459</v>
      </c>
      <c r="AG2100" s="889" t="s">
        <v>459</v>
      </c>
    </row>
    <row r="2101" spans="26:33" x14ac:dyDescent="0.35">
      <c r="Z2101" s="344">
        <v>5079</v>
      </c>
      <c r="AA2101" s="344" t="s">
        <v>584</v>
      </c>
      <c r="AB2101" s="344">
        <v>1</v>
      </c>
      <c r="AC2101" s="344" t="e">
        <v>#N/A</v>
      </c>
      <c r="AD2101" s="1058" t="s">
        <v>585</v>
      </c>
      <c r="AE2101" s="1059" t="e">
        <v>#N/A</v>
      </c>
      <c r="AF2101" s="889" t="s">
        <v>459</v>
      </c>
      <c r="AG2101" s="889" t="s">
        <v>459</v>
      </c>
    </row>
    <row r="2102" spans="26:33" x14ac:dyDescent="0.35">
      <c r="Z2102" s="344">
        <v>5080</v>
      </c>
      <c r="AA2102" s="344" t="s">
        <v>584</v>
      </c>
      <c r="AB2102" s="344">
        <v>1</v>
      </c>
      <c r="AC2102" s="344" t="e">
        <v>#N/A</v>
      </c>
      <c r="AD2102" s="1058" t="s">
        <v>585</v>
      </c>
      <c r="AE2102" s="1059" t="e">
        <v>#N/A</v>
      </c>
      <c r="AF2102" s="889" t="s">
        <v>459</v>
      </c>
      <c r="AG2102" s="889" t="s">
        <v>459</v>
      </c>
    </row>
    <row r="2103" spans="26:33" x14ac:dyDescent="0.35">
      <c r="Z2103" s="344">
        <v>5081</v>
      </c>
      <c r="AA2103" s="344" t="s">
        <v>584</v>
      </c>
      <c r="AB2103" s="344">
        <v>1</v>
      </c>
      <c r="AC2103" s="344" t="s">
        <v>482</v>
      </c>
      <c r="AD2103" s="1058" t="s">
        <v>585</v>
      </c>
      <c r="AE2103" s="1059">
        <v>954637</v>
      </c>
      <c r="AF2103" s="889" t="s">
        <v>459</v>
      </c>
      <c r="AG2103" s="889" t="s">
        <v>459</v>
      </c>
    </row>
    <row r="2104" spans="26:33" x14ac:dyDescent="0.35">
      <c r="Z2104" s="344">
        <v>5082</v>
      </c>
      <c r="AA2104" s="344" t="s">
        <v>584</v>
      </c>
      <c r="AB2104" s="344">
        <v>1</v>
      </c>
      <c r="AC2104" s="344" t="s">
        <v>479</v>
      </c>
      <c r="AD2104" s="1058" t="s">
        <v>585</v>
      </c>
      <c r="AE2104" s="1059">
        <v>753822</v>
      </c>
      <c r="AF2104" s="889" t="s">
        <v>459</v>
      </c>
      <c r="AG2104" s="889" t="s">
        <v>459</v>
      </c>
    </row>
    <row r="2105" spans="26:33" x14ac:dyDescent="0.35">
      <c r="Z2105" s="344">
        <v>5083</v>
      </c>
      <c r="AA2105" s="344" t="s">
        <v>584</v>
      </c>
      <c r="AB2105" s="344">
        <v>1</v>
      </c>
      <c r="AC2105" s="344" t="s">
        <v>457</v>
      </c>
      <c r="AD2105" s="1058" t="s">
        <v>585</v>
      </c>
      <c r="AE2105" s="1059">
        <v>508216</v>
      </c>
      <c r="AF2105" s="889" t="s">
        <v>459</v>
      </c>
      <c r="AG2105" s="889" t="s">
        <v>459</v>
      </c>
    </row>
    <row r="2106" spans="26:33" x14ac:dyDescent="0.35">
      <c r="Z2106" s="344">
        <v>5084</v>
      </c>
      <c r="AA2106" s="344" t="s">
        <v>584</v>
      </c>
      <c r="AB2106" s="344">
        <v>1</v>
      </c>
      <c r="AC2106" s="344" t="s">
        <v>471</v>
      </c>
      <c r="AD2106" s="1058" t="s">
        <v>585</v>
      </c>
      <c r="AE2106" s="1059">
        <v>360737</v>
      </c>
      <c r="AF2106" s="889" t="s">
        <v>459</v>
      </c>
      <c r="AG2106" s="889" t="s">
        <v>459</v>
      </c>
    </row>
    <row r="2107" spans="26:33" x14ac:dyDescent="0.35">
      <c r="Z2107" s="344">
        <v>5085</v>
      </c>
      <c r="AA2107" s="344" t="s">
        <v>584</v>
      </c>
      <c r="AB2107" s="344">
        <v>1</v>
      </c>
      <c r="AC2107" s="344" t="s">
        <v>471</v>
      </c>
      <c r="AD2107" s="1058" t="s">
        <v>585</v>
      </c>
      <c r="AE2107" s="1059">
        <v>407973</v>
      </c>
      <c r="AF2107" s="889" t="s">
        <v>459</v>
      </c>
      <c r="AG2107" s="889" t="s">
        <v>459</v>
      </c>
    </row>
    <row r="2108" spans="26:33" x14ac:dyDescent="0.35">
      <c r="Z2108" s="344">
        <v>5086</v>
      </c>
      <c r="AA2108" s="344" t="s">
        <v>584</v>
      </c>
      <c r="AB2108" s="344">
        <v>1</v>
      </c>
      <c r="AC2108" s="344" t="s">
        <v>471</v>
      </c>
      <c r="AD2108" s="1058" t="s">
        <v>585</v>
      </c>
      <c r="AE2108" s="1059">
        <v>417762</v>
      </c>
      <c r="AF2108" s="889" t="s">
        <v>459</v>
      </c>
      <c r="AG2108" s="889" t="s">
        <v>459</v>
      </c>
    </row>
    <row r="2109" spans="26:33" x14ac:dyDescent="0.35">
      <c r="Z2109" s="344">
        <v>5087</v>
      </c>
      <c r="AA2109" s="344" t="s">
        <v>584</v>
      </c>
      <c r="AB2109" s="344">
        <v>1</v>
      </c>
      <c r="AC2109" s="344" t="s">
        <v>471</v>
      </c>
      <c r="AD2109" s="1058" t="s">
        <v>585</v>
      </c>
      <c r="AE2109" s="1059">
        <v>434398</v>
      </c>
      <c r="AF2109" s="889" t="s">
        <v>459</v>
      </c>
      <c r="AG2109" s="889" t="s">
        <v>459</v>
      </c>
    </row>
    <row r="2110" spans="26:33" x14ac:dyDescent="0.35">
      <c r="Z2110" s="344">
        <v>5088</v>
      </c>
      <c r="AA2110" s="344" t="s">
        <v>584</v>
      </c>
      <c r="AB2110" s="344">
        <v>1</v>
      </c>
      <c r="AC2110" s="344" t="s">
        <v>471</v>
      </c>
      <c r="AD2110" s="1058" t="s">
        <v>585</v>
      </c>
      <c r="AE2110" s="1059">
        <v>334773</v>
      </c>
      <c r="AF2110" s="889" t="s">
        <v>459</v>
      </c>
      <c r="AG2110" s="889" t="s">
        <v>459</v>
      </c>
    </row>
    <row r="2111" spans="26:33" x14ac:dyDescent="0.35">
      <c r="Z2111" s="344">
        <v>5089</v>
      </c>
      <c r="AA2111" s="344" t="s">
        <v>584</v>
      </c>
      <c r="AB2111" s="344">
        <v>1</v>
      </c>
      <c r="AC2111" s="344" t="s">
        <v>457</v>
      </c>
      <c r="AD2111" s="1058" t="s">
        <v>585</v>
      </c>
      <c r="AE2111" s="1059">
        <v>456911</v>
      </c>
      <c r="AF2111" s="889" t="s">
        <v>459</v>
      </c>
      <c r="AG2111" s="889" t="s">
        <v>459</v>
      </c>
    </row>
    <row r="2112" spans="26:33" x14ac:dyDescent="0.35">
      <c r="Z2112" s="344">
        <v>5090</v>
      </c>
      <c r="AA2112" s="344" t="s">
        <v>584</v>
      </c>
      <c r="AB2112" s="344">
        <v>1</v>
      </c>
      <c r="AC2112" s="344" t="s">
        <v>471</v>
      </c>
      <c r="AD2112" s="1058" t="s">
        <v>585</v>
      </c>
      <c r="AE2112" s="1059">
        <v>361310</v>
      </c>
      <c r="AF2112" s="889" t="s">
        <v>459</v>
      </c>
      <c r="AG2112" s="889" t="s">
        <v>459</v>
      </c>
    </row>
    <row r="2113" spans="26:33" x14ac:dyDescent="0.35">
      <c r="Z2113" s="344">
        <v>5091</v>
      </c>
      <c r="AA2113" s="344" t="s">
        <v>584</v>
      </c>
      <c r="AB2113" s="344">
        <v>1</v>
      </c>
      <c r="AC2113" s="344" t="s">
        <v>471</v>
      </c>
      <c r="AD2113" s="1058" t="s">
        <v>585</v>
      </c>
      <c r="AE2113" s="1059">
        <v>370704</v>
      </c>
      <c r="AF2113" s="889" t="s">
        <v>459</v>
      </c>
      <c r="AG2113" s="889" t="s">
        <v>459</v>
      </c>
    </row>
    <row r="2114" spans="26:33" x14ac:dyDescent="0.35">
      <c r="Z2114" s="344">
        <v>5092</v>
      </c>
      <c r="AA2114" s="344" t="s">
        <v>584</v>
      </c>
      <c r="AB2114" s="344">
        <v>1</v>
      </c>
      <c r="AC2114" s="344" t="s">
        <v>471</v>
      </c>
      <c r="AD2114" s="1058" t="s">
        <v>585</v>
      </c>
      <c r="AE2114" s="1059">
        <v>351862</v>
      </c>
      <c r="AF2114" s="889" t="s">
        <v>459</v>
      </c>
      <c r="AG2114" s="889" t="s">
        <v>459</v>
      </c>
    </row>
    <row r="2115" spans="26:33" x14ac:dyDescent="0.35">
      <c r="Z2115" s="344">
        <v>5093</v>
      </c>
      <c r="AA2115" s="344" t="s">
        <v>584</v>
      </c>
      <c r="AB2115" s="344">
        <v>1</v>
      </c>
      <c r="AC2115" s="344" t="s">
        <v>471</v>
      </c>
      <c r="AD2115" s="1058" t="s">
        <v>585</v>
      </c>
      <c r="AE2115" s="1059">
        <v>324519</v>
      </c>
      <c r="AF2115" s="889" t="s">
        <v>459</v>
      </c>
      <c r="AG2115" s="889" t="s">
        <v>459</v>
      </c>
    </row>
    <row r="2116" spans="26:33" x14ac:dyDescent="0.35">
      <c r="Z2116" s="344">
        <v>5094</v>
      </c>
      <c r="AA2116" s="344" t="s">
        <v>584</v>
      </c>
      <c r="AB2116" s="344">
        <v>1</v>
      </c>
      <c r="AC2116" s="344" t="s">
        <v>464</v>
      </c>
      <c r="AD2116" s="1058" t="s">
        <v>585</v>
      </c>
      <c r="AE2116" s="1059">
        <v>286890</v>
      </c>
      <c r="AF2116" s="889" t="s">
        <v>459</v>
      </c>
      <c r="AG2116" s="889" t="s">
        <v>459</v>
      </c>
    </row>
    <row r="2117" spans="26:33" x14ac:dyDescent="0.35">
      <c r="Z2117" s="344">
        <v>5095</v>
      </c>
      <c r="AA2117" s="344" t="s">
        <v>584</v>
      </c>
      <c r="AB2117" s="344">
        <v>1</v>
      </c>
      <c r="AC2117" s="344" t="s">
        <v>471</v>
      </c>
      <c r="AD2117" s="1058" t="s">
        <v>585</v>
      </c>
      <c r="AE2117" s="1059">
        <v>380761</v>
      </c>
      <c r="AF2117" s="889" t="s">
        <v>459</v>
      </c>
      <c r="AG2117" s="889" t="s">
        <v>459</v>
      </c>
    </row>
    <row r="2118" spans="26:33" x14ac:dyDescent="0.35">
      <c r="Z2118" s="344">
        <v>5096</v>
      </c>
      <c r="AA2118" s="344" t="s">
        <v>584</v>
      </c>
      <c r="AB2118" s="344">
        <v>1</v>
      </c>
      <c r="AC2118" s="344" t="s">
        <v>471</v>
      </c>
      <c r="AD2118" s="1058" t="s">
        <v>585</v>
      </c>
      <c r="AE2118" s="1059">
        <v>329893</v>
      </c>
      <c r="AF2118" s="889" t="s">
        <v>459</v>
      </c>
      <c r="AG2118" s="889" t="s">
        <v>459</v>
      </c>
    </row>
    <row r="2119" spans="26:33" x14ac:dyDescent="0.35">
      <c r="Z2119" s="344">
        <v>5097</v>
      </c>
      <c r="AA2119" s="344" t="s">
        <v>584</v>
      </c>
      <c r="AB2119" s="344">
        <v>1</v>
      </c>
      <c r="AC2119" s="344" t="s">
        <v>471</v>
      </c>
      <c r="AD2119" s="1058" t="s">
        <v>585</v>
      </c>
      <c r="AE2119" s="1059">
        <v>353558</v>
      </c>
      <c r="AF2119" s="889" t="s">
        <v>459</v>
      </c>
      <c r="AG2119" s="889" t="s">
        <v>459</v>
      </c>
    </row>
    <row r="2120" spans="26:33" x14ac:dyDescent="0.35">
      <c r="Z2120" s="344">
        <v>5098</v>
      </c>
      <c r="AA2120" s="344" t="s">
        <v>584</v>
      </c>
      <c r="AB2120" s="344">
        <v>1</v>
      </c>
      <c r="AC2120" s="344" t="s">
        <v>471</v>
      </c>
      <c r="AD2120" s="1058" t="s">
        <v>585</v>
      </c>
      <c r="AE2120" s="1059">
        <v>410867</v>
      </c>
      <c r="AF2120" s="889" t="s">
        <v>459</v>
      </c>
      <c r="AG2120" s="889" t="s">
        <v>459</v>
      </c>
    </row>
    <row r="2121" spans="26:33" x14ac:dyDescent="0.35">
      <c r="Z2121" s="344">
        <v>5099</v>
      </c>
      <c r="AA2121" s="344" t="s">
        <v>584</v>
      </c>
      <c r="AB2121" s="344">
        <v>1</v>
      </c>
      <c r="AC2121" s="344" t="e">
        <v>#N/A</v>
      </c>
      <c r="AD2121" s="1058" t="s">
        <v>585</v>
      </c>
      <c r="AE2121" s="1059" t="e">
        <v>#N/A</v>
      </c>
      <c r="AF2121" s="889" t="s">
        <v>459</v>
      </c>
      <c r="AG2121" s="889" t="s">
        <v>459</v>
      </c>
    </row>
    <row r="2122" spans="26:33" x14ac:dyDescent="0.35">
      <c r="Z2122" s="344">
        <v>5100</v>
      </c>
      <c r="AA2122" s="344" t="s">
        <v>584</v>
      </c>
      <c r="AB2122" s="344">
        <v>1</v>
      </c>
      <c r="AC2122" s="344" t="e">
        <v>#N/A</v>
      </c>
      <c r="AD2122" s="1058" t="s">
        <v>585</v>
      </c>
      <c r="AE2122" s="1059" t="e">
        <v>#N/A</v>
      </c>
      <c r="AF2122" s="889" t="s">
        <v>459</v>
      </c>
      <c r="AG2122" s="889" t="s">
        <v>459</v>
      </c>
    </row>
    <row r="2123" spans="26:33" x14ac:dyDescent="0.35">
      <c r="Z2123" s="344">
        <v>5101</v>
      </c>
      <c r="AA2123" s="344" t="s">
        <v>584</v>
      </c>
      <c r="AB2123" s="344">
        <v>1</v>
      </c>
      <c r="AC2123" s="344" t="e">
        <v>#N/A</v>
      </c>
      <c r="AD2123" s="1058" t="s">
        <v>585</v>
      </c>
      <c r="AE2123" s="1059" t="e">
        <v>#N/A</v>
      </c>
      <c r="AF2123" s="889" t="s">
        <v>459</v>
      </c>
      <c r="AG2123" s="889" t="s">
        <v>459</v>
      </c>
    </row>
    <row r="2124" spans="26:33" x14ac:dyDescent="0.35">
      <c r="Z2124" s="344">
        <v>5102</v>
      </c>
      <c r="AA2124" s="344" t="s">
        <v>584</v>
      </c>
      <c r="AB2124" s="344">
        <v>1</v>
      </c>
      <c r="AC2124" s="344" t="e">
        <v>#N/A</v>
      </c>
      <c r="AD2124" s="1058" t="s">
        <v>585</v>
      </c>
      <c r="AE2124" s="1059" t="e">
        <v>#N/A</v>
      </c>
      <c r="AF2124" s="889" t="s">
        <v>459</v>
      </c>
      <c r="AG2124" s="889" t="s">
        <v>459</v>
      </c>
    </row>
    <row r="2125" spans="26:33" x14ac:dyDescent="0.35">
      <c r="Z2125" s="344">
        <v>5103</v>
      </c>
      <c r="AA2125" s="344" t="s">
        <v>584</v>
      </c>
      <c r="AB2125" s="344">
        <v>1</v>
      </c>
      <c r="AC2125" s="344" t="e">
        <v>#N/A</v>
      </c>
      <c r="AD2125" s="1058" t="s">
        <v>585</v>
      </c>
      <c r="AE2125" s="1059" t="e">
        <v>#N/A</v>
      </c>
      <c r="AF2125" s="889" t="s">
        <v>459</v>
      </c>
      <c r="AG2125" s="889" t="s">
        <v>459</v>
      </c>
    </row>
    <row r="2126" spans="26:33" x14ac:dyDescent="0.35">
      <c r="Z2126" s="344">
        <v>5104</v>
      </c>
      <c r="AA2126" s="344" t="s">
        <v>584</v>
      </c>
      <c r="AB2126" s="344">
        <v>1</v>
      </c>
      <c r="AC2126" s="344" t="e">
        <v>#N/A</v>
      </c>
      <c r="AD2126" s="1058" t="s">
        <v>585</v>
      </c>
      <c r="AE2126" s="1059" t="e">
        <v>#N/A</v>
      </c>
      <c r="AF2126" s="889" t="s">
        <v>459</v>
      </c>
      <c r="AG2126" s="889" t="s">
        <v>459</v>
      </c>
    </row>
    <row r="2127" spans="26:33" x14ac:dyDescent="0.35">
      <c r="Z2127" s="344">
        <v>5105</v>
      </c>
      <c r="AA2127" s="344" t="s">
        <v>584</v>
      </c>
      <c r="AB2127" s="344">
        <v>1</v>
      </c>
      <c r="AC2127" s="344" t="e">
        <v>#N/A</v>
      </c>
      <c r="AD2127" s="1058" t="s">
        <v>585</v>
      </c>
      <c r="AE2127" s="1059" t="e">
        <v>#N/A</v>
      </c>
      <c r="AF2127" s="889" t="s">
        <v>459</v>
      </c>
      <c r="AG2127" s="889" t="s">
        <v>459</v>
      </c>
    </row>
    <row r="2128" spans="26:33" x14ac:dyDescent="0.35">
      <c r="Z2128" s="344">
        <v>5106</v>
      </c>
      <c r="AA2128" s="344" t="s">
        <v>584</v>
      </c>
      <c r="AB2128" s="344">
        <v>1</v>
      </c>
      <c r="AC2128" s="344" t="e">
        <v>#N/A</v>
      </c>
      <c r="AD2128" s="1058" t="s">
        <v>585</v>
      </c>
      <c r="AE2128" s="1059" t="e">
        <v>#N/A</v>
      </c>
      <c r="AF2128" s="889" t="s">
        <v>459</v>
      </c>
      <c r="AG2128" s="889" t="s">
        <v>459</v>
      </c>
    </row>
    <row r="2129" spans="26:33" x14ac:dyDescent="0.35">
      <c r="Z2129" s="344">
        <v>5107</v>
      </c>
      <c r="AA2129" s="344" t="s">
        <v>584</v>
      </c>
      <c r="AB2129" s="344">
        <v>1</v>
      </c>
      <c r="AC2129" s="344" t="s">
        <v>464</v>
      </c>
      <c r="AD2129" s="1058" t="s">
        <v>585</v>
      </c>
      <c r="AE2129" s="1059">
        <v>292537</v>
      </c>
      <c r="AF2129" s="889" t="s">
        <v>459</v>
      </c>
      <c r="AG2129" s="889" t="s">
        <v>459</v>
      </c>
    </row>
    <row r="2130" spans="26:33" x14ac:dyDescent="0.35">
      <c r="Z2130" s="344">
        <v>5108</v>
      </c>
      <c r="AA2130" s="344" t="s">
        <v>584</v>
      </c>
      <c r="AB2130" s="344">
        <v>1</v>
      </c>
      <c r="AC2130" s="344" t="s">
        <v>464</v>
      </c>
      <c r="AD2130" s="1058" t="s">
        <v>585</v>
      </c>
      <c r="AE2130" s="1059">
        <v>270999</v>
      </c>
      <c r="AF2130" s="889" t="s">
        <v>459</v>
      </c>
      <c r="AG2130" s="889" t="s">
        <v>459</v>
      </c>
    </row>
    <row r="2131" spans="26:33" x14ac:dyDescent="0.35">
      <c r="Z2131" s="344">
        <v>5109</v>
      </c>
      <c r="AA2131" s="344" t="s">
        <v>584</v>
      </c>
      <c r="AB2131" s="344">
        <v>1</v>
      </c>
      <c r="AC2131" s="344" t="s">
        <v>471</v>
      </c>
      <c r="AD2131" s="1058" t="s">
        <v>585</v>
      </c>
      <c r="AE2131" s="1059">
        <v>301646</v>
      </c>
      <c r="AF2131" s="889" t="s">
        <v>459</v>
      </c>
      <c r="AG2131" s="889" t="s">
        <v>459</v>
      </c>
    </row>
    <row r="2132" spans="26:33" x14ac:dyDescent="0.35">
      <c r="Z2132" s="344">
        <v>5110</v>
      </c>
      <c r="AA2132" s="344" t="s">
        <v>584</v>
      </c>
      <c r="AB2132" s="344">
        <v>1</v>
      </c>
      <c r="AC2132" s="344" t="s">
        <v>471</v>
      </c>
      <c r="AD2132" s="1058" t="s">
        <v>585</v>
      </c>
      <c r="AE2132" s="1059">
        <v>386271</v>
      </c>
      <c r="AF2132" s="889" t="s">
        <v>460</v>
      </c>
      <c r="AG2132" s="889" t="s">
        <v>459</v>
      </c>
    </row>
    <row r="2133" spans="26:33" x14ac:dyDescent="0.35">
      <c r="Z2133" s="344">
        <v>5111</v>
      </c>
      <c r="AA2133" s="344" t="s">
        <v>584</v>
      </c>
      <c r="AB2133" s="344">
        <v>1</v>
      </c>
      <c r="AC2133" s="344" t="e">
        <v>#N/A</v>
      </c>
      <c r="AD2133" s="1058" t="s">
        <v>585</v>
      </c>
      <c r="AE2133" s="1059" t="e">
        <v>#N/A</v>
      </c>
      <c r="AF2133" s="889" t="s">
        <v>459</v>
      </c>
      <c r="AG2133" s="889" t="s">
        <v>459</v>
      </c>
    </row>
    <row r="2134" spans="26:33" x14ac:dyDescent="0.35">
      <c r="Z2134" s="344">
        <v>5112</v>
      </c>
      <c r="AA2134" s="344" t="s">
        <v>584</v>
      </c>
      <c r="AB2134" s="344">
        <v>1</v>
      </c>
      <c r="AC2134" s="344" t="s">
        <v>464</v>
      </c>
      <c r="AD2134" s="1058" t="s">
        <v>585</v>
      </c>
      <c r="AE2134" s="1059">
        <v>226999</v>
      </c>
      <c r="AF2134" s="889" t="s">
        <v>460</v>
      </c>
      <c r="AG2134" s="889" t="s">
        <v>459</v>
      </c>
    </row>
    <row r="2135" spans="26:33" x14ac:dyDescent="0.35">
      <c r="Z2135" s="344">
        <v>5113</v>
      </c>
      <c r="AA2135" s="344" t="s">
        <v>584</v>
      </c>
      <c r="AB2135" s="344">
        <v>1</v>
      </c>
      <c r="AC2135" s="344" t="s">
        <v>464</v>
      </c>
      <c r="AD2135" s="1058" t="s">
        <v>585</v>
      </c>
      <c r="AE2135" s="1059">
        <v>187517</v>
      </c>
      <c r="AF2135" s="889" t="s">
        <v>460</v>
      </c>
      <c r="AG2135" s="889" t="s">
        <v>459</v>
      </c>
    </row>
    <row r="2136" spans="26:33" x14ac:dyDescent="0.35">
      <c r="Z2136" s="344">
        <v>5114</v>
      </c>
      <c r="AA2136" s="344" t="s">
        <v>584</v>
      </c>
      <c r="AB2136" s="344">
        <v>1</v>
      </c>
      <c r="AC2136" s="344" t="s">
        <v>471</v>
      </c>
      <c r="AD2136" s="1058" t="s">
        <v>585</v>
      </c>
      <c r="AE2136" s="1059">
        <v>391310</v>
      </c>
      <c r="AF2136" s="889" t="s">
        <v>459</v>
      </c>
      <c r="AG2136" s="889" t="s">
        <v>459</v>
      </c>
    </row>
    <row r="2137" spans="26:33" x14ac:dyDescent="0.35">
      <c r="Z2137" s="344">
        <v>5115</v>
      </c>
      <c r="AA2137" s="344" t="s">
        <v>584</v>
      </c>
      <c r="AB2137" s="344">
        <v>1</v>
      </c>
      <c r="AC2137" s="344" t="s">
        <v>471</v>
      </c>
      <c r="AD2137" s="1058" t="s">
        <v>585</v>
      </c>
      <c r="AE2137" s="1059">
        <v>316985</v>
      </c>
      <c r="AF2137" s="889" t="s">
        <v>459</v>
      </c>
      <c r="AG2137" s="889" t="s">
        <v>459</v>
      </c>
    </row>
    <row r="2138" spans="26:33" x14ac:dyDescent="0.35">
      <c r="Z2138" s="344">
        <v>5116</v>
      </c>
      <c r="AA2138" s="344" t="s">
        <v>584</v>
      </c>
      <c r="AB2138" s="344">
        <v>1</v>
      </c>
      <c r="AC2138" s="344" t="s">
        <v>464</v>
      </c>
      <c r="AD2138" s="1058" t="s">
        <v>585</v>
      </c>
      <c r="AE2138" s="1059">
        <v>283273</v>
      </c>
      <c r="AF2138" s="889" t="s">
        <v>459</v>
      </c>
      <c r="AG2138" s="889" t="s">
        <v>459</v>
      </c>
    </row>
    <row r="2139" spans="26:33" x14ac:dyDescent="0.35">
      <c r="Z2139" s="344">
        <v>5117</v>
      </c>
      <c r="AA2139" s="344" t="s">
        <v>584</v>
      </c>
      <c r="AB2139" s="344">
        <v>1</v>
      </c>
      <c r="AC2139" s="344" t="s">
        <v>457</v>
      </c>
      <c r="AD2139" s="1058" t="s">
        <v>585</v>
      </c>
      <c r="AE2139" s="1059">
        <v>461615</v>
      </c>
      <c r="AF2139" s="889" t="s">
        <v>459</v>
      </c>
      <c r="AG2139" s="889" t="s">
        <v>459</v>
      </c>
    </row>
    <row r="2140" spans="26:33" x14ac:dyDescent="0.35">
      <c r="Z2140" s="344">
        <v>5118</v>
      </c>
      <c r="AA2140" s="344" t="s">
        <v>584</v>
      </c>
      <c r="AB2140" s="344">
        <v>1</v>
      </c>
      <c r="AC2140" s="344" t="s">
        <v>471</v>
      </c>
      <c r="AD2140" s="1058" t="s">
        <v>585</v>
      </c>
      <c r="AE2140" s="1059">
        <v>351903</v>
      </c>
      <c r="AF2140" s="889" t="s">
        <v>459</v>
      </c>
      <c r="AG2140" s="889" t="s">
        <v>459</v>
      </c>
    </row>
    <row r="2141" spans="26:33" x14ac:dyDescent="0.35">
      <c r="Z2141" s="344">
        <v>5119</v>
      </c>
      <c r="AA2141" s="344" t="s">
        <v>584</v>
      </c>
      <c r="AB2141" s="344">
        <v>1</v>
      </c>
      <c r="AC2141" s="344" t="e">
        <v>#N/A</v>
      </c>
      <c r="AD2141" s="1058" t="s">
        <v>585</v>
      </c>
      <c r="AE2141" s="1059" t="e">
        <v>#N/A</v>
      </c>
      <c r="AF2141" s="889" t="s">
        <v>459</v>
      </c>
      <c r="AG2141" s="889" t="s">
        <v>459</v>
      </c>
    </row>
    <row r="2142" spans="26:33" x14ac:dyDescent="0.35">
      <c r="Z2142" s="344">
        <v>5120</v>
      </c>
      <c r="AA2142" s="344" t="s">
        <v>584</v>
      </c>
      <c r="AB2142" s="344">
        <v>1</v>
      </c>
      <c r="AC2142" s="344" t="s">
        <v>457</v>
      </c>
      <c r="AD2142" s="1058" t="s">
        <v>585</v>
      </c>
      <c r="AE2142" s="1059">
        <v>469786</v>
      </c>
      <c r="AF2142" s="889" t="s">
        <v>459</v>
      </c>
      <c r="AG2142" s="889" t="s">
        <v>459</v>
      </c>
    </row>
    <row r="2143" spans="26:33" x14ac:dyDescent="0.35">
      <c r="Z2143" s="344">
        <v>5121</v>
      </c>
      <c r="AA2143" s="344" t="s">
        <v>584</v>
      </c>
      <c r="AB2143" s="344">
        <v>1</v>
      </c>
      <c r="AC2143" s="344" t="s">
        <v>457</v>
      </c>
      <c r="AD2143" s="1058" t="s">
        <v>585</v>
      </c>
      <c r="AE2143" s="1059">
        <v>493156</v>
      </c>
      <c r="AF2143" s="889" t="s">
        <v>459</v>
      </c>
      <c r="AG2143" s="889" t="s">
        <v>459</v>
      </c>
    </row>
    <row r="2144" spans="26:33" x14ac:dyDescent="0.35">
      <c r="Z2144" s="344">
        <v>5122</v>
      </c>
      <c r="AA2144" s="344" t="s">
        <v>584</v>
      </c>
      <c r="AB2144" s="344">
        <v>1</v>
      </c>
      <c r="AC2144" s="344" t="e">
        <v>#N/A</v>
      </c>
      <c r="AD2144" s="1058" t="s">
        <v>585</v>
      </c>
      <c r="AE2144" s="1059" t="e">
        <v>#N/A</v>
      </c>
      <c r="AF2144" s="889" t="s">
        <v>459</v>
      </c>
      <c r="AG2144" s="889" t="s">
        <v>459</v>
      </c>
    </row>
    <row r="2145" spans="26:33" x14ac:dyDescent="0.35">
      <c r="Z2145" s="344">
        <v>5123</v>
      </c>
      <c r="AA2145" s="344" t="s">
        <v>584</v>
      </c>
      <c r="AB2145" s="344">
        <v>1</v>
      </c>
      <c r="AC2145" s="344" t="e">
        <v>#N/A</v>
      </c>
      <c r="AD2145" s="1058" t="s">
        <v>585</v>
      </c>
      <c r="AE2145" s="1059" t="e">
        <v>#N/A</v>
      </c>
      <c r="AF2145" s="889" t="s">
        <v>459</v>
      </c>
      <c r="AG2145" s="889" t="s">
        <v>459</v>
      </c>
    </row>
    <row r="2146" spans="26:33" x14ac:dyDescent="0.35">
      <c r="Z2146" s="344">
        <v>5124</v>
      </c>
      <c r="AA2146" s="344" t="s">
        <v>584</v>
      </c>
      <c r="AB2146" s="344">
        <v>1</v>
      </c>
      <c r="AC2146" s="344" t="e">
        <v>#N/A</v>
      </c>
      <c r="AD2146" s="1058" t="s">
        <v>585</v>
      </c>
      <c r="AE2146" s="1059" t="e">
        <v>#N/A</v>
      </c>
      <c r="AF2146" s="889" t="s">
        <v>459</v>
      </c>
      <c r="AG2146" s="889" t="s">
        <v>459</v>
      </c>
    </row>
    <row r="2147" spans="26:33" x14ac:dyDescent="0.35">
      <c r="Z2147" s="344">
        <v>5125</v>
      </c>
      <c r="AA2147" s="344" t="s">
        <v>584</v>
      </c>
      <c r="AB2147" s="344">
        <v>1</v>
      </c>
      <c r="AC2147" s="344" t="s">
        <v>471</v>
      </c>
      <c r="AD2147" s="1058" t="s">
        <v>585</v>
      </c>
      <c r="AE2147" s="1059">
        <v>429039</v>
      </c>
      <c r="AF2147" s="889" t="s">
        <v>459</v>
      </c>
      <c r="AG2147" s="889" t="s">
        <v>459</v>
      </c>
    </row>
    <row r="2148" spans="26:33" x14ac:dyDescent="0.35">
      <c r="Z2148" s="344">
        <v>5126</v>
      </c>
      <c r="AA2148" s="344" t="s">
        <v>584</v>
      </c>
      <c r="AB2148" s="344">
        <v>1</v>
      </c>
      <c r="AC2148" s="344" t="s">
        <v>471</v>
      </c>
      <c r="AD2148" s="1058" t="s">
        <v>585</v>
      </c>
      <c r="AE2148" s="1059">
        <v>446092</v>
      </c>
      <c r="AF2148" s="889" t="s">
        <v>459</v>
      </c>
      <c r="AG2148" s="889" t="s">
        <v>459</v>
      </c>
    </row>
    <row r="2149" spans="26:33" x14ac:dyDescent="0.35">
      <c r="Z2149" s="344">
        <v>5127</v>
      </c>
      <c r="AA2149" s="344" t="s">
        <v>584</v>
      </c>
      <c r="AB2149" s="344">
        <v>1</v>
      </c>
      <c r="AC2149" s="344" t="s">
        <v>471</v>
      </c>
      <c r="AD2149" s="1058" t="s">
        <v>585</v>
      </c>
      <c r="AE2149" s="1059">
        <v>414476</v>
      </c>
      <c r="AF2149" s="889" t="s">
        <v>459</v>
      </c>
      <c r="AG2149" s="889" t="s">
        <v>459</v>
      </c>
    </row>
    <row r="2150" spans="26:33" x14ac:dyDescent="0.35">
      <c r="Z2150" s="344">
        <v>5128</v>
      </c>
      <c r="AA2150" s="344" t="s">
        <v>584</v>
      </c>
      <c r="AB2150" s="344">
        <v>1</v>
      </c>
      <c r="AC2150" s="344" t="e">
        <v>#N/A</v>
      </c>
      <c r="AD2150" s="1058" t="s">
        <v>585</v>
      </c>
      <c r="AE2150" s="1059" t="e">
        <v>#N/A</v>
      </c>
      <c r="AF2150" s="889" t="s">
        <v>459</v>
      </c>
      <c r="AG2150" s="889" t="s">
        <v>459</v>
      </c>
    </row>
    <row r="2151" spans="26:33" x14ac:dyDescent="0.35">
      <c r="Z2151" s="344">
        <v>5129</v>
      </c>
      <c r="AA2151" s="344" t="s">
        <v>584</v>
      </c>
      <c r="AB2151" s="344">
        <v>1</v>
      </c>
      <c r="AC2151" s="344" t="e">
        <v>#N/A</v>
      </c>
      <c r="AD2151" s="1058" t="s">
        <v>585</v>
      </c>
      <c r="AE2151" s="1059" t="e">
        <v>#N/A</v>
      </c>
      <c r="AF2151" s="889" t="s">
        <v>459</v>
      </c>
      <c r="AG2151" s="889" t="s">
        <v>459</v>
      </c>
    </row>
    <row r="2152" spans="26:33" x14ac:dyDescent="0.35">
      <c r="Z2152" s="344">
        <v>5130</v>
      </c>
      <c r="AA2152" s="344" t="s">
        <v>584</v>
      </c>
      <c r="AB2152" s="344">
        <v>1</v>
      </c>
      <c r="AC2152" s="344" t="e">
        <v>#N/A</v>
      </c>
      <c r="AD2152" s="1058" t="s">
        <v>585</v>
      </c>
      <c r="AE2152" s="1059" t="e">
        <v>#N/A</v>
      </c>
      <c r="AF2152" s="889" t="s">
        <v>459</v>
      </c>
      <c r="AG2152" s="889" t="s">
        <v>459</v>
      </c>
    </row>
    <row r="2153" spans="26:33" x14ac:dyDescent="0.35">
      <c r="Z2153" s="344">
        <v>5131</v>
      </c>
      <c r="AA2153" s="344" t="s">
        <v>584</v>
      </c>
      <c r="AB2153" s="344">
        <v>1</v>
      </c>
      <c r="AC2153" s="344" t="s">
        <v>457</v>
      </c>
      <c r="AD2153" s="1058" t="s">
        <v>585</v>
      </c>
      <c r="AE2153" s="1059">
        <v>668254</v>
      </c>
      <c r="AF2153" s="889" t="s">
        <v>459</v>
      </c>
      <c r="AG2153" s="889" t="s">
        <v>459</v>
      </c>
    </row>
    <row r="2154" spans="26:33" x14ac:dyDescent="0.35">
      <c r="Z2154" s="344">
        <v>5132</v>
      </c>
      <c r="AA2154" s="344" t="s">
        <v>584</v>
      </c>
      <c r="AB2154" s="344">
        <v>1</v>
      </c>
      <c r="AC2154" s="344" t="s">
        <v>457</v>
      </c>
      <c r="AD2154" s="1058" t="s">
        <v>585</v>
      </c>
      <c r="AE2154" s="1059">
        <v>585599</v>
      </c>
      <c r="AF2154" s="889" t="s">
        <v>459</v>
      </c>
      <c r="AG2154" s="889" t="s">
        <v>459</v>
      </c>
    </row>
    <row r="2155" spans="26:33" x14ac:dyDescent="0.35">
      <c r="Z2155" s="344">
        <v>5133</v>
      </c>
      <c r="AA2155" s="344" t="s">
        <v>584</v>
      </c>
      <c r="AB2155" s="344">
        <v>1</v>
      </c>
      <c r="AC2155" s="344" t="s">
        <v>457</v>
      </c>
      <c r="AD2155" s="1058" t="s">
        <v>585</v>
      </c>
      <c r="AE2155" s="1059">
        <v>716619</v>
      </c>
      <c r="AF2155" s="889" t="s">
        <v>459</v>
      </c>
      <c r="AG2155" s="889" t="s">
        <v>459</v>
      </c>
    </row>
    <row r="2156" spans="26:33" x14ac:dyDescent="0.35">
      <c r="Z2156" s="344">
        <v>5134</v>
      </c>
      <c r="AA2156" s="344" t="s">
        <v>584</v>
      </c>
      <c r="AB2156" s="344">
        <v>1</v>
      </c>
      <c r="AC2156" s="344" t="e">
        <v>#N/A</v>
      </c>
      <c r="AD2156" s="1058" t="s">
        <v>585</v>
      </c>
      <c r="AE2156" s="1059" t="e">
        <v>#N/A</v>
      </c>
      <c r="AF2156" s="889" t="s">
        <v>459</v>
      </c>
      <c r="AG2156" s="889" t="s">
        <v>459</v>
      </c>
    </row>
    <row r="2157" spans="26:33" x14ac:dyDescent="0.35">
      <c r="Z2157" s="344">
        <v>5135</v>
      </c>
      <c r="AA2157" s="344" t="s">
        <v>584</v>
      </c>
      <c r="AB2157" s="344">
        <v>1</v>
      </c>
      <c r="AC2157" s="344" t="e">
        <v>#N/A</v>
      </c>
      <c r="AD2157" s="1058" t="s">
        <v>585</v>
      </c>
      <c r="AE2157" s="1059" t="e">
        <v>#N/A</v>
      </c>
      <c r="AF2157" s="889" t="s">
        <v>459</v>
      </c>
      <c r="AG2157" s="889" t="s">
        <v>459</v>
      </c>
    </row>
    <row r="2158" spans="26:33" x14ac:dyDescent="0.35">
      <c r="Z2158" s="344">
        <v>5136</v>
      </c>
      <c r="AA2158" s="344" t="s">
        <v>584</v>
      </c>
      <c r="AB2158" s="344">
        <v>1</v>
      </c>
      <c r="AC2158" s="344" t="s">
        <v>457</v>
      </c>
      <c r="AD2158" s="1058" t="s">
        <v>585</v>
      </c>
      <c r="AE2158" s="1059">
        <v>526929</v>
      </c>
      <c r="AF2158" s="889" t="s">
        <v>459</v>
      </c>
      <c r="AG2158" s="889" t="s">
        <v>459</v>
      </c>
    </row>
    <row r="2159" spans="26:33" x14ac:dyDescent="0.35">
      <c r="Z2159" s="344">
        <v>5137</v>
      </c>
      <c r="AA2159" s="344" t="s">
        <v>584</v>
      </c>
      <c r="AB2159" s="344">
        <v>1</v>
      </c>
      <c r="AC2159" s="344" t="s">
        <v>457</v>
      </c>
      <c r="AD2159" s="1058" t="s">
        <v>585</v>
      </c>
      <c r="AE2159" s="1059">
        <v>624126</v>
      </c>
      <c r="AF2159" s="889" t="s">
        <v>459</v>
      </c>
      <c r="AG2159" s="889" t="s">
        <v>459</v>
      </c>
    </row>
    <row r="2160" spans="26:33" x14ac:dyDescent="0.35">
      <c r="Z2160" s="344">
        <v>5138</v>
      </c>
      <c r="AA2160" s="344" t="s">
        <v>584</v>
      </c>
      <c r="AB2160" s="344">
        <v>1</v>
      </c>
      <c r="AC2160" s="344" t="s">
        <v>457</v>
      </c>
      <c r="AD2160" s="1058" t="s">
        <v>585</v>
      </c>
      <c r="AE2160" s="1059">
        <v>636369</v>
      </c>
      <c r="AF2160" s="889" t="s">
        <v>459</v>
      </c>
      <c r="AG2160" s="889" t="s">
        <v>459</v>
      </c>
    </row>
    <row r="2161" spans="26:33" x14ac:dyDescent="0.35">
      <c r="Z2161" s="344">
        <v>5139</v>
      </c>
      <c r="AA2161" s="344" t="s">
        <v>584</v>
      </c>
      <c r="AB2161" s="344">
        <v>1</v>
      </c>
      <c r="AC2161" s="344" t="e">
        <v>#N/A</v>
      </c>
      <c r="AD2161" s="1058" t="s">
        <v>585</v>
      </c>
      <c r="AE2161" s="1059" t="e">
        <v>#N/A</v>
      </c>
      <c r="AF2161" s="889" t="s">
        <v>459</v>
      </c>
      <c r="AG2161" s="889" t="s">
        <v>459</v>
      </c>
    </row>
    <row r="2162" spans="26:33" x14ac:dyDescent="0.35">
      <c r="Z2162" s="344">
        <v>5140</v>
      </c>
      <c r="AA2162" s="344" t="s">
        <v>584</v>
      </c>
      <c r="AB2162" s="344">
        <v>1</v>
      </c>
      <c r="AC2162" s="344" t="s">
        <v>457</v>
      </c>
      <c r="AD2162" s="1058" t="s">
        <v>585</v>
      </c>
      <c r="AE2162" s="1059">
        <v>545094</v>
      </c>
      <c r="AF2162" s="889" t="s">
        <v>459</v>
      </c>
      <c r="AG2162" s="889" t="s">
        <v>459</v>
      </c>
    </row>
    <row r="2163" spans="26:33" x14ac:dyDescent="0.35">
      <c r="Z2163" s="344">
        <v>5141</v>
      </c>
      <c r="AA2163" s="344" t="s">
        <v>584</v>
      </c>
      <c r="AB2163" s="344">
        <v>1</v>
      </c>
      <c r="AC2163" s="344" t="s">
        <v>457</v>
      </c>
      <c r="AD2163" s="1058" t="s">
        <v>585</v>
      </c>
      <c r="AE2163" s="1059">
        <v>595465</v>
      </c>
      <c r="AF2163" s="889" t="s">
        <v>459</v>
      </c>
      <c r="AG2163" s="889" t="s">
        <v>459</v>
      </c>
    </row>
    <row r="2164" spans="26:33" x14ac:dyDescent="0.35">
      <c r="Z2164" s="344">
        <v>5142</v>
      </c>
      <c r="AA2164" s="344" t="s">
        <v>584</v>
      </c>
      <c r="AB2164" s="344">
        <v>1</v>
      </c>
      <c r="AC2164" s="344" t="s">
        <v>457</v>
      </c>
      <c r="AD2164" s="1058" t="s">
        <v>585</v>
      </c>
      <c r="AE2164" s="1059">
        <v>536543</v>
      </c>
      <c r="AF2164" s="889" t="s">
        <v>459</v>
      </c>
      <c r="AG2164" s="889" t="s">
        <v>459</v>
      </c>
    </row>
    <row r="2165" spans="26:33" x14ac:dyDescent="0.35">
      <c r="Z2165" s="344">
        <v>5143</v>
      </c>
      <c r="AA2165" s="344" t="s">
        <v>584</v>
      </c>
      <c r="AB2165" s="344">
        <v>1</v>
      </c>
      <c r="AC2165" s="344" t="e">
        <v>#N/A</v>
      </c>
      <c r="AD2165" s="1058" t="s">
        <v>585</v>
      </c>
      <c r="AE2165" s="1059" t="e">
        <v>#N/A</v>
      </c>
      <c r="AF2165" s="889" t="s">
        <v>459</v>
      </c>
      <c r="AG2165" s="889" t="s">
        <v>459</v>
      </c>
    </row>
    <row r="2166" spans="26:33" x14ac:dyDescent="0.35">
      <c r="Z2166" s="344">
        <v>5144</v>
      </c>
      <c r="AA2166" s="344" t="s">
        <v>584</v>
      </c>
      <c r="AB2166" s="344">
        <v>1</v>
      </c>
      <c r="AC2166" s="344" t="s">
        <v>457</v>
      </c>
      <c r="AD2166" s="1058" t="s">
        <v>585</v>
      </c>
      <c r="AE2166" s="1059">
        <v>664202</v>
      </c>
      <c r="AF2166" s="889" t="s">
        <v>459</v>
      </c>
      <c r="AG2166" s="889" t="s">
        <v>459</v>
      </c>
    </row>
    <row r="2167" spans="26:33" x14ac:dyDescent="0.35">
      <c r="Z2167" s="344">
        <v>5145</v>
      </c>
      <c r="AA2167" s="344" t="s">
        <v>584</v>
      </c>
      <c r="AB2167" s="344">
        <v>1</v>
      </c>
      <c r="AC2167" s="344" t="e">
        <v>#N/A</v>
      </c>
      <c r="AD2167" s="1058" t="s">
        <v>585</v>
      </c>
      <c r="AE2167" s="1059" t="e">
        <v>#N/A</v>
      </c>
      <c r="AF2167" s="889" t="s">
        <v>459</v>
      </c>
      <c r="AG2167" s="889" t="s">
        <v>459</v>
      </c>
    </row>
    <row r="2168" spans="26:33" x14ac:dyDescent="0.35">
      <c r="Z2168" s="344">
        <v>5146</v>
      </c>
      <c r="AA2168" s="344" t="s">
        <v>584</v>
      </c>
      <c r="AB2168" s="344">
        <v>1</v>
      </c>
      <c r="AC2168" s="344" t="e">
        <v>#N/A</v>
      </c>
      <c r="AD2168" s="1058" t="s">
        <v>585</v>
      </c>
      <c r="AE2168" s="1059" t="e">
        <v>#N/A</v>
      </c>
      <c r="AF2168" s="889" t="s">
        <v>459</v>
      </c>
      <c r="AG2168" s="889" t="s">
        <v>459</v>
      </c>
    </row>
    <row r="2169" spans="26:33" x14ac:dyDescent="0.35">
      <c r="Z2169" s="344">
        <v>5147</v>
      </c>
      <c r="AA2169" s="344" t="s">
        <v>584</v>
      </c>
      <c r="AB2169" s="344">
        <v>1</v>
      </c>
      <c r="AC2169" s="344" t="e">
        <v>#N/A</v>
      </c>
      <c r="AD2169" s="1058" t="s">
        <v>585</v>
      </c>
      <c r="AE2169" s="1059" t="e">
        <v>#N/A</v>
      </c>
      <c r="AF2169" s="889" t="s">
        <v>459</v>
      </c>
      <c r="AG2169" s="889" t="s">
        <v>459</v>
      </c>
    </row>
    <row r="2170" spans="26:33" x14ac:dyDescent="0.35">
      <c r="Z2170" s="344">
        <v>5148</v>
      </c>
      <c r="AA2170" s="344" t="s">
        <v>584</v>
      </c>
      <c r="AB2170" s="344">
        <v>1</v>
      </c>
      <c r="AC2170" s="344" t="e">
        <v>#N/A</v>
      </c>
      <c r="AD2170" s="1058" t="s">
        <v>585</v>
      </c>
      <c r="AE2170" s="1059" t="e">
        <v>#N/A</v>
      </c>
      <c r="AF2170" s="889" t="s">
        <v>459</v>
      </c>
      <c r="AG2170" s="889" t="s">
        <v>459</v>
      </c>
    </row>
    <row r="2171" spans="26:33" x14ac:dyDescent="0.35">
      <c r="Z2171" s="344">
        <v>5149</v>
      </c>
      <c r="AA2171" s="344" t="s">
        <v>584</v>
      </c>
      <c r="AB2171" s="344">
        <v>1</v>
      </c>
      <c r="AC2171" s="344" t="e">
        <v>#N/A</v>
      </c>
      <c r="AD2171" s="1058" t="s">
        <v>585</v>
      </c>
      <c r="AE2171" s="1059" t="e">
        <v>#N/A</v>
      </c>
      <c r="AF2171" s="889" t="s">
        <v>459</v>
      </c>
      <c r="AG2171" s="889" t="s">
        <v>459</v>
      </c>
    </row>
    <row r="2172" spans="26:33" x14ac:dyDescent="0.35">
      <c r="Z2172" s="344">
        <v>5150</v>
      </c>
      <c r="AA2172" s="344" t="s">
        <v>584</v>
      </c>
      <c r="AB2172" s="344">
        <v>1</v>
      </c>
      <c r="AC2172" s="344" t="e">
        <v>#N/A</v>
      </c>
      <c r="AD2172" s="1058" t="s">
        <v>585</v>
      </c>
      <c r="AE2172" s="1059" t="e">
        <v>#N/A</v>
      </c>
      <c r="AF2172" s="889" t="s">
        <v>459</v>
      </c>
      <c r="AG2172" s="889" t="s">
        <v>459</v>
      </c>
    </row>
    <row r="2173" spans="26:33" x14ac:dyDescent="0.35">
      <c r="Z2173" s="344">
        <v>5151</v>
      </c>
      <c r="AA2173" s="344" t="s">
        <v>584</v>
      </c>
      <c r="AB2173" s="344">
        <v>1</v>
      </c>
      <c r="AC2173" s="344" t="s">
        <v>457</v>
      </c>
      <c r="AD2173" s="1058" t="s">
        <v>585</v>
      </c>
      <c r="AE2173" s="1059">
        <v>512150</v>
      </c>
      <c r="AF2173" s="889" t="s">
        <v>459</v>
      </c>
      <c r="AG2173" s="889" t="s">
        <v>459</v>
      </c>
    </row>
    <row r="2174" spans="26:33" x14ac:dyDescent="0.35">
      <c r="Z2174" s="344">
        <v>5152</v>
      </c>
      <c r="AA2174" s="344" t="s">
        <v>584</v>
      </c>
      <c r="AB2174" s="344">
        <v>1</v>
      </c>
      <c r="AC2174" s="344" t="s">
        <v>457</v>
      </c>
      <c r="AD2174" s="1058" t="s">
        <v>585</v>
      </c>
      <c r="AE2174" s="1059">
        <v>598517</v>
      </c>
      <c r="AF2174" s="889" t="s">
        <v>459</v>
      </c>
      <c r="AG2174" s="889" t="s">
        <v>459</v>
      </c>
    </row>
    <row r="2175" spans="26:33" x14ac:dyDescent="0.35">
      <c r="Z2175" s="344">
        <v>5153</v>
      </c>
      <c r="AA2175" s="344" t="s">
        <v>584</v>
      </c>
      <c r="AB2175" s="344">
        <v>1</v>
      </c>
      <c r="AC2175" s="344" t="s">
        <v>457</v>
      </c>
      <c r="AD2175" s="1058" t="s">
        <v>585</v>
      </c>
      <c r="AE2175" s="1059">
        <v>531309</v>
      </c>
      <c r="AF2175" s="889" t="s">
        <v>459</v>
      </c>
      <c r="AG2175" s="889" t="s">
        <v>459</v>
      </c>
    </row>
    <row r="2176" spans="26:33" x14ac:dyDescent="0.35">
      <c r="Z2176" s="344">
        <v>5154</v>
      </c>
      <c r="AA2176" s="344" t="s">
        <v>584</v>
      </c>
      <c r="AB2176" s="344">
        <v>1</v>
      </c>
      <c r="AC2176" s="344" t="s">
        <v>457</v>
      </c>
      <c r="AD2176" s="1058" t="s">
        <v>585</v>
      </c>
      <c r="AE2176" s="1059">
        <v>678903</v>
      </c>
      <c r="AF2176" s="889" t="s">
        <v>459</v>
      </c>
      <c r="AG2176" s="889" t="s">
        <v>459</v>
      </c>
    </row>
    <row r="2177" spans="26:33" x14ac:dyDescent="0.35">
      <c r="Z2177" s="344">
        <v>5155</v>
      </c>
      <c r="AA2177" s="344" t="s">
        <v>584</v>
      </c>
      <c r="AB2177" s="344">
        <v>1</v>
      </c>
      <c r="AC2177" s="344" t="s">
        <v>457</v>
      </c>
      <c r="AD2177" s="1058" t="s">
        <v>585</v>
      </c>
      <c r="AE2177" s="1059">
        <v>561027</v>
      </c>
      <c r="AF2177" s="889" t="s">
        <v>459</v>
      </c>
      <c r="AG2177" s="889" t="s">
        <v>459</v>
      </c>
    </row>
    <row r="2178" spans="26:33" x14ac:dyDescent="0.35">
      <c r="Z2178" s="344">
        <v>5156</v>
      </c>
      <c r="AA2178" s="344" t="s">
        <v>584</v>
      </c>
      <c r="AB2178" s="344">
        <v>1</v>
      </c>
      <c r="AC2178" s="344" t="s">
        <v>457</v>
      </c>
      <c r="AD2178" s="1058" t="s">
        <v>585</v>
      </c>
      <c r="AE2178" s="1059">
        <v>484700</v>
      </c>
      <c r="AF2178" s="889" t="s">
        <v>459</v>
      </c>
      <c r="AG2178" s="889" t="s">
        <v>459</v>
      </c>
    </row>
    <row r="2179" spans="26:33" x14ac:dyDescent="0.35">
      <c r="Z2179" s="344">
        <v>5157</v>
      </c>
      <c r="AA2179" s="344" t="s">
        <v>584</v>
      </c>
      <c r="AB2179" s="344">
        <v>1</v>
      </c>
      <c r="AC2179" s="344" t="s">
        <v>457</v>
      </c>
      <c r="AD2179" s="1058" t="s">
        <v>585</v>
      </c>
      <c r="AE2179" s="1059">
        <v>666919</v>
      </c>
      <c r="AF2179" s="889" t="s">
        <v>459</v>
      </c>
      <c r="AG2179" s="889" t="s">
        <v>459</v>
      </c>
    </row>
    <row r="2180" spans="26:33" x14ac:dyDescent="0.35">
      <c r="Z2180" s="344">
        <v>5158</v>
      </c>
      <c r="AA2180" s="344" t="s">
        <v>584</v>
      </c>
      <c r="AB2180" s="344">
        <v>1</v>
      </c>
      <c r="AC2180" s="344" t="s">
        <v>471</v>
      </c>
      <c r="AD2180" s="1058" t="s">
        <v>585</v>
      </c>
      <c r="AE2180" s="1059">
        <v>379811</v>
      </c>
      <c r="AF2180" s="889" t="s">
        <v>459</v>
      </c>
      <c r="AG2180" s="889" t="s">
        <v>459</v>
      </c>
    </row>
    <row r="2181" spans="26:33" x14ac:dyDescent="0.35">
      <c r="Z2181" s="344">
        <v>5159</v>
      </c>
      <c r="AA2181" s="344" t="s">
        <v>584</v>
      </c>
      <c r="AB2181" s="344">
        <v>1</v>
      </c>
      <c r="AC2181" s="344" t="s">
        <v>457</v>
      </c>
      <c r="AD2181" s="1058" t="s">
        <v>585</v>
      </c>
      <c r="AE2181" s="1059">
        <v>462053</v>
      </c>
      <c r="AF2181" s="889" t="s">
        <v>459</v>
      </c>
      <c r="AG2181" s="889" t="s">
        <v>459</v>
      </c>
    </row>
    <row r="2182" spans="26:33" x14ac:dyDescent="0.35">
      <c r="Z2182" s="344">
        <v>5160</v>
      </c>
      <c r="AA2182" s="344" t="s">
        <v>584</v>
      </c>
      <c r="AB2182" s="344">
        <v>1</v>
      </c>
      <c r="AC2182" s="344" t="e">
        <v>#N/A</v>
      </c>
      <c r="AD2182" s="1058" t="s">
        <v>585</v>
      </c>
      <c r="AE2182" s="1059" t="e">
        <v>#N/A</v>
      </c>
      <c r="AF2182" s="889" t="s">
        <v>459</v>
      </c>
      <c r="AG2182" s="889" t="s">
        <v>459</v>
      </c>
    </row>
    <row r="2183" spans="26:33" x14ac:dyDescent="0.35">
      <c r="Z2183" s="344">
        <v>5161</v>
      </c>
      <c r="AA2183" s="344" t="s">
        <v>584</v>
      </c>
      <c r="AB2183" s="344">
        <v>1</v>
      </c>
      <c r="AC2183" s="344" t="s">
        <v>471</v>
      </c>
      <c r="AD2183" s="1058" t="s">
        <v>585</v>
      </c>
      <c r="AE2183" s="1059">
        <v>321610</v>
      </c>
      <c r="AF2183" s="889" t="s">
        <v>459</v>
      </c>
      <c r="AG2183" s="889" t="s">
        <v>459</v>
      </c>
    </row>
    <row r="2184" spans="26:33" x14ac:dyDescent="0.35">
      <c r="Z2184" s="344">
        <v>5162</v>
      </c>
      <c r="AA2184" s="344" t="s">
        <v>584</v>
      </c>
      <c r="AB2184" s="344">
        <v>1</v>
      </c>
      <c r="AC2184" s="344" t="s">
        <v>471</v>
      </c>
      <c r="AD2184" s="1058" t="s">
        <v>585</v>
      </c>
      <c r="AE2184" s="1059">
        <v>333198</v>
      </c>
      <c r="AF2184" s="889" t="s">
        <v>459</v>
      </c>
      <c r="AG2184" s="889" t="s">
        <v>459</v>
      </c>
    </row>
    <row r="2185" spans="26:33" x14ac:dyDescent="0.35">
      <c r="Z2185" s="344">
        <v>5163</v>
      </c>
      <c r="AA2185" s="344" t="s">
        <v>584</v>
      </c>
      <c r="AB2185" s="344">
        <v>1</v>
      </c>
      <c r="AC2185" s="344" t="s">
        <v>471</v>
      </c>
      <c r="AD2185" s="1058" t="s">
        <v>585</v>
      </c>
      <c r="AE2185" s="1059">
        <v>302440</v>
      </c>
      <c r="AF2185" s="889" t="s">
        <v>460</v>
      </c>
      <c r="AG2185" s="889" t="s">
        <v>459</v>
      </c>
    </row>
    <row r="2186" spans="26:33" x14ac:dyDescent="0.35">
      <c r="Z2186" s="344">
        <v>5164</v>
      </c>
      <c r="AA2186" s="344" t="s">
        <v>584</v>
      </c>
      <c r="AB2186" s="344">
        <v>1</v>
      </c>
      <c r="AC2186" s="344" t="s">
        <v>464</v>
      </c>
      <c r="AD2186" s="1058" t="s">
        <v>585</v>
      </c>
      <c r="AE2186" s="1059">
        <v>253197</v>
      </c>
      <c r="AF2186" s="889" t="s">
        <v>460</v>
      </c>
      <c r="AG2186" s="889" t="s">
        <v>459</v>
      </c>
    </row>
    <row r="2187" spans="26:33" x14ac:dyDescent="0.35">
      <c r="Z2187" s="344">
        <v>5165</v>
      </c>
      <c r="AA2187" s="344" t="s">
        <v>584</v>
      </c>
      <c r="AB2187" s="344">
        <v>1</v>
      </c>
      <c r="AC2187" s="344" t="s">
        <v>471</v>
      </c>
      <c r="AD2187" s="1058" t="s">
        <v>585</v>
      </c>
      <c r="AE2187" s="1059">
        <v>339130</v>
      </c>
      <c r="AF2187" s="889" t="s">
        <v>269</v>
      </c>
      <c r="AG2187" s="889" t="s">
        <v>459</v>
      </c>
    </row>
    <row r="2188" spans="26:33" x14ac:dyDescent="0.35">
      <c r="Z2188" s="344">
        <v>5166</v>
      </c>
      <c r="AA2188" s="344" t="s">
        <v>584</v>
      </c>
      <c r="AB2188" s="344">
        <v>1</v>
      </c>
      <c r="AC2188" s="344" t="s">
        <v>464</v>
      </c>
      <c r="AD2188" s="1058" t="s">
        <v>585</v>
      </c>
      <c r="AE2188" s="1059">
        <v>269869</v>
      </c>
      <c r="AF2188" s="889" t="s">
        <v>460</v>
      </c>
      <c r="AG2188" s="889" t="s">
        <v>459</v>
      </c>
    </row>
    <row r="2189" spans="26:33" x14ac:dyDescent="0.35">
      <c r="Z2189" s="344">
        <v>5167</v>
      </c>
      <c r="AA2189" s="344" t="s">
        <v>584</v>
      </c>
      <c r="AB2189" s="344">
        <v>1</v>
      </c>
      <c r="AC2189" s="344" t="s">
        <v>471</v>
      </c>
      <c r="AD2189" s="1058" t="s">
        <v>585</v>
      </c>
      <c r="AE2189" s="1059">
        <v>377019</v>
      </c>
      <c r="AF2189" s="889" t="s">
        <v>459</v>
      </c>
      <c r="AG2189" s="889" t="s">
        <v>459</v>
      </c>
    </row>
    <row r="2190" spans="26:33" x14ac:dyDescent="0.35">
      <c r="Z2190" s="344">
        <v>5168</v>
      </c>
      <c r="AA2190" s="344" t="s">
        <v>584</v>
      </c>
      <c r="AB2190" s="344">
        <v>1</v>
      </c>
      <c r="AC2190" s="344" t="s">
        <v>471</v>
      </c>
      <c r="AD2190" s="1058" t="s">
        <v>585</v>
      </c>
      <c r="AE2190" s="1059">
        <v>307505</v>
      </c>
      <c r="AF2190" s="889" t="s">
        <v>460</v>
      </c>
      <c r="AG2190" s="889" t="s">
        <v>459</v>
      </c>
    </row>
    <row r="2191" spans="26:33" x14ac:dyDescent="0.35">
      <c r="Z2191" s="344">
        <v>5169</v>
      </c>
      <c r="AA2191" s="344" t="s">
        <v>584</v>
      </c>
      <c r="AB2191" s="344">
        <v>1</v>
      </c>
      <c r="AC2191" s="344" t="s">
        <v>471</v>
      </c>
      <c r="AD2191" s="1058" t="s">
        <v>585</v>
      </c>
      <c r="AE2191" s="1059">
        <v>364800</v>
      </c>
      <c r="AF2191" s="889" t="s">
        <v>459</v>
      </c>
      <c r="AG2191" s="889" t="s">
        <v>459</v>
      </c>
    </row>
    <row r="2192" spans="26:33" x14ac:dyDescent="0.35">
      <c r="Z2192" s="344">
        <v>5170</v>
      </c>
      <c r="AA2192" s="344" t="s">
        <v>584</v>
      </c>
      <c r="AB2192" s="344">
        <v>1</v>
      </c>
      <c r="AC2192" s="344" t="s">
        <v>471</v>
      </c>
      <c r="AD2192" s="1058" t="s">
        <v>585</v>
      </c>
      <c r="AE2192" s="1059">
        <v>362072</v>
      </c>
      <c r="AF2192" s="889" t="s">
        <v>459</v>
      </c>
      <c r="AG2192" s="889" t="s">
        <v>459</v>
      </c>
    </row>
    <row r="2193" spans="26:33" x14ac:dyDescent="0.35">
      <c r="Z2193" s="344">
        <v>5171</v>
      </c>
      <c r="AA2193" s="344" t="s">
        <v>584</v>
      </c>
      <c r="AB2193" s="344">
        <v>1</v>
      </c>
      <c r="AC2193" s="344" t="s">
        <v>471</v>
      </c>
      <c r="AD2193" s="1058" t="s">
        <v>585</v>
      </c>
      <c r="AE2193" s="1059">
        <v>432141</v>
      </c>
      <c r="AF2193" s="889" t="s">
        <v>459</v>
      </c>
      <c r="AG2193" s="889" t="s">
        <v>459</v>
      </c>
    </row>
    <row r="2194" spans="26:33" x14ac:dyDescent="0.35">
      <c r="Z2194" s="344">
        <v>5172</v>
      </c>
      <c r="AA2194" s="344" t="s">
        <v>584</v>
      </c>
      <c r="AB2194" s="344">
        <v>1</v>
      </c>
      <c r="AC2194" s="344" t="s">
        <v>457</v>
      </c>
      <c r="AD2194" s="1058" t="s">
        <v>585</v>
      </c>
      <c r="AE2194" s="1059">
        <v>539137</v>
      </c>
      <c r="AF2194" s="889" t="s">
        <v>459</v>
      </c>
      <c r="AG2194" s="889" t="s">
        <v>459</v>
      </c>
    </row>
    <row r="2195" spans="26:33" x14ac:dyDescent="0.35">
      <c r="Z2195" s="344">
        <v>5173</v>
      </c>
      <c r="AA2195" s="344" t="s">
        <v>584</v>
      </c>
      <c r="AB2195" s="344">
        <v>1</v>
      </c>
      <c r="AC2195" s="344" t="s">
        <v>471</v>
      </c>
      <c r="AD2195" s="1058" t="s">
        <v>585</v>
      </c>
      <c r="AE2195" s="1059">
        <v>355336</v>
      </c>
      <c r="AF2195" s="889" t="s">
        <v>269</v>
      </c>
      <c r="AG2195" s="889" t="s">
        <v>459</v>
      </c>
    </row>
    <row r="2196" spans="26:33" x14ac:dyDescent="0.35">
      <c r="Z2196" s="344">
        <v>5174</v>
      </c>
      <c r="AA2196" s="344" t="s">
        <v>584</v>
      </c>
      <c r="AB2196" s="344">
        <v>1</v>
      </c>
      <c r="AC2196" s="344" t="s">
        <v>457</v>
      </c>
      <c r="AD2196" s="1058" t="s">
        <v>585</v>
      </c>
      <c r="AE2196" s="1059">
        <v>501481</v>
      </c>
      <c r="AF2196" s="889" t="s">
        <v>460</v>
      </c>
      <c r="AG2196" s="889" t="s">
        <v>459</v>
      </c>
    </row>
    <row r="2197" spans="26:33" x14ac:dyDescent="0.35">
      <c r="Z2197" s="344">
        <v>5201</v>
      </c>
      <c r="AA2197" s="344" t="s">
        <v>584</v>
      </c>
      <c r="AB2197" s="344">
        <v>1</v>
      </c>
      <c r="AC2197" s="344" t="s">
        <v>471</v>
      </c>
      <c r="AD2197" s="1058" t="s">
        <v>585</v>
      </c>
      <c r="AE2197" s="1059">
        <v>362247</v>
      </c>
      <c r="AF2197" s="889" t="s">
        <v>459</v>
      </c>
      <c r="AG2197" s="889" t="s">
        <v>459</v>
      </c>
    </row>
    <row r="2198" spans="26:33" x14ac:dyDescent="0.35">
      <c r="Z2198" s="344">
        <v>5202</v>
      </c>
      <c r="AA2198" s="344" t="s">
        <v>584</v>
      </c>
      <c r="AB2198" s="344">
        <v>4</v>
      </c>
      <c r="AC2198" s="344" t="s">
        <v>471</v>
      </c>
      <c r="AD2198" s="1058" t="s">
        <v>586</v>
      </c>
      <c r="AE2198" s="1059">
        <v>313582</v>
      </c>
      <c r="AF2198" s="889" t="s">
        <v>459</v>
      </c>
      <c r="AG2198" s="889" t="s">
        <v>459</v>
      </c>
    </row>
    <row r="2199" spans="26:33" x14ac:dyDescent="0.35">
      <c r="Z2199" s="344">
        <v>5203</v>
      </c>
      <c r="AA2199" s="344" t="s">
        <v>584</v>
      </c>
      <c r="AB2199" s="344">
        <v>4</v>
      </c>
      <c r="AC2199" s="344" t="s">
        <v>464</v>
      </c>
      <c r="AD2199" s="1058" t="s">
        <v>586</v>
      </c>
      <c r="AE2199" s="1059">
        <v>281577</v>
      </c>
      <c r="AF2199" s="889" t="s">
        <v>459</v>
      </c>
      <c r="AG2199" s="889" t="s">
        <v>459</v>
      </c>
    </row>
    <row r="2200" spans="26:33" x14ac:dyDescent="0.35">
      <c r="Z2200" s="344">
        <v>5204</v>
      </c>
      <c r="AA2200" s="344" t="s">
        <v>584</v>
      </c>
      <c r="AB2200" s="344">
        <v>3</v>
      </c>
      <c r="AC2200" s="344" t="s">
        <v>464</v>
      </c>
      <c r="AD2200" s="1058" t="s">
        <v>587</v>
      </c>
      <c r="AE2200" s="1059">
        <v>294155</v>
      </c>
      <c r="AF2200" s="889" t="s">
        <v>459</v>
      </c>
      <c r="AG2200" s="889" t="s">
        <v>459</v>
      </c>
    </row>
    <row r="2201" spans="26:33" x14ac:dyDescent="0.35">
      <c r="Z2201" s="344">
        <v>5210</v>
      </c>
      <c r="AA2201" s="344" t="s">
        <v>584</v>
      </c>
      <c r="AB2201" s="344">
        <v>3</v>
      </c>
      <c r="AC2201" s="344" t="s">
        <v>471</v>
      </c>
      <c r="AD2201" s="1058" t="s">
        <v>587</v>
      </c>
      <c r="AE2201" s="1059">
        <v>378521</v>
      </c>
      <c r="AF2201" s="889" t="s">
        <v>459</v>
      </c>
      <c r="AG2201" s="889" t="s">
        <v>459</v>
      </c>
    </row>
    <row r="2202" spans="26:33" x14ac:dyDescent="0.35">
      <c r="Z2202" s="344">
        <v>5211</v>
      </c>
      <c r="AA2202" s="344" t="s">
        <v>584</v>
      </c>
      <c r="AB2202" s="344">
        <v>2</v>
      </c>
      <c r="AC2202" s="344" t="s">
        <v>457</v>
      </c>
      <c r="AD2202" s="1058" t="s">
        <v>588</v>
      </c>
      <c r="AE2202" s="1059">
        <v>488262</v>
      </c>
      <c r="AF2202" s="889" t="s">
        <v>459</v>
      </c>
      <c r="AG2202" s="889" t="s">
        <v>459</v>
      </c>
    </row>
    <row r="2203" spans="26:33" x14ac:dyDescent="0.35">
      <c r="Z2203" s="344">
        <v>5212</v>
      </c>
      <c r="AA2203" s="344" t="s">
        <v>584</v>
      </c>
      <c r="AB2203" s="344">
        <v>2</v>
      </c>
      <c r="AC2203" s="344" t="s">
        <v>471</v>
      </c>
      <c r="AD2203" s="1058" t="s">
        <v>588</v>
      </c>
      <c r="AE2203" s="1059">
        <v>406945</v>
      </c>
      <c r="AF2203" s="889" t="s">
        <v>459</v>
      </c>
      <c r="AG2203" s="889" t="s">
        <v>459</v>
      </c>
    </row>
    <row r="2204" spans="26:33" x14ac:dyDescent="0.35">
      <c r="Z2204" s="344">
        <v>5213</v>
      </c>
      <c r="AA2204" s="344" t="s">
        <v>584</v>
      </c>
      <c r="AB2204" s="344">
        <v>2</v>
      </c>
      <c r="AC2204" s="344" t="s">
        <v>471</v>
      </c>
      <c r="AD2204" s="1058" t="s">
        <v>588</v>
      </c>
      <c r="AE2204" s="1059">
        <v>444147</v>
      </c>
      <c r="AF2204" s="889" t="s">
        <v>459</v>
      </c>
      <c r="AG2204" s="889" t="s">
        <v>459</v>
      </c>
    </row>
    <row r="2205" spans="26:33" x14ac:dyDescent="0.35">
      <c r="Z2205" s="344">
        <v>5214</v>
      </c>
      <c r="AA2205" s="344" t="s">
        <v>584</v>
      </c>
      <c r="AB2205" s="344">
        <v>2</v>
      </c>
      <c r="AC2205" s="344" t="s">
        <v>471</v>
      </c>
      <c r="AD2205" s="1058" t="s">
        <v>588</v>
      </c>
      <c r="AE2205" s="1059">
        <v>369892</v>
      </c>
      <c r="AF2205" s="889" t="s">
        <v>459</v>
      </c>
      <c r="AG2205" s="889" t="s">
        <v>459</v>
      </c>
    </row>
    <row r="2206" spans="26:33" x14ac:dyDescent="0.35">
      <c r="Z2206" s="344">
        <v>5220</v>
      </c>
      <c r="AA2206" s="344" t="s">
        <v>584</v>
      </c>
      <c r="AB2206" s="344">
        <v>4</v>
      </c>
      <c r="AC2206" s="344" t="e">
        <v>#N/A</v>
      </c>
      <c r="AD2206" s="1058" t="s">
        <v>586</v>
      </c>
      <c r="AE2206" s="1059" t="e">
        <v>#N/A</v>
      </c>
      <c r="AF2206" s="889" t="s">
        <v>459</v>
      </c>
      <c r="AG2206" s="889" t="s">
        <v>459</v>
      </c>
    </row>
    <row r="2207" spans="26:33" x14ac:dyDescent="0.35">
      <c r="Z2207" s="344">
        <v>5221</v>
      </c>
      <c r="AA2207" s="344" t="s">
        <v>584</v>
      </c>
      <c r="AB2207" s="344">
        <v>4</v>
      </c>
      <c r="AC2207" s="344" t="s">
        <v>464</v>
      </c>
      <c r="AD2207" s="1058" t="s">
        <v>586</v>
      </c>
      <c r="AE2207" s="1059">
        <v>279809</v>
      </c>
      <c r="AF2207" s="889" t="s">
        <v>459</v>
      </c>
      <c r="AG2207" s="889" t="s">
        <v>459</v>
      </c>
    </row>
    <row r="2208" spans="26:33" x14ac:dyDescent="0.35">
      <c r="Z2208" s="344">
        <v>5222</v>
      </c>
      <c r="AA2208" s="344" t="s">
        <v>584</v>
      </c>
      <c r="AB2208" s="344">
        <v>4</v>
      </c>
      <c r="AC2208" s="344" t="s">
        <v>471</v>
      </c>
      <c r="AD2208" s="1058" t="s">
        <v>586</v>
      </c>
      <c r="AE2208" s="1059">
        <v>371117</v>
      </c>
      <c r="AF2208" s="889" t="s">
        <v>459</v>
      </c>
      <c r="AG2208" s="889" t="s">
        <v>459</v>
      </c>
    </row>
    <row r="2209" spans="26:33" x14ac:dyDescent="0.35">
      <c r="Z2209" s="344">
        <v>5223</v>
      </c>
      <c r="AA2209" s="344" t="s">
        <v>584</v>
      </c>
      <c r="AB2209" s="344">
        <v>3</v>
      </c>
      <c r="AC2209" s="344" t="s">
        <v>464</v>
      </c>
      <c r="AD2209" s="1058" t="s">
        <v>587</v>
      </c>
      <c r="AE2209" s="1059">
        <v>297009</v>
      </c>
      <c r="AF2209" s="889" t="s">
        <v>459</v>
      </c>
      <c r="AG2209" s="889" t="s">
        <v>459</v>
      </c>
    </row>
    <row r="2210" spans="26:33" x14ac:dyDescent="0.35">
      <c r="Z2210" s="344">
        <v>5231</v>
      </c>
      <c r="AA2210" s="344" t="s">
        <v>584</v>
      </c>
      <c r="AB2210" s="344">
        <v>1</v>
      </c>
      <c r="AC2210" s="344" t="s">
        <v>457</v>
      </c>
      <c r="AD2210" s="1058" t="s">
        <v>585</v>
      </c>
      <c r="AE2210" s="1059">
        <v>462917</v>
      </c>
      <c r="AF2210" s="889" t="s">
        <v>459</v>
      </c>
      <c r="AG2210" s="889" t="s">
        <v>459</v>
      </c>
    </row>
    <row r="2211" spans="26:33" x14ac:dyDescent="0.35">
      <c r="Z2211" s="344">
        <v>5232</v>
      </c>
      <c r="AA2211" s="344" t="s">
        <v>584</v>
      </c>
      <c r="AB2211" s="344">
        <v>1</v>
      </c>
      <c r="AC2211" s="344" t="s">
        <v>457</v>
      </c>
      <c r="AD2211" s="1058" t="s">
        <v>585</v>
      </c>
      <c r="AE2211" s="1059">
        <v>682032</v>
      </c>
      <c r="AF2211" s="889" t="s">
        <v>459</v>
      </c>
      <c r="AG2211" s="889" t="s">
        <v>459</v>
      </c>
    </row>
    <row r="2212" spans="26:33" x14ac:dyDescent="0.35">
      <c r="Z2212" s="344">
        <v>5233</v>
      </c>
      <c r="AA2212" s="344" t="s">
        <v>584</v>
      </c>
      <c r="AB2212" s="344">
        <v>1</v>
      </c>
      <c r="AC2212" s="344" t="s">
        <v>457</v>
      </c>
      <c r="AD2212" s="1058" t="s">
        <v>585</v>
      </c>
      <c r="AE2212" s="1059">
        <v>481046</v>
      </c>
      <c r="AF2212" s="889" t="s">
        <v>459</v>
      </c>
      <c r="AG2212" s="889" t="s">
        <v>459</v>
      </c>
    </row>
    <row r="2213" spans="26:33" x14ac:dyDescent="0.35">
      <c r="Z2213" s="344">
        <v>5234</v>
      </c>
      <c r="AA2213" s="344" t="s">
        <v>584</v>
      </c>
      <c r="AB2213" s="344">
        <v>1</v>
      </c>
      <c r="AC2213" s="344" t="s">
        <v>471</v>
      </c>
      <c r="AD2213" s="1058" t="s">
        <v>585</v>
      </c>
      <c r="AE2213" s="1059">
        <v>395797</v>
      </c>
      <c r="AF2213" s="889" t="s">
        <v>459</v>
      </c>
      <c r="AG2213" s="889" t="s">
        <v>459</v>
      </c>
    </row>
    <row r="2214" spans="26:33" x14ac:dyDescent="0.35">
      <c r="Z2214" s="344">
        <v>5235</v>
      </c>
      <c r="AA2214" s="344" t="s">
        <v>584</v>
      </c>
      <c r="AB2214" s="344">
        <v>4</v>
      </c>
      <c r="AC2214" s="344" t="s">
        <v>471</v>
      </c>
      <c r="AD2214" s="1058" t="s">
        <v>586</v>
      </c>
      <c r="AE2214" s="1059">
        <v>382009</v>
      </c>
      <c r="AF2214" s="889" t="s">
        <v>459</v>
      </c>
      <c r="AG2214" s="889" t="s">
        <v>459</v>
      </c>
    </row>
    <row r="2215" spans="26:33" x14ac:dyDescent="0.35">
      <c r="Z2215" s="344">
        <v>5236</v>
      </c>
      <c r="AA2215" s="344" t="s">
        <v>584</v>
      </c>
      <c r="AB2215" s="344">
        <v>4</v>
      </c>
      <c r="AC2215" s="344" t="s">
        <v>464</v>
      </c>
      <c r="AD2215" s="1058" t="s">
        <v>586</v>
      </c>
      <c r="AE2215" s="1059">
        <v>288151</v>
      </c>
      <c r="AF2215" s="889" t="s">
        <v>459</v>
      </c>
      <c r="AG2215" s="889" t="s">
        <v>459</v>
      </c>
    </row>
    <row r="2216" spans="26:33" x14ac:dyDescent="0.35">
      <c r="Z2216" s="344">
        <v>5237</v>
      </c>
      <c r="AA2216" s="344" t="s">
        <v>584</v>
      </c>
      <c r="AB2216" s="344">
        <v>4</v>
      </c>
      <c r="AC2216" s="344" t="e">
        <v>#N/A</v>
      </c>
      <c r="AD2216" s="1058" t="s">
        <v>586</v>
      </c>
      <c r="AE2216" s="1059" t="e">
        <v>#N/A</v>
      </c>
      <c r="AF2216" s="889" t="s">
        <v>459</v>
      </c>
      <c r="AG2216" s="889" t="s">
        <v>459</v>
      </c>
    </row>
    <row r="2217" spans="26:33" x14ac:dyDescent="0.35">
      <c r="Z2217" s="344">
        <v>5238</v>
      </c>
      <c r="AA2217" s="344" t="s">
        <v>584</v>
      </c>
      <c r="AB2217" s="344">
        <v>3</v>
      </c>
      <c r="AC2217" s="344" t="s">
        <v>464</v>
      </c>
      <c r="AD2217" s="1058" t="s">
        <v>587</v>
      </c>
      <c r="AE2217" s="1059">
        <v>244100</v>
      </c>
      <c r="AF2217" s="889" t="s">
        <v>459</v>
      </c>
      <c r="AG2217" s="889" t="s">
        <v>459</v>
      </c>
    </row>
    <row r="2218" spans="26:33" x14ac:dyDescent="0.35">
      <c r="Z2218" s="344">
        <v>5240</v>
      </c>
      <c r="AA2218" s="344" t="s">
        <v>584</v>
      </c>
      <c r="AB2218" s="344">
        <v>1</v>
      </c>
      <c r="AC2218" s="344" t="s">
        <v>457</v>
      </c>
      <c r="AD2218" s="1058" t="s">
        <v>585</v>
      </c>
      <c r="AE2218" s="1059">
        <v>492045</v>
      </c>
      <c r="AF2218" s="889" t="s">
        <v>459</v>
      </c>
      <c r="AG2218" s="889" t="s">
        <v>459</v>
      </c>
    </row>
    <row r="2219" spans="26:33" x14ac:dyDescent="0.35">
      <c r="Z2219" s="344">
        <v>5241</v>
      </c>
      <c r="AA2219" s="344" t="s">
        <v>584</v>
      </c>
      <c r="AB2219" s="344">
        <v>1</v>
      </c>
      <c r="AC2219" s="344" t="s">
        <v>471</v>
      </c>
      <c r="AD2219" s="1058" t="s">
        <v>585</v>
      </c>
      <c r="AE2219" s="1059">
        <v>350961</v>
      </c>
      <c r="AF2219" s="889" t="s">
        <v>459</v>
      </c>
      <c r="AG2219" s="889" t="s">
        <v>459</v>
      </c>
    </row>
    <row r="2220" spans="26:33" x14ac:dyDescent="0.35">
      <c r="Z2220" s="344">
        <v>5242</v>
      </c>
      <c r="AA2220" s="344" t="s">
        <v>584</v>
      </c>
      <c r="AB2220" s="344">
        <v>1</v>
      </c>
      <c r="AC2220" s="344" t="s">
        <v>471</v>
      </c>
      <c r="AD2220" s="1058" t="s">
        <v>585</v>
      </c>
      <c r="AE2220" s="1059">
        <v>430119</v>
      </c>
      <c r="AF2220" s="889" t="s">
        <v>459</v>
      </c>
      <c r="AG2220" s="889" t="s">
        <v>459</v>
      </c>
    </row>
    <row r="2221" spans="26:33" x14ac:dyDescent="0.35">
      <c r="Z2221" s="344">
        <v>5243</v>
      </c>
      <c r="AA2221" s="344" t="s">
        <v>584</v>
      </c>
      <c r="AB2221" s="344">
        <v>1</v>
      </c>
      <c r="AC2221" s="344" t="s">
        <v>457</v>
      </c>
      <c r="AD2221" s="1058" t="s">
        <v>585</v>
      </c>
      <c r="AE2221" s="1059">
        <v>599316</v>
      </c>
      <c r="AF2221" s="889" t="s">
        <v>459</v>
      </c>
      <c r="AG2221" s="889" t="s">
        <v>459</v>
      </c>
    </row>
    <row r="2222" spans="26:33" x14ac:dyDescent="0.35">
      <c r="Z2222" s="344">
        <v>5244</v>
      </c>
      <c r="AA2222" s="344" t="s">
        <v>584</v>
      </c>
      <c r="AB2222" s="344">
        <v>1</v>
      </c>
      <c r="AC2222" s="344" t="s">
        <v>471</v>
      </c>
      <c r="AD2222" s="1058" t="s">
        <v>585</v>
      </c>
      <c r="AE2222" s="1059">
        <v>434913</v>
      </c>
      <c r="AF2222" s="889" t="s">
        <v>459</v>
      </c>
      <c r="AG2222" s="889" t="s">
        <v>459</v>
      </c>
    </row>
    <row r="2223" spans="26:33" x14ac:dyDescent="0.35">
      <c r="Z2223" s="344">
        <v>5245</v>
      </c>
      <c r="AA2223" s="344" t="s">
        <v>584</v>
      </c>
      <c r="AB2223" s="344">
        <v>1</v>
      </c>
      <c r="AC2223" s="344" t="s">
        <v>457</v>
      </c>
      <c r="AD2223" s="1058" t="s">
        <v>585</v>
      </c>
      <c r="AE2223" s="1059">
        <v>494296</v>
      </c>
      <c r="AF2223" s="889" t="s">
        <v>459</v>
      </c>
      <c r="AG2223" s="889" t="s">
        <v>459</v>
      </c>
    </row>
    <row r="2224" spans="26:33" x14ac:dyDescent="0.35">
      <c r="Z2224" s="344">
        <v>5246</v>
      </c>
      <c r="AA2224" s="344" t="s">
        <v>584</v>
      </c>
      <c r="AB2224" s="344">
        <v>1</v>
      </c>
      <c r="AC2224" s="344" t="e">
        <v>#N/A</v>
      </c>
      <c r="AD2224" s="1058" t="s">
        <v>585</v>
      </c>
      <c r="AE2224" s="1059" t="e">
        <v>#N/A</v>
      </c>
      <c r="AF2224" s="889" t="s">
        <v>459</v>
      </c>
      <c r="AG2224" s="889" t="s">
        <v>459</v>
      </c>
    </row>
    <row r="2225" spans="26:33" x14ac:dyDescent="0.35">
      <c r="Z2225" s="344">
        <v>5247</v>
      </c>
      <c r="AA2225" s="344" t="s">
        <v>584</v>
      </c>
      <c r="AB2225" s="344">
        <v>1</v>
      </c>
      <c r="AC2225" s="344" t="e">
        <v>#N/A</v>
      </c>
      <c r="AD2225" s="1058" t="s">
        <v>585</v>
      </c>
      <c r="AE2225" s="1059" t="e">
        <v>#N/A</v>
      </c>
      <c r="AF2225" s="889" t="s">
        <v>459</v>
      </c>
      <c r="AG2225" s="889" t="s">
        <v>459</v>
      </c>
    </row>
    <row r="2226" spans="26:33" x14ac:dyDescent="0.35">
      <c r="Z2226" s="344">
        <v>5248</v>
      </c>
      <c r="AA2226" s="344" t="s">
        <v>584</v>
      </c>
      <c r="AB2226" s="344">
        <v>1</v>
      </c>
      <c r="AC2226" s="344" t="e">
        <v>#N/A</v>
      </c>
      <c r="AD2226" s="1058" t="s">
        <v>585</v>
      </c>
      <c r="AE2226" s="1059" t="e">
        <v>#N/A</v>
      </c>
      <c r="AF2226" s="889" t="s">
        <v>459</v>
      </c>
      <c r="AG2226" s="889" t="s">
        <v>459</v>
      </c>
    </row>
    <row r="2227" spans="26:33" x14ac:dyDescent="0.35">
      <c r="Z2227" s="344">
        <v>5249</v>
      </c>
      <c r="AA2227" s="344" t="s">
        <v>584</v>
      </c>
      <c r="AB2227" s="344">
        <v>1</v>
      </c>
      <c r="AC2227" s="344" t="e">
        <v>#N/A</v>
      </c>
      <c r="AD2227" s="1058" t="s">
        <v>585</v>
      </c>
      <c r="AE2227" s="1059" t="e">
        <v>#N/A</v>
      </c>
      <c r="AF2227" s="889" t="s">
        <v>459</v>
      </c>
      <c r="AG2227" s="889" t="s">
        <v>459</v>
      </c>
    </row>
    <row r="2228" spans="26:33" x14ac:dyDescent="0.35">
      <c r="Z2228" s="344">
        <v>5250</v>
      </c>
      <c r="AA2228" s="344" t="s">
        <v>584</v>
      </c>
      <c r="AB2228" s="344">
        <v>1</v>
      </c>
      <c r="AC2228" s="344" t="s">
        <v>457</v>
      </c>
      <c r="AD2228" s="1058" t="s">
        <v>585</v>
      </c>
      <c r="AE2228" s="1059">
        <v>621227</v>
      </c>
      <c r="AF2228" s="889" t="s">
        <v>459</v>
      </c>
      <c r="AG2228" s="889" t="s">
        <v>459</v>
      </c>
    </row>
    <row r="2229" spans="26:33" x14ac:dyDescent="0.35">
      <c r="Z2229" s="344">
        <v>5251</v>
      </c>
      <c r="AA2229" s="344" t="s">
        <v>584</v>
      </c>
      <c r="AB2229" s="344">
        <v>1</v>
      </c>
      <c r="AC2229" s="344" t="s">
        <v>471</v>
      </c>
      <c r="AD2229" s="1058" t="s">
        <v>585</v>
      </c>
      <c r="AE2229" s="1059">
        <v>370067</v>
      </c>
      <c r="AF2229" s="889" t="s">
        <v>459</v>
      </c>
      <c r="AG2229" s="889" t="s">
        <v>459</v>
      </c>
    </row>
    <row r="2230" spans="26:33" x14ac:dyDescent="0.35">
      <c r="Z2230" s="344">
        <v>5252</v>
      </c>
      <c r="AA2230" s="344" t="s">
        <v>584</v>
      </c>
      <c r="AB2230" s="344">
        <v>1</v>
      </c>
      <c r="AC2230" s="344" t="s">
        <v>471</v>
      </c>
      <c r="AD2230" s="1058" t="s">
        <v>585</v>
      </c>
      <c r="AE2230" s="1059">
        <v>340777</v>
      </c>
      <c r="AF2230" s="889" t="s">
        <v>459</v>
      </c>
      <c r="AG2230" s="889" t="s">
        <v>459</v>
      </c>
    </row>
    <row r="2231" spans="26:33" x14ac:dyDescent="0.35">
      <c r="Z2231" s="344">
        <v>5253</v>
      </c>
      <c r="AA2231" s="344" t="s">
        <v>584</v>
      </c>
      <c r="AB2231" s="344">
        <v>3</v>
      </c>
      <c r="AC2231" s="344" t="s">
        <v>464</v>
      </c>
      <c r="AD2231" s="1058" t="s">
        <v>587</v>
      </c>
      <c r="AE2231" s="1059">
        <v>268960</v>
      </c>
      <c r="AF2231" s="889" t="s">
        <v>269</v>
      </c>
      <c r="AG2231" s="889" t="s">
        <v>459</v>
      </c>
    </row>
    <row r="2232" spans="26:33" x14ac:dyDescent="0.35">
      <c r="Z2232" s="344">
        <v>5254</v>
      </c>
      <c r="AA2232" s="344" t="s">
        <v>584</v>
      </c>
      <c r="AB2232" s="344">
        <v>2</v>
      </c>
      <c r="AC2232" s="344" t="s">
        <v>464</v>
      </c>
      <c r="AD2232" s="1058" t="s">
        <v>588</v>
      </c>
      <c r="AE2232" s="1059">
        <v>253294</v>
      </c>
      <c r="AF2232" s="889" t="s">
        <v>459</v>
      </c>
      <c r="AG2232" s="889" t="s">
        <v>459</v>
      </c>
    </row>
    <row r="2233" spans="26:33" x14ac:dyDescent="0.35">
      <c r="Z2233" s="344">
        <v>5255</v>
      </c>
      <c r="AA2233" s="344" t="s">
        <v>584</v>
      </c>
      <c r="AB2233" s="344">
        <v>3</v>
      </c>
      <c r="AC2233" s="344" t="s">
        <v>471</v>
      </c>
      <c r="AD2233" s="1058" t="s">
        <v>587</v>
      </c>
      <c r="AE2233" s="1059">
        <v>360094</v>
      </c>
      <c r="AF2233" s="889" t="s">
        <v>459</v>
      </c>
      <c r="AG2233" s="889" t="s">
        <v>459</v>
      </c>
    </row>
    <row r="2234" spans="26:33" x14ac:dyDescent="0.35">
      <c r="Z2234" s="344">
        <v>5256</v>
      </c>
      <c r="AA2234" s="344" t="s">
        <v>584</v>
      </c>
      <c r="AB2234" s="344">
        <v>4</v>
      </c>
      <c r="AC2234" s="344" t="s">
        <v>464</v>
      </c>
      <c r="AD2234" s="1058" t="s">
        <v>586</v>
      </c>
      <c r="AE2234" s="1059">
        <v>247396</v>
      </c>
      <c r="AF2234" s="889" t="s">
        <v>459</v>
      </c>
      <c r="AG2234" s="889" t="s">
        <v>459</v>
      </c>
    </row>
    <row r="2235" spans="26:33" x14ac:dyDescent="0.35">
      <c r="Z2235" s="344">
        <v>5259</v>
      </c>
      <c r="AA2235" s="344" t="s">
        <v>584</v>
      </c>
      <c r="AB2235" s="344">
        <v>4</v>
      </c>
      <c r="AC2235" s="344" t="s">
        <v>471</v>
      </c>
      <c r="AD2235" s="1058" t="s">
        <v>586</v>
      </c>
      <c r="AE2235" s="1059">
        <v>366631</v>
      </c>
      <c r="AF2235" s="889" t="s">
        <v>459</v>
      </c>
      <c r="AG2235" s="889" t="s">
        <v>459</v>
      </c>
    </row>
    <row r="2236" spans="26:33" x14ac:dyDescent="0.35">
      <c r="Z2236" s="344">
        <v>5260</v>
      </c>
      <c r="AA2236" s="344" t="s">
        <v>584</v>
      </c>
      <c r="AB2236" s="344">
        <v>4</v>
      </c>
      <c r="AC2236" s="344" t="s">
        <v>464</v>
      </c>
      <c r="AD2236" s="1058" t="s">
        <v>586</v>
      </c>
      <c r="AE2236" s="1059">
        <v>179789</v>
      </c>
      <c r="AF2236" s="889" t="s">
        <v>459</v>
      </c>
      <c r="AG2236" s="889" t="s">
        <v>459</v>
      </c>
    </row>
    <row r="2237" spans="26:33" x14ac:dyDescent="0.35">
      <c r="Z2237" s="344">
        <v>5261</v>
      </c>
      <c r="AA2237" s="344" t="s">
        <v>584</v>
      </c>
      <c r="AB2237" s="344">
        <v>4</v>
      </c>
      <c r="AC2237" s="344" t="e">
        <v>#N/A</v>
      </c>
      <c r="AD2237" s="1058" t="s">
        <v>586</v>
      </c>
      <c r="AE2237" s="1059" t="e">
        <v>#N/A</v>
      </c>
      <c r="AF2237" s="889" t="s">
        <v>459</v>
      </c>
      <c r="AG2237" s="889" t="s">
        <v>459</v>
      </c>
    </row>
    <row r="2238" spans="26:33" x14ac:dyDescent="0.35">
      <c r="Z2238" s="344">
        <v>5262</v>
      </c>
      <c r="AA2238" s="344" t="s">
        <v>584</v>
      </c>
      <c r="AB2238" s="344">
        <v>4</v>
      </c>
      <c r="AC2238" s="344" t="e">
        <v>#N/A</v>
      </c>
      <c r="AD2238" s="1058" t="s">
        <v>586</v>
      </c>
      <c r="AE2238" s="1059" t="e">
        <v>#N/A</v>
      </c>
      <c r="AF2238" s="889" t="s">
        <v>459</v>
      </c>
      <c r="AG2238" s="889" t="s">
        <v>459</v>
      </c>
    </row>
    <row r="2239" spans="26:33" x14ac:dyDescent="0.35">
      <c r="Z2239" s="344">
        <v>5263</v>
      </c>
      <c r="AA2239" s="344" t="s">
        <v>584</v>
      </c>
      <c r="AB2239" s="344">
        <v>4</v>
      </c>
      <c r="AC2239" s="344" t="e">
        <v>#N/A</v>
      </c>
      <c r="AD2239" s="1058" t="s">
        <v>586</v>
      </c>
      <c r="AE2239" s="1059" t="e">
        <v>#N/A</v>
      </c>
      <c r="AF2239" s="889" t="s">
        <v>459</v>
      </c>
      <c r="AG2239" s="889" t="s">
        <v>459</v>
      </c>
    </row>
    <row r="2240" spans="26:33" x14ac:dyDescent="0.35">
      <c r="Z2240" s="344">
        <v>5264</v>
      </c>
      <c r="AA2240" s="344" t="s">
        <v>584</v>
      </c>
      <c r="AB2240" s="344">
        <v>4</v>
      </c>
      <c r="AC2240" s="344" t="s">
        <v>464</v>
      </c>
      <c r="AD2240" s="1058" t="s">
        <v>586</v>
      </c>
      <c r="AE2240" s="1059">
        <v>202440</v>
      </c>
      <c r="AF2240" s="889" t="s">
        <v>459</v>
      </c>
      <c r="AG2240" s="889" t="s">
        <v>459</v>
      </c>
    </row>
    <row r="2241" spans="26:33" x14ac:dyDescent="0.35">
      <c r="Z2241" s="344">
        <v>5265</v>
      </c>
      <c r="AA2241" s="344" t="s">
        <v>584</v>
      </c>
      <c r="AB2241" s="344">
        <v>4</v>
      </c>
      <c r="AC2241" s="344" t="s">
        <v>464</v>
      </c>
      <c r="AD2241" s="1058" t="s">
        <v>586</v>
      </c>
      <c r="AE2241" s="1059">
        <v>104885</v>
      </c>
      <c r="AF2241" s="889" t="s">
        <v>459</v>
      </c>
      <c r="AG2241" s="889" t="s">
        <v>459</v>
      </c>
    </row>
    <row r="2242" spans="26:33" x14ac:dyDescent="0.35">
      <c r="Z2242" s="344">
        <v>5266</v>
      </c>
      <c r="AA2242" s="344" t="s">
        <v>584</v>
      </c>
      <c r="AB2242" s="344">
        <v>4</v>
      </c>
      <c r="AC2242" s="344" t="s">
        <v>464</v>
      </c>
      <c r="AD2242" s="1058" t="s">
        <v>586</v>
      </c>
      <c r="AE2242" s="1059">
        <v>155200</v>
      </c>
      <c r="AF2242" s="889" t="s">
        <v>459</v>
      </c>
      <c r="AG2242" s="889" t="s">
        <v>459</v>
      </c>
    </row>
    <row r="2243" spans="26:33" x14ac:dyDescent="0.35">
      <c r="Z2243" s="344">
        <v>5267</v>
      </c>
      <c r="AA2243" s="344" t="s">
        <v>584</v>
      </c>
      <c r="AB2243" s="344">
        <v>4</v>
      </c>
      <c r="AC2243" s="344" t="s">
        <v>464</v>
      </c>
      <c r="AD2243" s="1058" t="s">
        <v>586</v>
      </c>
      <c r="AE2243" s="1059">
        <v>152863</v>
      </c>
      <c r="AF2243" s="889" t="s">
        <v>459</v>
      </c>
      <c r="AG2243" s="889" t="s">
        <v>459</v>
      </c>
    </row>
    <row r="2244" spans="26:33" x14ac:dyDescent="0.35">
      <c r="Z2244" s="344">
        <v>5268</v>
      </c>
      <c r="AA2244" s="344" t="s">
        <v>584</v>
      </c>
      <c r="AB2244" s="344">
        <v>4</v>
      </c>
      <c r="AC2244" s="344" t="s">
        <v>464</v>
      </c>
      <c r="AD2244" s="1058" t="s">
        <v>586</v>
      </c>
      <c r="AE2244" s="1059">
        <v>176568</v>
      </c>
      <c r="AF2244" s="889" t="s">
        <v>459</v>
      </c>
      <c r="AG2244" s="889" t="s">
        <v>459</v>
      </c>
    </row>
    <row r="2245" spans="26:33" x14ac:dyDescent="0.35">
      <c r="Z2245" s="344">
        <v>5269</v>
      </c>
      <c r="AA2245" s="344" t="s">
        <v>584</v>
      </c>
      <c r="AB2245" s="344">
        <v>4</v>
      </c>
      <c r="AC2245" s="344" t="e">
        <v>#N/A</v>
      </c>
      <c r="AD2245" s="1058" t="s">
        <v>586</v>
      </c>
      <c r="AE2245" s="1059" t="e">
        <v>#N/A</v>
      </c>
      <c r="AF2245" s="889" t="s">
        <v>459</v>
      </c>
      <c r="AG2245" s="889" t="s">
        <v>459</v>
      </c>
    </row>
    <row r="2246" spans="26:33" x14ac:dyDescent="0.35">
      <c r="Z2246" s="344">
        <v>5270</v>
      </c>
      <c r="AA2246" s="344" t="s">
        <v>584</v>
      </c>
      <c r="AB2246" s="344">
        <v>4</v>
      </c>
      <c r="AC2246" s="344" t="s">
        <v>464</v>
      </c>
      <c r="AD2246" s="1058" t="s">
        <v>586</v>
      </c>
      <c r="AE2246" s="1059">
        <v>236906</v>
      </c>
      <c r="AF2246" s="889" t="s">
        <v>459</v>
      </c>
      <c r="AG2246" s="889" t="s">
        <v>459</v>
      </c>
    </row>
    <row r="2247" spans="26:33" x14ac:dyDescent="0.35">
      <c r="Z2247" s="344">
        <v>5271</v>
      </c>
      <c r="AA2247" s="344" t="s">
        <v>584</v>
      </c>
      <c r="AB2247" s="344">
        <v>3</v>
      </c>
      <c r="AC2247" s="344" t="s">
        <v>464</v>
      </c>
      <c r="AD2247" s="1058" t="s">
        <v>587</v>
      </c>
      <c r="AE2247" s="1059">
        <v>163475</v>
      </c>
      <c r="AF2247" s="889" t="s">
        <v>459</v>
      </c>
      <c r="AG2247" s="889" t="s">
        <v>459</v>
      </c>
    </row>
    <row r="2248" spans="26:33" x14ac:dyDescent="0.35">
      <c r="Z2248" s="344">
        <v>5272</v>
      </c>
      <c r="AA2248" s="344" t="s">
        <v>584</v>
      </c>
      <c r="AB2248" s="344">
        <v>4</v>
      </c>
      <c r="AC2248" s="344" t="s">
        <v>464</v>
      </c>
      <c r="AD2248" s="1058" t="s">
        <v>586</v>
      </c>
      <c r="AE2248" s="1059">
        <v>155689</v>
      </c>
      <c r="AF2248" s="889" t="s">
        <v>459</v>
      </c>
      <c r="AG2248" s="889" t="s">
        <v>459</v>
      </c>
    </row>
    <row r="2249" spans="26:33" x14ac:dyDescent="0.35">
      <c r="Z2249" s="344">
        <v>5273</v>
      </c>
      <c r="AA2249" s="344" t="s">
        <v>584</v>
      </c>
      <c r="AB2249" s="344">
        <v>4</v>
      </c>
      <c r="AC2249" s="344" t="e">
        <v>#N/A</v>
      </c>
      <c r="AD2249" s="1058" t="s">
        <v>586</v>
      </c>
      <c r="AE2249" s="1059" t="e">
        <v>#N/A</v>
      </c>
      <c r="AF2249" s="889" t="s">
        <v>459</v>
      </c>
      <c r="AG2249" s="889" t="s">
        <v>459</v>
      </c>
    </row>
    <row r="2250" spans="26:33" x14ac:dyDescent="0.35">
      <c r="Z2250" s="344">
        <v>5275</v>
      </c>
      <c r="AA2250" s="344" t="s">
        <v>584</v>
      </c>
      <c r="AB2250" s="344">
        <v>4</v>
      </c>
      <c r="AC2250" s="344" t="s">
        <v>464</v>
      </c>
      <c r="AD2250" s="1058" t="s">
        <v>586</v>
      </c>
      <c r="AE2250" s="1059">
        <v>251707</v>
      </c>
      <c r="AF2250" s="889" t="s">
        <v>459</v>
      </c>
      <c r="AG2250" s="889" t="s">
        <v>459</v>
      </c>
    </row>
    <row r="2251" spans="26:33" x14ac:dyDescent="0.35">
      <c r="Z2251" s="344">
        <v>5276</v>
      </c>
      <c r="AA2251" s="344" t="s">
        <v>584</v>
      </c>
      <c r="AB2251" s="344">
        <v>4</v>
      </c>
      <c r="AC2251" s="344" t="s">
        <v>471</v>
      </c>
      <c r="AD2251" s="1058" t="s">
        <v>586</v>
      </c>
      <c r="AE2251" s="1059">
        <v>346146</v>
      </c>
      <c r="AF2251" s="889" t="s">
        <v>459</v>
      </c>
      <c r="AG2251" s="889" t="s">
        <v>459</v>
      </c>
    </row>
    <row r="2252" spans="26:33" x14ac:dyDescent="0.35">
      <c r="Z2252" s="344">
        <v>5277</v>
      </c>
      <c r="AA2252" s="344" t="s">
        <v>584</v>
      </c>
      <c r="AB2252" s="344">
        <v>4</v>
      </c>
      <c r="AC2252" s="344" t="s">
        <v>464</v>
      </c>
      <c r="AD2252" s="1058" t="s">
        <v>586</v>
      </c>
      <c r="AE2252" s="1059">
        <v>164686</v>
      </c>
      <c r="AF2252" s="889" t="s">
        <v>459</v>
      </c>
      <c r="AG2252" s="889" t="s">
        <v>459</v>
      </c>
    </row>
    <row r="2253" spans="26:33" x14ac:dyDescent="0.35">
      <c r="Z2253" s="344">
        <v>5278</v>
      </c>
      <c r="AA2253" s="344" t="s">
        <v>584</v>
      </c>
      <c r="AB2253" s="344">
        <v>4</v>
      </c>
      <c r="AC2253" s="344" t="s">
        <v>464</v>
      </c>
      <c r="AD2253" s="1058" t="s">
        <v>586</v>
      </c>
      <c r="AE2253" s="1059">
        <v>115439</v>
      </c>
      <c r="AF2253" s="889" t="s">
        <v>459</v>
      </c>
      <c r="AG2253" s="889" t="s">
        <v>459</v>
      </c>
    </row>
    <row r="2254" spans="26:33" x14ac:dyDescent="0.35">
      <c r="Z2254" s="344">
        <v>5279</v>
      </c>
      <c r="AA2254" s="344" t="s">
        <v>584</v>
      </c>
      <c r="AB2254" s="344">
        <v>4</v>
      </c>
      <c r="AC2254" s="344" t="s">
        <v>464</v>
      </c>
      <c r="AD2254" s="1058" t="s">
        <v>586</v>
      </c>
      <c r="AE2254" s="1059">
        <v>105700</v>
      </c>
      <c r="AF2254" s="889" t="s">
        <v>459</v>
      </c>
      <c r="AG2254" s="889" t="s">
        <v>459</v>
      </c>
    </row>
    <row r="2255" spans="26:33" x14ac:dyDescent="0.35">
      <c r="Z2255" s="344">
        <v>5280</v>
      </c>
      <c r="AA2255" s="344" t="s">
        <v>584</v>
      </c>
      <c r="AB2255" s="344">
        <v>3</v>
      </c>
      <c r="AC2255" s="344" t="s">
        <v>464</v>
      </c>
      <c r="AD2255" s="1058" t="s">
        <v>587</v>
      </c>
      <c r="AE2255" s="1059">
        <v>225139</v>
      </c>
      <c r="AF2255" s="889" t="s">
        <v>269</v>
      </c>
      <c r="AG2255" s="889" t="s">
        <v>459</v>
      </c>
    </row>
    <row r="2256" spans="26:33" x14ac:dyDescent="0.35">
      <c r="Z2256" s="344">
        <v>5290</v>
      </c>
      <c r="AA2256" s="344" t="s">
        <v>584</v>
      </c>
      <c r="AB2256" s="344">
        <v>2</v>
      </c>
      <c r="AC2256" s="344" t="s">
        <v>464</v>
      </c>
      <c r="AD2256" s="1058" t="s">
        <v>588</v>
      </c>
      <c r="AE2256" s="1059">
        <v>230130</v>
      </c>
      <c r="AF2256" s="889" t="s">
        <v>459</v>
      </c>
      <c r="AG2256" s="889" t="s">
        <v>459</v>
      </c>
    </row>
    <row r="2257" spans="26:33" x14ac:dyDescent="0.35">
      <c r="Z2257" s="344">
        <v>5291</v>
      </c>
      <c r="AA2257" s="344" t="s">
        <v>584</v>
      </c>
      <c r="AB2257" s="344">
        <v>3</v>
      </c>
      <c r="AC2257" s="344" t="s">
        <v>471</v>
      </c>
      <c r="AD2257" s="1058" t="s">
        <v>587</v>
      </c>
      <c r="AE2257" s="1059">
        <v>359479</v>
      </c>
      <c r="AF2257" s="889" t="s">
        <v>459</v>
      </c>
      <c r="AG2257" s="889" t="s">
        <v>459</v>
      </c>
    </row>
    <row r="2258" spans="26:33" x14ac:dyDescent="0.35">
      <c r="Z2258" s="344">
        <v>5301</v>
      </c>
      <c r="AA2258" s="344" t="s">
        <v>584</v>
      </c>
      <c r="AB2258" s="344">
        <v>4</v>
      </c>
      <c r="AC2258" s="344" t="e">
        <v>#N/A</v>
      </c>
      <c r="AD2258" s="1058" t="s">
        <v>586</v>
      </c>
      <c r="AE2258" s="1059" t="e">
        <v>#N/A</v>
      </c>
      <c r="AF2258" s="889" t="s">
        <v>459</v>
      </c>
      <c r="AG2258" s="889" t="s">
        <v>459</v>
      </c>
    </row>
    <row r="2259" spans="26:33" x14ac:dyDescent="0.35">
      <c r="Z2259" s="344">
        <v>5302</v>
      </c>
      <c r="AA2259" s="344" t="s">
        <v>584</v>
      </c>
      <c r="AB2259" s="344">
        <v>4</v>
      </c>
      <c r="AC2259" s="344" t="s">
        <v>464</v>
      </c>
      <c r="AD2259" s="1058" t="s">
        <v>586</v>
      </c>
      <c r="AE2259" s="1059">
        <v>123474</v>
      </c>
      <c r="AF2259" s="889" t="s">
        <v>459</v>
      </c>
      <c r="AG2259" s="889" t="s">
        <v>459</v>
      </c>
    </row>
    <row r="2260" spans="26:33" x14ac:dyDescent="0.35">
      <c r="Z2260" s="344">
        <v>5303</v>
      </c>
      <c r="AA2260" s="344" t="s">
        <v>584</v>
      </c>
      <c r="AB2260" s="344">
        <v>4</v>
      </c>
      <c r="AC2260" s="344" t="e">
        <v>#N/A</v>
      </c>
      <c r="AD2260" s="1058" t="s">
        <v>586</v>
      </c>
      <c r="AE2260" s="1059" t="e">
        <v>#N/A</v>
      </c>
      <c r="AF2260" s="889" t="s">
        <v>459</v>
      </c>
      <c r="AG2260" s="889" t="s">
        <v>459</v>
      </c>
    </row>
    <row r="2261" spans="26:33" x14ac:dyDescent="0.35">
      <c r="Z2261" s="344">
        <v>5304</v>
      </c>
      <c r="AA2261" s="344" t="s">
        <v>584</v>
      </c>
      <c r="AB2261" s="344">
        <v>4</v>
      </c>
      <c r="AC2261" s="344" t="s">
        <v>464</v>
      </c>
      <c r="AD2261" s="1058" t="s">
        <v>586</v>
      </c>
      <c r="AE2261" s="1059">
        <v>118949</v>
      </c>
      <c r="AF2261" s="889" t="s">
        <v>459</v>
      </c>
      <c r="AG2261" s="889" t="s">
        <v>459</v>
      </c>
    </row>
    <row r="2262" spans="26:33" x14ac:dyDescent="0.35">
      <c r="Z2262" s="344">
        <v>5306</v>
      </c>
      <c r="AA2262" s="344" t="s">
        <v>584</v>
      </c>
      <c r="AB2262" s="344">
        <v>4</v>
      </c>
      <c r="AC2262" s="344" t="e">
        <v>#N/A</v>
      </c>
      <c r="AD2262" s="1058" t="s">
        <v>586</v>
      </c>
      <c r="AE2262" s="1059" t="e">
        <v>#N/A</v>
      </c>
      <c r="AF2262" s="889" t="s">
        <v>459</v>
      </c>
      <c r="AG2262" s="889" t="s">
        <v>459</v>
      </c>
    </row>
    <row r="2263" spans="26:33" x14ac:dyDescent="0.35">
      <c r="Z2263" s="344">
        <v>5307</v>
      </c>
      <c r="AA2263" s="344" t="s">
        <v>584</v>
      </c>
      <c r="AB2263" s="344">
        <v>4</v>
      </c>
      <c r="AC2263" s="344" t="s">
        <v>464</v>
      </c>
      <c r="AD2263" s="1058" t="s">
        <v>586</v>
      </c>
      <c r="AE2263" s="1059">
        <v>155485</v>
      </c>
      <c r="AF2263" s="889" t="s">
        <v>459</v>
      </c>
      <c r="AG2263" s="889" t="s">
        <v>459</v>
      </c>
    </row>
    <row r="2264" spans="26:33" x14ac:dyDescent="0.35">
      <c r="Z2264" s="344">
        <v>5308</v>
      </c>
      <c r="AA2264" s="344" t="s">
        <v>584</v>
      </c>
      <c r="AB2264" s="344">
        <v>4</v>
      </c>
      <c r="AC2264" s="344" t="e">
        <v>#N/A</v>
      </c>
      <c r="AD2264" s="1058" t="s">
        <v>586</v>
      </c>
      <c r="AE2264" s="1059" t="e">
        <v>#N/A</v>
      </c>
      <c r="AF2264" s="889" t="s">
        <v>459</v>
      </c>
      <c r="AG2264" s="889" t="s">
        <v>459</v>
      </c>
    </row>
    <row r="2265" spans="26:33" x14ac:dyDescent="0.35">
      <c r="Z2265" s="344">
        <v>5309</v>
      </c>
      <c r="AA2265" s="344" t="s">
        <v>584</v>
      </c>
      <c r="AB2265" s="344">
        <v>4</v>
      </c>
      <c r="AC2265" s="344" t="e">
        <v>#N/A</v>
      </c>
      <c r="AD2265" s="1058" t="s">
        <v>586</v>
      </c>
      <c r="AE2265" s="1059" t="e">
        <v>#N/A</v>
      </c>
      <c r="AF2265" s="889" t="s">
        <v>459</v>
      </c>
      <c r="AG2265" s="889" t="s">
        <v>459</v>
      </c>
    </row>
    <row r="2266" spans="26:33" x14ac:dyDescent="0.35">
      <c r="Z2266" s="344">
        <v>5310</v>
      </c>
      <c r="AA2266" s="344" t="s">
        <v>584</v>
      </c>
      <c r="AB2266" s="344">
        <v>4</v>
      </c>
      <c r="AC2266" s="344" t="e">
        <v>#N/A</v>
      </c>
      <c r="AD2266" s="1058" t="s">
        <v>586</v>
      </c>
      <c r="AE2266" s="1059" t="e">
        <v>#N/A</v>
      </c>
      <c r="AF2266" s="889" t="s">
        <v>459</v>
      </c>
      <c r="AG2266" s="889" t="s">
        <v>459</v>
      </c>
    </row>
    <row r="2267" spans="26:33" x14ac:dyDescent="0.35">
      <c r="Z2267" s="344">
        <v>5311</v>
      </c>
      <c r="AA2267" s="344" t="s">
        <v>584</v>
      </c>
      <c r="AB2267" s="344">
        <v>4</v>
      </c>
      <c r="AC2267" s="344" t="e">
        <v>#N/A</v>
      </c>
      <c r="AD2267" s="1058" t="s">
        <v>586</v>
      </c>
      <c r="AE2267" s="1059" t="e">
        <v>#N/A</v>
      </c>
      <c r="AF2267" s="889" t="s">
        <v>459</v>
      </c>
      <c r="AG2267" s="889" t="s">
        <v>459</v>
      </c>
    </row>
    <row r="2268" spans="26:33" x14ac:dyDescent="0.35">
      <c r="Z2268" s="344">
        <v>5312</v>
      </c>
      <c r="AA2268" s="344" t="s">
        <v>584</v>
      </c>
      <c r="AB2268" s="344">
        <v>4</v>
      </c>
      <c r="AC2268" s="344" t="e">
        <v>#N/A</v>
      </c>
      <c r="AD2268" s="1058" t="s">
        <v>586</v>
      </c>
      <c r="AE2268" s="1059" t="e">
        <v>#N/A</v>
      </c>
      <c r="AF2268" s="889" t="s">
        <v>459</v>
      </c>
      <c r="AG2268" s="889" t="s">
        <v>459</v>
      </c>
    </row>
    <row r="2269" spans="26:33" x14ac:dyDescent="0.35">
      <c r="Z2269" s="344">
        <v>5320</v>
      </c>
      <c r="AA2269" s="344" t="s">
        <v>584</v>
      </c>
      <c r="AB2269" s="344">
        <v>4</v>
      </c>
      <c r="AC2269" s="344" t="s">
        <v>464</v>
      </c>
      <c r="AD2269" s="1058" t="s">
        <v>586</v>
      </c>
      <c r="AE2269" s="1059">
        <v>176045</v>
      </c>
      <c r="AF2269" s="889" t="s">
        <v>459</v>
      </c>
      <c r="AG2269" s="889" t="s">
        <v>459</v>
      </c>
    </row>
    <row r="2270" spans="26:33" x14ac:dyDescent="0.35">
      <c r="Z2270" s="344">
        <v>5321</v>
      </c>
      <c r="AA2270" s="344" t="s">
        <v>584</v>
      </c>
      <c r="AB2270" s="344">
        <v>4</v>
      </c>
      <c r="AC2270" s="344" t="s">
        <v>464</v>
      </c>
      <c r="AD2270" s="1058" t="s">
        <v>586</v>
      </c>
      <c r="AE2270" s="1059">
        <v>125740</v>
      </c>
      <c r="AF2270" s="889" t="s">
        <v>459</v>
      </c>
      <c r="AG2270" s="889" t="s">
        <v>459</v>
      </c>
    </row>
    <row r="2271" spans="26:33" x14ac:dyDescent="0.35">
      <c r="Z2271" s="344">
        <v>5322</v>
      </c>
      <c r="AA2271" s="344" t="s">
        <v>584</v>
      </c>
      <c r="AB2271" s="344">
        <v>4</v>
      </c>
      <c r="AC2271" s="344" t="e">
        <v>#N/A</v>
      </c>
      <c r="AD2271" s="1058" t="s">
        <v>586</v>
      </c>
      <c r="AE2271" s="1059" t="e">
        <v>#N/A</v>
      </c>
      <c r="AF2271" s="889" t="s">
        <v>459</v>
      </c>
      <c r="AG2271" s="889" t="s">
        <v>459</v>
      </c>
    </row>
    <row r="2272" spans="26:33" x14ac:dyDescent="0.35">
      <c r="Z2272" s="344">
        <v>5330</v>
      </c>
      <c r="AA2272" s="344" t="s">
        <v>584</v>
      </c>
      <c r="AB2272" s="344">
        <v>4</v>
      </c>
      <c r="AC2272" s="344" t="s">
        <v>464</v>
      </c>
      <c r="AD2272" s="1058" t="s">
        <v>586</v>
      </c>
      <c r="AE2272" s="1059">
        <v>200159</v>
      </c>
      <c r="AF2272" s="889" t="s">
        <v>459</v>
      </c>
      <c r="AG2272" s="889" t="s">
        <v>459</v>
      </c>
    </row>
    <row r="2273" spans="26:33" x14ac:dyDescent="0.35">
      <c r="Z2273" s="344">
        <v>5331</v>
      </c>
      <c r="AA2273" s="344" t="s">
        <v>584</v>
      </c>
      <c r="AB2273" s="344">
        <v>4</v>
      </c>
      <c r="AC2273" s="344" t="s">
        <v>464</v>
      </c>
      <c r="AD2273" s="1058" t="s">
        <v>586</v>
      </c>
      <c r="AE2273" s="1059">
        <v>258816</v>
      </c>
      <c r="AF2273" s="889" t="s">
        <v>459</v>
      </c>
      <c r="AG2273" s="889" t="s">
        <v>459</v>
      </c>
    </row>
    <row r="2274" spans="26:33" x14ac:dyDescent="0.35">
      <c r="Z2274" s="344">
        <v>5332</v>
      </c>
      <c r="AA2274" s="344" t="s">
        <v>584</v>
      </c>
      <c r="AB2274" s="344">
        <v>4</v>
      </c>
      <c r="AC2274" s="344" t="e">
        <v>#N/A</v>
      </c>
      <c r="AD2274" s="1058" t="s">
        <v>586</v>
      </c>
      <c r="AE2274" s="1059" t="e">
        <v>#N/A</v>
      </c>
      <c r="AF2274" s="889" t="s">
        <v>459</v>
      </c>
      <c r="AG2274" s="889" t="s">
        <v>459</v>
      </c>
    </row>
    <row r="2275" spans="26:33" x14ac:dyDescent="0.35">
      <c r="Z2275" s="344">
        <v>5333</v>
      </c>
      <c r="AA2275" s="344" t="s">
        <v>584</v>
      </c>
      <c r="AB2275" s="344">
        <v>3</v>
      </c>
      <c r="AC2275" s="344" t="s">
        <v>464</v>
      </c>
      <c r="AD2275" s="1058" t="s">
        <v>587</v>
      </c>
      <c r="AE2275" s="1059">
        <v>226607</v>
      </c>
      <c r="AF2275" s="889" t="s">
        <v>459</v>
      </c>
      <c r="AG2275" s="889" t="s">
        <v>459</v>
      </c>
    </row>
    <row r="2276" spans="26:33" x14ac:dyDescent="0.35">
      <c r="Z2276" s="344">
        <v>5340</v>
      </c>
      <c r="AA2276" s="344" t="s">
        <v>584</v>
      </c>
      <c r="AB2276" s="344">
        <v>4</v>
      </c>
      <c r="AC2276" s="344" t="s">
        <v>464</v>
      </c>
      <c r="AD2276" s="1058" t="s">
        <v>586</v>
      </c>
      <c r="AE2276" s="1059">
        <v>216643</v>
      </c>
      <c r="AF2276" s="889" t="s">
        <v>459</v>
      </c>
      <c r="AG2276" s="889" t="s">
        <v>459</v>
      </c>
    </row>
    <row r="2277" spans="26:33" x14ac:dyDescent="0.35">
      <c r="Z2277" s="344">
        <v>5341</v>
      </c>
      <c r="AA2277" s="344" t="s">
        <v>584</v>
      </c>
      <c r="AB2277" s="344">
        <v>3</v>
      </c>
      <c r="AC2277" s="344" t="s">
        <v>464</v>
      </c>
      <c r="AD2277" s="1058" t="s">
        <v>587</v>
      </c>
      <c r="AE2277" s="1059">
        <v>219904</v>
      </c>
      <c r="AF2277" s="889" t="s">
        <v>459</v>
      </c>
      <c r="AG2277" s="889" t="s">
        <v>459</v>
      </c>
    </row>
    <row r="2278" spans="26:33" x14ac:dyDescent="0.35">
      <c r="Z2278" s="344">
        <v>5342</v>
      </c>
      <c r="AA2278" s="344" t="s">
        <v>584</v>
      </c>
      <c r="AB2278" s="344">
        <v>4</v>
      </c>
      <c r="AC2278" s="344" t="e">
        <v>#N/A</v>
      </c>
      <c r="AD2278" s="1058" t="s">
        <v>586</v>
      </c>
      <c r="AE2278" s="1059" t="e">
        <v>#N/A</v>
      </c>
      <c r="AF2278" s="889" t="s">
        <v>459</v>
      </c>
      <c r="AG2278" s="889" t="s">
        <v>459</v>
      </c>
    </row>
    <row r="2279" spans="26:33" x14ac:dyDescent="0.35">
      <c r="Z2279" s="344">
        <v>5343</v>
      </c>
      <c r="AA2279" s="344" t="s">
        <v>584</v>
      </c>
      <c r="AB2279" s="344">
        <v>3</v>
      </c>
      <c r="AC2279" s="344" t="s">
        <v>464</v>
      </c>
      <c r="AD2279" s="1058" t="s">
        <v>587</v>
      </c>
      <c r="AE2279" s="1059">
        <v>183479</v>
      </c>
      <c r="AF2279" s="889" t="s">
        <v>459</v>
      </c>
      <c r="AG2279" s="889" t="s">
        <v>459</v>
      </c>
    </row>
    <row r="2280" spans="26:33" x14ac:dyDescent="0.35">
      <c r="Z2280" s="344">
        <v>5344</v>
      </c>
      <c r="AA2280" s="344" t="s">
        <v>584</v>
      </c>
      <c r="AB2280" s="344">
        <v>4</v>
      </c>
      <c r="AC2280" s="344" t="s">
        <v>464</v>
      </c>
      <c r="AD2280" s="1058" t="s">
        <v>586</v>
      </c>
      <c r="AE2280" s="1059">
        <v>213100</v>
      </c>
      <c r="AF2280" s="889" t="s">
        <v>459</v>
      </c>
      <c r="AG2280" s="889" t="s">
        <v>459</v>
      </c>
    </row>
    <row r="2281" spans="26:33" x14ac:dyDescent="0.35">
      <c r="Z2281" s="344">
        <v>5345</v>
      </c>
      <c r="AA2281" s="344" t="s">
        <v>584</v>
      </c>
      <c r="AB2281" s="344">
        <v>4</v>
      </c>
      <c r="AC2281" s="344" t="s">
        <v>464</v>
      </c>
      <c r="AD2281" s="1058" t="s">
        <v>586</v>
      </c>
      <c r="AE2281" s="1059">
        <v>196459</v>
      </c>
      <c r="AF2281" s="889" t="s">
        <v>459</v>
      </c>
      <c r="AG2281" s="889" t="s">
        <v>459</v>
      </c>
    </row>
    <row r="2282" spans="26:33" x14ac:dyDescent="0.35">
      <c r="Z2282" s="344">
        <v>5346</v>
      </c>
      <c r="AA2282" s="344" t="s">
        <v>584</v>
      </c>
      <c r="AB2282" s="344">
        <v>4</v>
      </c>
      <c r="AC2282" s="344" t="s">
        <v>464</v>
      </c>
      <c r="AD2282" s="1058" t="s">
        <v>586</v>
      </c>
      <c r="AE2282" s="1059">
        <v>167120</v>
      </c>
      <c r="AF2282" s="889" t="s">
        <v>459</v>
      </c>
      <c r="AG2282" s="889" t="s">
        <v>459</v>
      </c>
    </row>
    <row r="2283" spans="26:33" x14ac:dyDescent="0.35">
      <c r="Z2283" s="344">
        <v>5350</v>
      </c>
      <c r="AA2283" s="344" t="s">
        <v>584</v>
      </c>
      <c r="AB2283" s="344">
        <v>3</v>
      </c>
      <c r="AC2283" s="344" t="e">
        <v>#N/A</v>
      </c>
      <c r="AD2283" s="1058" t="s">
        <v>587</v>
      </c>
      <c r="AE2283" s="1059" t="e">
        <v>#N/A</v>
      </c>
      <c r="AF2283" s="889" t="s">
        <v>459</v>
      </c>
      <c r="AG2283" s="889" t="s">
        <v>459</v>
      </c>
    </row>
    <row r="2284" spans="26:33" x14ac:dyDescent="0.35">
      <c r="Z2284" s="344">
        <v>5351</v>
      </c>
      <c r="AA2284" s="344" t="s">
        <v>584</v>
      </c>
      <c r="AB2284" s="344">
        <v>3</v>
      </c>
      <c r="AC2284" s="344" t="s">
        <v>471</v>
      </c>
      <c r="AD2284" s="1058" t="s">
        <v>587</v>
      </c>
      <c r="AE2284" s="1059">
        <v>346812</v>
      </c>
      <c r="AF2284" s="889" t="s">
        <v>459</v>
      </c>
      <c r="AG2284" s="889" t="s">
        <v>459</v>
      </c>
    </row>
    <row r="2285" spans="26:33" x14ac:dyDescent="0.35">
      <c r="Z2285" s="344">
        <v>5352</v>
      </c>
      <c r="AA2285" s="344" t="s">
        <v>584</v>
      </c>
      <c r="AB2285" s="344">
        <v>3</v>
      </c>
      <c r="AC2285" s="344" t="s">
        <v>471</v>
      </c>
      <c r="AD2285" s="1058" t="s">
        <v>587</v>
      </c>
      <c r="AE2285" s="1059">
        <v>337231</v>
      </c>
      <c r="AF2285" s="889" t="s">
        <v>459</v>
      </c>
      <c r="AG2285" s="889" t="s">
        <v>459</v>
      </c>
    </row>
    <row r="2286" spans="26:33" x14ac:dyDescent="0.35">
      <c r="Z2286" s="344">
        <v>5353</v>
      </c>
      <c r="AA2286" s="344" t="s">
        <v>584</v>
      </c>
      <c r="AB2286" s="344">
        <v>3</v>
      </c>
      <c r="AC2286" s="344" t="s">
        <v>471</v>
      </c>
      <c r="AD2286" s="1058" t="s">
        <v>587</v>
      </c>
      <c r="AE2286" s="1059">
        <v>310454</v>
      </c>
      <c r="AF2286" s="889" t="s">
        <v>459</v>
      </c>
      <c r="AG2286" s="889" t="s">
        <v>459</v>
      </c>
    </row>
    <row r="2287" spans="26:33" x14ac:dyDescent="0.35">
      <c r="Z2287" s="344">
        <v>5354</v>
      </c>
      <c r="AA2287" s="344" t="s">
        <v>584</v>
      </c>
      <c r="AB2287" s="344">
        <v>4</v>
      </c>
      <c r="AC2287" s="344" t="s">
        <v>464</v>
      </c>
      <c r="AD2287" s="1058" t="s">
        <v>586</v>
      </c>
      <c r="AE2287" s="1059">
        <v>164219</v>
      </c>
      <c r="AF2287" s="889" t="s">
        <v>459</v>
      </c>
      <c r="AG2287" s="889" t="s">
        <v>459</v>
      </c>
    </row>
    <row r="2288" spans="26:33" x14ac:dyDescent="0.35">
      <c r="Z2288" s="344">
        <v>5355</v>
      </c>
      <c r="AA2288" s="344" t="s">
        <v>584</v>
      </c>
      <c r="AB2288" s="344">
        <v>3</v>
      </c>
      <c r="AC2288" s="344" t="s">
        <v>471</v>
      </c>
      <c r="AD2288" s="1058" t="s">
        <v>587</v>
      </c>
      <c r="AE2288" s="1059">
        <v>330259</v>
      </c>
      <c r="AF2288" s="889" t="s">
        <v>459</v>
      </c>
      <c r="AG2288" s="889" t="s">
        <v>459</v>
      </c>
    </row>
    <row r="2289" spans="26:33" x14ac:dyDescent="0.35">
      <c r="Z2289" s="344">
        <v>5356</v>
      </c>
      <c r="AA2289" s="344" t="s">
        <v>584</v>
      </c>
      <c r="AB2289" s="344">
        <v>4</v>
      </c>
      <c r="AC2289" s="344" t="s">
        <v>464</v>
      </c>
      <c r="AD2289" s="1058" t="s">
        <v>586</v>
      </c>
      <c r="AE2289" s="1059">
        <v>248910</v>
      </c>
      <c r="AF2289" s="889" t="s">
        <v>459</v>
      </c>
      <c r="AG2289" s="889" t="s">
        <v>459</v>
      </c>
    </row>
    <row r="2290" spans="26:33" x14ac:dyDescent="0.35">
      <c r="Z2290" s="344">
        <v>5357</v>
      </c>
      <c r="AA2290" s="344" t="s">
        <v>584</v>
      </c>
      <c r="AB2290" s="344">
        <v>4</v>
      </c>
      <c r="AC2290" s="344" t="s">
        <v>464</v>
      </c>
      <c r="AD2290" s="1058" t="s">
        <v>586</v>
      </c>
      <c r="AE2290" s="1059">
        <v>162332</v>
      </c>
      <c r="AF2290" s="889" t="s">
        <v>459</v>
      </c>
      <c r="AG2290" s="889" t="s">
        <v>459</v>
      </c>
    </row>
    <row r="2291" spans="26:33" x14ac:dyDescent="0.35">
      <c r="Z2291" s="344">
        <v>5360</v>
      </c>
      <c r="AA2291" s="344" t="s">
        <v>584</v>
      </c>
      <c r="AB2291" s="344">
        <v>4</v>
      </c>
      <c r="AC2291" s="344" t="s">
        <v>471</v>
      </c>
      <c r="AD2291" s="1058" t="s">
        <v>586</v>
      </c>
      <c r="AE2291" s="1059">
        <v>347741</v>
      </c>
      <c r="AF2291" s="889" t="s">
        <v>459</v>
      </c>
      <c r="AG2291" s="889" t="s">
        <v>459</v>
      </c>
    </row>
    <row r="2292" spans="26:33" x14ac:dyDescent="0.35">
      <c r="Z2292" s="344">
        <v>5371</v>
      </c>
      <c r="AA2292" s="344" t="s">
        <v>584</v>
      </c>
      <c r="AB2292" s="344">
        <v>4</v>
      </c>
      <c r="AC2292" s="344" t="s">
        <v>471</v>
      </c>
      <c r="AD2292" s="1058" t="s">
        <v>586</v>
      </c>
      <c r="AE2292" s="1059">
        <v>402666</v>
      </c>
      <c r="AF2292" s="889" t="s">
        <v>459</v>
      </c>
      <c r="AG2292" s="889" t="s">
        <v>459</v>
      </c>
    </row>
    <row r="2293" spans="26:33" x14ac:dyDescent="0.35">
      <c r="Z2293" s="344">
        <v>5372</v>
      </c>
      <c r="AA2293" s="344" t="s">
        <v>584</v>
      </c>
      <c r="AB2293" s="344">
        <v>4</v>
      </c>
      <c r="AC2293" s="344" t="s">
        <v>471</v>
      </c>
      <c r="AD2293" s="1058" t="s">
        <v>586</v>
      </c>
      <c r="AE2293" s="1059">
        <v>308228</v>
      </c>
      <c r="AF2293" s="889" t="s">
        <v>459</v>
      </c>
      <c r="AG2293" s="889" t="s">
        <v>459</v>
      </c>
    </row>
    <row r="2294" spans="26:33" x14ac:dyDescent="0.35">
      <c r="Z2294" s="344">
        <v>5373</v>
      </c>
      <c r="AA2294" s="344" t="s">
        <v>584</v>
      </c>
      <c r="AB2294" s="344">
        <v>4</v>
      </c>
      <c r="AC2294" s="344" t="s">
        <v>464</v>
      </c>
      <c r="AD2294" s="1058" t="s">
        <v>586</v>
      </c>
      <c r="AE2294" s="1059">
        <v>264565</v>
      </c>
      <c r="AF2294" s="889" t="s">
        <v>459</v>
      </c>
      <c r="AG2294" s="889" t="s">
        <v>459</v>
      </c>
    </row>
    <row r="2295" spans="26:33" x14ac:dyDescent="0.35">
      <c r="Z2295" s="344">
        <v>5374</v>
      </c>
      <c r="AA2295" s="344" t="s">
        <v>584</v>
      </c>
      <c r="AB2295" s="344">
        <v>4</v>
      </c>
      <c r="AC2295" s="344" t="s">
        <v>464</v>
      </c>
      <c r="AD2295" s="1058" t="s">
        <v>586</v>
      </c>
      <c r="AE2295" s="1059">
        <v>186200</v>
      </c>
      <c r="AF2295" s="889" t="s">
        <v>459</v>
      </c>
      <c r="AG2295" s="889" t="s">
        <v>459</v>
      </c>
    </row>
    <row r="2296" spans="26:33" x14ac:dyDescent="0.35">
      <c r="Z2296" s="344">
        <v>5381</v>
      </c>
      <c r="AA2296" s="344" t="s">
        <v>584</v>
      </c>
      <c r="AB2296" s="344">
        <v>4</v>
      </c>
      <c r="AC2296" s="344" t="s">
        <v>464</v>
      </c>
      <c r="AD2296" s="1058" t="s">
        <v>586</v>
      </c>
      <c r="AE2296" s="1059">
        <v>183672</v>
      </c>
      <c r="AF2296" s="889" t="s">
        <v>459</v>
      </c>
      <c r="AG2296" s="889" t="s">
        <v>459</v>
      </c>
    </row>
    <row r="2297" spans="26:33" x14ac:dyDescent="0.35">
      <c r="Z2297" s="344">
        <v>5400</v>
      </c>
      <c r="AA2297" s="344" t="s">
        <v>584</v>
      </c>
      <c r="AB2297" s="344">
        <v>4</v>
      </c>
      <c r="AC2297" s="344" t="s">
        <v>464</v>
      </c>
      <c r="AD2297" s="1058" t="s">
        <v>586</v>
      </c>
      <c r="AE2297" s="1059">
        <v>258983</v>
      </c>
      <c r="AF2297" s="889" t="s">
        <v>459</v>
      </c>
      <c r="AG2297" s="889" t="s">
        <v>459</v>
      </c>
    </row>
    <row r="2298" spans="26:33" x14ac:dyDescent="0.35">
      <c r="Z2298" s="344">
        <v>5401</v>
      </c>
      <c r="AA2298" s="344" t="s">
        <v>584</v>
      </c>
      <c r="AB2298" s="344">
        <v>4</v>
      </c>
      <c r="AC2298" s="344" t="s">
        <v>464</v>
      </c>
      <c r="AD2298" s="1058" t="s">
        <v>586</v>
      </c>
      <c r="AE2298" s="1059">
        <v>222218</v>
      </c>
      <c r="AF2298" s="889" t="s">
        <v>459</v>
      </c>
      <c r="AG2298" s="889" t="s">
        <v>459</v>
      </c>
    </row>
    <row r="2299" spans="26:33" x14ac:dyDescent="0.35">
      <c r="Z2299" s="344">
        <v>5410</v>
      </c>
      <c r="AA2299" s="344" t="s">
        <v>584</v>
      </c>
      <c r="AB2299" s="344">
        <v>4</v>
      </c>
      <c r="AC2299" s="344" t="s">
        <v>464</v>
      </c>
      <c r="AD2299" s="1058" t="s">
        <v>586</v>
      </c>
      <c r="AE2299" s="1059">
        <v>265881</v>
      </c>
      <c r="AF2299" s="889" t="s">
        <v>459</v>
      </c>
      <c r="AG2299" s="889" t="s">
        <v>459</v>
      </c>
    </row>
    <row r="2300" spans="26:33" x14ac:dyDescent="0.35">
      <c r="Z2300" s="344">
        <v>5411</v>
      </c>
      <c r="AA2300" s="344" t="s">
        <v>584</v>
      </c>
      <c r="AB2300" s="344">
        <v>4</v>
      </c>
      <c r="AC2300" s="344" t="s">
        <v>464</v>
      </c>
      <c r="AD2300" s="1058" t="s">
        <v>586</v>
      </c>
      <c r="AE2300" s="1059">
        <v>247232</v>
      </c>
      <c r="AF2300" s="889" t="s">
        <v>459</v>
      </c>
      <c r="AG2300" s="889" t="s">
        <v>459</v>
      </c>
    </row>
    <row r="2301" spans="26:33" x14ac:dyDescent="0.35">
      <c r="Z2301" s="344">
        <v>5412</v>
      </c>
      <c r="AA2301" s="344" t="s">
        <v>584</v>
      </c>
      <c r="AB2301" s="344">
        <v>4</v>
      </c>
      <c r="AC2301" s="344" t="s">
        <v>464</v>
      </c>
      <c r="AD2301" s="1058" t="s">
        <v>586</v>
      </c>
      <c r="AE2301" s="1059">
        <v>222499</v>
      </c>
      <c r="AF2301" s="889" t="s">
        <v>459</v>
      </c>
      <c r="AG2301" s="889" t="s">
        <v>459</v>
      </c>
    </row>
    <row r="2302" spans="26:33" x14ac:dyDescent="0.35">
      <c r="Z2302" s="344">
        <v>5413</v>
      </c>
      <c r="AA2302" s="344" t="s">
        <v>584</v>
      </c>
      <c r="AB2302" s="344">
        <v>4</v>
      </c>
      <c r="AC2302" s="344" t="s">
        <v>464</v>
      </c>
      <c r="AD2302" s="1058" t="s">
        <v>586</v>
      </c>
      <c r="AE2302" s="1059">
        <v>170163</v>
      </c>
      <c r="AF2302" s="889" t="s">
        <v>459</v>
      </c>
      <c r="AG2302" s="889" t="s">
        <v>459</v>
      </c>
    </row>
    <row r="2303" spans="26:33" x14ac:dyDescent="0.35">
      <c r="Z2303" s="344">
        <v>5414</v>
      </c>
      <c r="AA2303" s="344" t="s">
        <v>584</v>
      </c>
      <c r="AB2303" s="344">
        <v>4</v>
      </c>
      <c r="AC2303" s="344" t="e">
        <v>#N/A</v>
      </c>
      <c r="AD2303" s="1058" t="s">
        <v>586</v>
      </c>
      <c r="AE2303" s="1059" t="e">
        <v>#N/A</v>
      </c>
      <c r="AF2303" s="889" t="s">
        <v>459</v>
      </c>
      <c r="AG2303" s="889" t="s">
        <v>459</v>
      </c>
    </row>
    <row r="2304" spans="26:33" x14ac:dyDescent="0.35">
      <c r="Z2304" s="344">
        <v>5415</v>
      </c>
      <c r="AA2304" s="344" t="s">
        <v>584</v>
      </c>
      <c r="AB2304" s="344">
        <v>4</v>
      </c>
      <c r="AC2304" s="344" t="e">
        <v>#N/A</v>
      </c>
      <c r="AD2304" s="1058" t="s">
        <v>586</v>
      </c>
      <c r="AE2304" s="1059" t="e">
        <v>#N/A</v>
      </c>
      <c r="AF2304" s="889" t="s">
        <v>459</v>
      </c>
      <c r="AG2304" s="889" t="s">
        <v>459</v>
      </c>
    </row>
    <row r="2305" spans="26:33" x14ac:dyDescent="0.35">
      <c r="Z2305" s="344">
        <v>5416</v>
      </c>
      <c r="AA2305" s="344" t="s">
        <v>584</v>
      </c>
      <c r="AB2305" s="344">
        <v>4</v>
      </c>
      <c r="AC2305" s="344" t="e">
        <v>#N/A</v>
      </c>
      <c r="AD2305" s="1058" t="s">
        <v>586</v>
      </c>
      <c r="AE2305" s="1059" t="e">
        <v>#N/A</v>
      </c>
      <c r="AF2305" s="889" t="s">
        <v>459</v>
      </c>
      <c r="AG2305" s="889" t="s">
        <v>459</v>
      </c>
    </row>
    <row r="2306" spans="26:33" x14ac:dyDescent="0.35">
      <c r="Z2306" s="344">
        <v>5417</v>
      </c>
      <c r="AA2306" s="344" t="s">
        <v>584</v>
      </c>
      <c r="AB2306" s="344">
        <v>4</v>
      </c>
      <c r="AC2306" s="344" t="s">
        <v>464</v>
      </c>
      <c r="AD2306" s="1058" t="s">
        <v>586</v>
      </c>
      <c r="AE2306" s="1059">
        <v>184951</v>
      </c>
      <c r="AF2306" s="889" t="s">
        <v>459</v>
      </c>
      <c r="AG2306" s="889" t="s">
        <v>459</v>
      </c>
    </row>
    <row r="2307" spans="26:33" x14ac:dyDescent="0.35">
      <c r="Z2307" s="344">
        <v>5418</v>
      </c>
      <c r="AA2307" s="344" t="s">
        <v>584</v>
      </c>
      <c r="AB2307" s="344">
        <v>4</v>
      </c>
      <c r="AC2307" s="344" t="e">
        <v>#N/A</v>
      </c>
      <c r="AD2307" s="1058" t="s">
        <v>586</v>
      </c>
      <c r="AE2307" s="1059" t="e">
        <v>#N/A</v>
      </c>
      <c r="AF2307" s="889" t="s">
        <v>459</v>
      </c>
      <c r="AG2307" s="889" t="s">
        <v>459</v>
      </c>
    </row>
    <row r="2308" spans="26:33" x14ac:dyDescent="0.35">
      <c r="Z2308" s="344">
        <v>5419</v>
      </c>
      <c r="AA2308" s="344" t="s">
        <v>584</v>
      </c>
      <c r="AB2308" s="344">
        <v>4</v>
      </c>
      <c r="AC2308" s="344" t="e">
        <v>#N/A</v>
      </c>
      <c r="AD2308" s="1058" t="s">
        <v>586</v>
      </c>
      <c r="AE2308" s="1059" t="e">
        <v>#N/A</v>
      </c>
      <c r="AF2308" s="889" t="s">
        <v>459</v>
      </c>
      <c r="AG2308" s="889" t="s">
        <v>459</v>
      </c>
    </row>
    <row r="2309" spans="26:33" x14ac:dyDescent="0.35">
      <c r="Z2309" s="344">
        <v>5420</v>
      </c>
      <c r="AA2309" s="344" t="s">
        <v>584</v>
      </c>
      <c r="AB2309" s="344">
        <v>4</v>
      </c>
      <c r="AC2309" s="344" t="e">
        <v>#N/A</v>
      </c>
      <c r="AD2309" s="1058" t="s">
        <v>586</v>
      </c>
      <c r="AE2309" s="1059" t="e">
        <v>#N/A</v>
      </c>
      <c r="AF2309" s="889" t="s">
        <v>459</v>
      </c>
      <c r="AG2309" s="889" t="s">
        <v>459</v>
      </c>
    </row>
    <row r="2310" spans="26:33" x14ac:dyDescent="0.35">
      <c r="Z2310" s="344">
        <v>5421</v>
      </c>
      <c r="AA2310" s="344" t="s">
        <v>584</v>
      </c>
      <c r="AB2310" s="344">
        <v>4</v>
      </c>
      <c r="AC2310" s="344" t="s">
        <v>464</v>
      </c>
      <c r="AD2310" s="1058" t="s">
        <v>586</v>
      </c>
      <c r="AE2310" s="1059">
        <v>96598</v>
      </c>
      <c r="AF2310" s="889" t="s">
        <v>459</v>
      </c>
      <c r="AG2310" s="889" t="s">
        <v>459</v>
      </c>
    </row>
    <row r="2311" spans="26:33" x14ac:dyDescent="0.35">
      <c r="Z2311" s="344">
        <v>5422</v>
      </c>
      <c r="AA2311" s="344" t="s">
        <v>584</v>
      </c>
      <c r="AB2311" s="344">
        <v>4</v>
      </c>
      <c r="AC2311" s="344" t="s">
        <v>464</v>
      </c>
      <c r="AD2311" s="1058" t="s">
        <v>586</v>
      </c>
      <c r="AE2311" s="1059">
        <v>113388</v>
      </c>
      <c r="AF2311" s="889" t="s">
        <v>459</v>
      </c>
      <c r="AG2311" s="889" t="s">
        <v>459</v>
      </c>
    </row>
    <row r="2312" spans="26:33" x14ac:dyDescent="0.35">
      <c r="Z2312" s="344">
        <v>5431</v>
      </c>
      <c r="AA2312" s="344" t="s">
        <v>584</v>
      </c>
      <c r="AB2312" s="344">
        <v>4</v>
      </c>
      <c r="AC2312" s="344" t="s">
        <v>464</v>
      </c>
      <c r="AD2312" s="1058" t="s">
        <v>586</v>
      </c>
      <c r="AE2312" s="1059">
        <v>181410</v>
      </c>
      <c r="AF2312" s="889" t="s">
        <v>459</v>
      </c>
      <c r="AG2312" s="889" t="s">
        <v>459</v>
      </c>
    </row>
    <row r="2313" spans="26:33" x14ac:dyDescent="0.35">
      <c r="Z2313" s="344">
        <v>5432</v>
      </c>
      <c r="AA2313" s="344" t="s">
        <v>584</v>
      </c>
      <c r="AB2313" s="344">
        <v>4</v>
      </c>
      <c r="AC2313" s="344" t="e">
        <v>#N/A</v>
      </c>
      <c r="AD2313" s="1058" t="s">
        <v>586</v>
      </c>
      <c r="AE2313" s="1059" t="e">
        <v>#N/A</v>
      </c>
      <c r="AF2313" s="889" t="s">
        <v>459</v>
      </c>
      <c r="AG2313" s="889" t="s">
        <v>459</v>
      </c>
    </row>
    <row r="2314" spans="26:33" x14ac:dyDescent="0.35">
      <c r="Z2314" s="344">
        <v>5433</v>
      </c>
      <c r="AA2314" s="344" t="s">
        <v>584</v>
      </c>
      <c r="AB2314" s="344">
        <v>4</v>
      </c>
      <c r="AC2314" s="344" t="s">
        <v>464</v>
      </c>
      <c r="AD2314" s="1058" t="s">
        <v>586</v>
      </c>
      <c r="AE2314" s="1059">
        <v>201148</v>
      </c>
      <c r="AF2314" s="889" t="s">
        <v>459</v>
      </c>
      <c r="AG2314" s="889" t="s">
        <v>459</v>
      </c>
    </row>
    <row r="2315" spans="26:33" x14ac:dyDescent="0.35">
      <c r="Z2315" s="344">
        <v>5434</v>
      </c>
      <c r="AA2315" s="344" t="s">
        <v>584</v>
      </c>
      <c r="AB2315" s="344">
        <v>4</v>
      </c>
      <c r="AC2315" s="344" t="s">
        <v>464</v>
      </c>
      <c r="AD2315" s="1058" t="s">
        <v>586</v>
      </c>
      <c r="AE2315" s="1059">
        <v>131576</v>
      </c>
      <c r="AF2315" s="889" t="s">
        <v>459</v>
      </c>
      <c r="AG2315" s="889" t="s">
        <v>459</v>
      </c>
    </row>
    <row r="2316" spans="26:33" x14ac:dyDescent="0.35">
      <c r="Z2316" s="344">
        <v>5440</v>
      </c>
      <c r="AA2316" s="344" t="s">
        <v>584</v>
      </c>
      <c r="AB2316" s="344">
        <v>4</v>
      </c>
      <c r="AC2316" s="344" t="e">
        <v>#N/A</v>
      </c>
      <c r="AD2316" s="1058" t="s">
        <v>586</v>
      </c>
      <c r="AE2316" s="1059" t="e">
        <v>#N/A</v>
      </c>
      <c r="AF2316" s="889" t="s">
        <v>459</v>
      </c>
      <c r="AG2316" s="889" t="s">
        <v>459</v>
      </c>
    </row>
    <row r="2317" spans="26:33" x14ac:dyDescent="0.35">
      <c r="Z2317" s="344">
        <v>5451</v>
      </c>
      <c r="AA2317" s="344" t="s">
        <v>584</v>
      </c>
      <c r="AB2317" s="344">
        <v>4</v>
      </c>
      <c r="AC2317" s="344" t="s">
        <v>464</v>
      </c>
      <c r="AD2317" s="1058" t="s">
        <v>586</v>
      </c>
      <c r="AE2317" s="1059">
        <v>260586</v>
      </c>
      <c r="AF2317" s="889" t="s">
        <v>459</v>
      </c>
      <c r="AG2317" s="889" t="s">
        <v>459</v>
      </c>
    </row>
    <row r="2318" spans="26:33" x14ac:dyDescent="0.35">
      <c r="Z2318" s="344">
        <v>5452</v>
      </c>
      <c r="AA2318" s="344" t="s">
        <v>584</v>
      </c>
      <c r="AB2318" s="344">
        <v>4</v>
      </c>
      <c r="AC2318" s="344" t="s">
        <v>464</v>
      </c>
      <c r="AD2318" s="1058" t="s">
        <v>586</v>
      </c>
      <c r="AE2318" s="1059">
        <v>259637</v>
      </c>
      <c r="AF2318" s="889" t="s">
        <v>459</v>
      </c>
      <c r="AG2318" s="889" t="s">
        <v>459</v>
      </c>
    </row>
    <row r="2319" spans="26:33" x14ac:dyDescent="0.35">
      <c r="Z2319" s="344">
        <v>5453</v>
      </c>
      <c r="AA2319" s="344" t="s">
        <v>584</v>
      </c>
      <c r="AB2319" s="344">
        <v>3</v>
      </c>
      <c r="AC2319" s="344" t="s">
        <v>471</v>
      </c>
      <c r="AD2319" s="1058" t="s">
        <v>587</v>
      </c>
      <c r="AE2319" s="1059">
        <v>383359</v>
      </c>
      <c r="AF2319" s="889" t="s">
        <v>459</v>
      </c>
      <c r="AG2319" s="889" t="s">
        <v>459</v>
      </c>
    </row>
    <row r="2320" spans="26:33" x14ac:dyDescent="0.35">
      <c r="Z2320" s="344">
        <v>5454</v>
      </c>
      <c r="AA2320" s="344" t="s">
        <v>584</v>
      </c>
      <c r="AB2320" s="344">
        <v>4</v>
      </c>
      <c r="AC2320" s="344" t="s">
        <v>464</v>
      </c>
      <c r="AD2320" s="1058" t="s">
        <v>586</v>
      </c>
      <c r="AE2320" s="1059">
        <v>130574</v>
      </c>
      <c r="AF2320" s="889" t="s">
        <v>459</v>
      </c>
      <c r="AG2320" s="889" t="s">
        <v>459</v>
      </c>
    </row>
    <row r="2321" spans="26:33" x14ac:dyDescent="0.35">
      <c r="Z2321" s="344">
        <v>5455</v>
      </c>
      <c r="AA2321" s="344" t="s">
        <v>584</v>
      </c>
      <c r="AB2321" s="344">
        <v>4</v>
      </c>
      <c r="AC2321" s="344" t="e">
        <v>#N/A</v>
      </c>
      <c r="AD2321" s="1058" t="s">
        <v>586</v>
      </c>
      <c r="AE2321" s="1059" t="e">
        <v>#N/A</v>
      </c>
      <c r="AF2321" s="889" t="s">
        <v>459</v>
      </c>
      <c r="AG2321" s="889" t="s">
        <v>459</v>
      </c>
    </row>
    <row r="2322" spans="26:33" x14ac:dyDescent="0.35">
      <c r="Z2322" s="344">
        <v>5460</v>
      </c>
      <c r="AA2322" s="344" t="s">
        <v>584</v>
      </c>
      <c r="AB2322" s="344">
        <v>4</v>
      </c>
      <c r="AC2322" s="344" t="s">
        <v>464</v>
      </c>
      <c r="AD2322" s="1058" t="s">
        <v>586</v>
      </c>
      <c r="AE2322" s="1059">
        <v>200658</v>
      </c>
      <c r="AF2322" s="889" t="s">
        <v>459</v>
      </c>
      <c r="AG2322" s="889" t="s">
        <v>459</v>
      </c>
    </row>
    <row r="2323" spans="26:33" x14ac:dyDescent="0.35">
      <c r="Z2323" s="344">
        <v>5461</v>
      </c>
      <c r="AA2323" s="344" t="s">
        <v>584</v>
      </c>
      <c r="AB2323" s="344">
        <v>4</v>
      </c>
      <c r="AC2323" s="344" t="s">
        <v>464</v>
      </c>
      <c r="AD2323" s="1058" t="s">
        <v>586</v>
      </c>
      <c r="AE2323" s="1059">
        <v>201810</v>
      </c>
      <c r="AF2323" s="889" t="s">
        <v>459</v>
      </c>
      <c r="AG2323" s="889" t="s">
        <v>459</v>
      </c>
    </row>
    <row r="2324" spans="26:33" x14ac:dyDescent="0.35">
      <c r="Z2324" s="344">
        <v>5462</v>
      </c>
      <c r="AA2324" s="344" t="s">
        <v>584</v>
      </c>
      <c r="AB2324" s="344">
        <v>4</v>
      </c>
      <c r="AC2324" s="344" t="s">
        <v>464</v>
      </c>
      <c r="AD2324" s="1058" t="s">
        <v>586</v>
      </c>
      <c r="AE2324" s="1059">
        <v>215413</v>
      </c>
      <c r="AF2324" s="889" t="s">
        <v>459</v>
      </c>
      <c r="AG2324" s="889" t="s">
        <v>459</v>
      </c>
    </row>
    <row r="2325" spans="26:33" x14ac:dyDescent="0.35">
      <c r="Z2325" s="344">
        <v>5464</v>
      </c>
      <c r="AA2325" s="344" t="s">
        <v>584</v>
      </c>
      <c r="AB2325" s="344">
        <v>4</v>
      </c>
      <c r="AC2325" s="344" t="s">
        <v>464</v>
      </c>
      <c r="AD2325" s="1058" t="s">
        <v>586</v>
      </c>
      <c r="AE2325" s="1059">
        <v>148472</v>
      </c>
      <c r="AF2325" s="889" t="s">
        <v>459</v>
      </c>
      <c r="AG2325" s="889" t="s">
        <v>459</v>
      </c>
    </row>
    <row r="2326" spans="26:33" x14ac:dyDescent="0.35">
      <c r="Z2326" s="344">
        <v>5470</v>
      </c>
      <c r="AA2326" s="344" t="s">
        <v>584</v>
      </c>
      <c r="AB2326" s="344">
        <v>4</v>
      </c>
      <c r="AC2326" s="344" t="e">
        <v>#N/A</v>
      </c>
      <c r="AD2326" s="1058" t="s">
        <v>586</v>
      </c>
      <c r="AE2326" s="1059" t="e">
        <v>#N/A</v>
      </c>
      <c r="AF2326" s="889" t="s">
        <v>459</v>
      </c>
      <c r="AG2326" s="889" t="s">
        <v>459</v>
      </c>
    </row>
    <row r="2327" spans="26:33" x14ac:dyDescent="0.35">
      <c r="Z2327" s="344">
        <v>5471</v>
      </c>
      <c r="AA2327" s="344" t="s">
        <v>584</v>
      </c>
      <c r="AB2327" s="344">
        <v>4</v>
      </c>
      <c r="AC2327" s="344" t="e">
        <v>#N/A</v>
      </c>
      <c r="AD2327" s="1058" t="s">
        <v>586</v>
      </c>
      <c r="AE2327" s="1059" t="e">
        <v>#N/A</v>
      </c>
      <c r="AF2327" s="889" t="s">
        <v>459</v>
      </c>
      <c r="AG2327" s="889" t="s">
        <v>459</v>
      </c>
    </row>
    <row r="2328" spans="26:33" x14ac:dyDescent="0.35">
      <c r="Z2328" s="344">
        <v>5472</v>
      </c>
      <c r="AA2328" s="344" t="s">
        <v>584</v>
      </c>
      <c r="AB2328" s="344">
        <v>4</v>
      </c>
      <c r="AC2328" s="344" t="s">
        <v>464</v>
      </c>
      <c r="AD2328" s="1058" t="s">
        <v>586</v>
      </c>
      <c r="AE2328" s="1059">
        <v>89358</v>
      </c>
      <c r="AF2328" s="889" t="s">
        <v>459</v>
      </c>
      <c r="AG2328" s="889" t="s">
        <v>459</v>
      </c>
    </row>
    <row r="2329" spans="26:33" x14ac:dyDescent="0.35">
      <c r="Z2329" s="344">
        <v>5473</v>
      </c>
      <c r="AA2329" s="344" t="s">
        <v>584</v>
      </c>
      <c r="AB2329" s="344">
        <v>4</v>
      </c>
      <c r="AC2329" s="344" t="s">
        <v>464</v>
      </c>
      <c r="AD2329" s="1058" t="s">
        <v>586</v>
      </c>
      <c r="AE2329" s="1059">
        <v>163390</v>
      </c>
      <c r="AF2329" s="889" t="s">
        <v>459</v>
      </c>
      <c r="AG2329" s="889" t="s">
        <v>459</v>
      </c>
    </row>
    <row r="2330" spans="26:33" x14ac:dyDescent="0.35">
      <c r="Z2330" s="344">
        <v>5480</v>
      </c>
      <c r="AA2330" s="344" t="s">
        <v>584</v>
      </c>
      <c r="AB2330" s="344">
        <v>4</v>
      </c>
      <c r="AC2330" s="344" t="s">
        <v>464</v>
      </c>
      <c r="AD2330" s="1058" t="s">
        <v>586</v>
      </c>
      <c r="AE2330" s="1059">
        <v>184484</v>
      </c>
      <c r="AF2330" s="889" t="s">
        <v>459</v>
      </c>
      <c r="AG2330" s="889" t="s">
        <v>459</v>
      </c>
    </row>
    <row r="2331" spans="26:33" x14ac:dyDescent="0.35">
      <c r="Z2331" s="344">
        <v>5481</v>
      </c>
      <c r="AA2331" s="344" t="s">
        <v>584</v>
      </c>
      <c r="AB2331" s="344">
        <v>4</v>
      </c>
      <c r="AC2331" s="344" t="s">
        <v>464</v>
      </c>
      <c r="AD2331" s="1058" t="s">
        <v>586</v>
      </c>
      <c r="AE2331" s="1059">
        <v>128223</v>
      </c>
      <c r="AF2331" s="889" t="s">
        <v>459</v>
      </c>
      <c r="AG2331" s="889" t="s">
        <v>459</v>
      </c>
    </row>
    <row r="2332" spans="26:33" x14ac:dyDescent="0.35">
      <c r="Z2332" s="344">
        <v>5482</v>
      </c>
      <c r="AA2332" s="344" t="s">
        <v>584</v>
      </c>
      <c r="AB2332" s="344">
        <v>4</v>
      </c>
      <c r="AC2332" s="344" t="s">
        <v>464</v>
      </c>
      <c r="AD2332" s="1058" t="s">
        <v>586</v>
      </c>
      <c r="AE2332" s="1059">
        <v>191643</v>
      </c>
      <c r="AF2332" s="889" t="s">
        <v>459</v>
      </c>
      <c r="AG2332" s="889" t="s">
        <v>459</v>
      </c>
    </row>
    <row r="2333" spans="26:33" x14ac:dyDescent="0.35">
      <c r="Z2333" s="344">
        <v>5483</v>
      </c>
      <c r="AA2333" s="344" t="s">
        <v>584</v>
      </c>
      <c r="AB2333" s="344">
        <v>4</v>
      </c>
      <c r="AC2333" s="344" t="s">
        <v>464</v>
      </c>
      <c r="AD2333" s="1058" t="s">
        <v>586</v>
      </c>
      <c r="AE2333" s="1059">
        <v>161984</v>
      </c>
      <c r="AF2333" s="889" t="s">
        <v>459</v>
      </c>
      <c r="AG2333" s="889" t="s">
        <v>459</v>
      </c>
    </row>
    <row r="2334" spans="26:33" x14ac:dyDescent="0.35">
      <c r="Z2334" s="344">
        <v>5485</v>
      </c>
      <c r="AA2334" s="344" t="s">
        <v>584</v>
      </c>
      <c r="AB2334" s="344">
        <v>4</v>
      </c>
      <c r="AC2334" s="344" t="s">
        <v>464</v>
      </c>
      <c r="AD2334" s="1058" t="s">
        <v>586</v>
      </c>
      <c r="AE2334" s="1059">
        <v>215618</v>
      </c>
      <c r="AF2334" s="889" t="s">
        <v>459</v>
      </c>
      <c r="AG2334" s="889" t="s">
        <v>459</v>
      </c>
    </row>
    <row r="2335" spans="26:33" x14ac:dyDescent="0.35">
      <c r="Z2335" s="344">
        <v>5490</v>
      </c>
      <c r="AA2335" s="344" t="s">
        <v>584</v>
      </c>
      <c r="AB2335" s="344">
        <v>4</v>
      </c>
      <c r="AC2335" s="344" t="e">
        <v>#N/A</v>
      </c>
      <c r="AD2335" s="1058" t="s">
        <v>586</v>
      </c>
      <c r="AE2335" s="1059" t="e">
        <v>#N/A</v>
      </c>
      <c r="AF2335" s="889" t="s">
        <v>459</v>
      </c>
      <c r="AG2335" s="889" t="s">
        <v>459</v>
      </c>
    </row>
    <row r="2336" spans="26:33" x14ac:dyDescent="0.35">
      <c r="Z2336" s="344">
        <v>5491</v>
      </c>
      <c r="AA2336" s="344" t="s">
        <v>584</v>
      </c>
      <c r="AB2336" s="344">
        <v>4</v>
      </c>
      <c r="AC2336" s="344" t="s">
        <v>464</v>
      </c>
      <c r="AD2336" s="1058" t="s">
        <v>586</v>
      </c>
      <c r="AE2336" s="1059">
        <v>210849</v>
      </c>
      <c r="AF2336" s="889" t="s">
        <v>459</v>
      </c>
      <c r="AG2336" s="889" t="s">
        <v>459</v>
      </c>
    </row>
    <row r="2337" spans="26:33" x14ac:dyDescent="0.35">
      <c r="Z2337" s="344">
        <v>5493</v>
      </c>
      <c r="AA2337" s="344" t="s">
        <v>584</v>
      </c>
      <c r="AB2337" s="344">
        <v>4</v>
      </c>
      <c r="AC2337" s="344" t="e">
        <v>#N/A</v>
      </c>
      <c r="AD2337" s="1058" t="s">
        <v>586</v>
      </c>
      <c r="AE2337" s="1059" t="e">
        <v>#N/A</v>
      </c>
      <c r="AF2337" s="889" t="s">
        <v>459</v>
      </c>
      <c r="AG2337" s="889" t="s">
        <v>459</v>
      </c>
    </row>
    <row r="2338" spans="26:33" x14ac:dyDescent="0.35">
      <c r="Z2338" s="344">
        <v>5495</v>
      </c>
      <c r="AA2338" s="344" t="s">
        <v>584</v>
      </c>
      <c r="AB2338" s="344">
        <v>4</v>
      </c>
      <c r="AC2338" s="344" t="s">
        <v>464</v>
      </c>
      <c r="AD2338" s="1058" t="s">
        <v>586</v>
      </c>
      <c r="AE2338" s="1059">
        <v>189150</v>
      </c>
      <c r="AF2338" s="889" t="s">
        <v>459</v>
      </c>
      <c r="AG2338" s="889" t="s">
        <v>459</v>
      </c>
    </row>
    <row r="2339" spans="26:33" x14ac:dyDescent="0.35">
      <c r="Z2339" s="344">
        <v>5501</v>
      </c>
      <c r="AA2339" s="344" t="s">
        <v>584</v>
      </c>
      <c r="AB2339" s="344">
        <v>3</v>
      </c>
      <c r="AC2339" s="344" t="s">
        <v>464</v>
      </c>
      <c r="AD2339" s="1058" t="s">
        <v>587</v>
      </c>
      <c r="AE2339" s="1059">
        <v>283359</v>
      </c>
      <c r="AF2339" s="889" t="s">
        <v>459</v>
      </c>
      <c r="AG2339" s="889" t="s">
        <v>459</v>
      </c>
    </row>
    <row r="2340" spans="26:33" x14ac:dyDescent="0.35">
      <c r="Z2340" s="344">
        <v>5502</v>
      </c>
      <c r="AA2340" s="344" t="s">
        <v>584</v>
      </c>
      <c r="AB2340" s="344">
        <v>4</v>
      </c>
      <c r="AC2340" s="344" t="s">
        <v>464</v>
      </c>
      <c r="AD2340" s="1058" t="s">
        <v>586</v>
      </c>
      <c r="AE2340" s="1059">
        <v>265952</v>
      </c>
      <c r="AF2340" s="889" t="s">
        <v>459</v>
      </c>
      <c r="AG2340" s="889" t="s">
        <v>459</v>
      </c>
    </row>
    <row r="2341" spans="26:33" x14ac:dyDescent="0.35">
      <c r="Z2341" s="344">
        <v>5510</v>
      </c>
      <c r="AA2341" s="344" t="s">
        <v>584</v>
      </c>
      <c r="AB2341" s="344">
        <v>4</v>
      </c>
      <c r="AC2341" s="344" t="e">
        <v>#N/A</v>
      </c>
      <c r="AD2341" s="1058" t="s">
        <v>586</v>
      </c>
      <c r="AE2341" s="1059" t="e">
        <v>#N/A</v>
      </c>
      <c r="AF2341" s="889" t="s">
        <v>459</v>
      </c>
      <c r="AG2341" s="889" t="s">
        <v>459</v>
      </c>
    </row>
    <row r="2342" spans="26:33" x14ac:dyDescent="0.35">
      <c r="Z2342" s="344">
        <v>5520</v>
      </c>
      <c r="AA2342" s="344" t="s">
        <v>584</v>
      </c>
      <c r="AB2342" s="344">
        <v>4</v>
      </c>
      <c r="AC2342" s="344" t="s">
        <v>464</v>
      </c>
      <c r="AD2342" s="1058" t="s">
        <v>586</v>
      </c>
      <c r="AE2342" s="1059">
        <v>125283</v>
      </c>
      <c r="AF2342" s="889" t="s">
        <v>459</v>
      </c>
      <c r="AG2342" s="889" t="s">
        <v>459</v>
      </c>
    </row>
    <row r="2343" spans="26:33" x14ac:dyDescent="0.35">
      <c r="Z2343" s="344">
        <v>5521</v>
      </c>
      <c r="AA2343" s="344" t="s">
        <v>584</v>
      </c>
      <c r="AB2343" s="344">
        <v>4</v>
      </c>
      <c r="AC2343" s="344" t="s">
        <v>464</v>
      </c>
      <c r="AD2343" s="1058" t="s">
        <v>586</v>
      </c>
      <c r="AE2343" s="1059">
        <v>97161</v>
      </c>
      <c r="AF2343" s="889" t="s">
        <v>459</v>
      </c>
      <c r="AG2343" s="889" t="s">
        <v>459</v>
      </c>
    </row>
    <row r="2344" spans="26:33" x14ac:dyDescent="0.35">
      <c r="Z2344" s="344">
        <v>5522</v>
      </c>
      <c r="AA2344" s="344" t="s">
        <v>584</v>
      </c>
      <c r="AB2344" s="344">
        <v>4</v>
      </c>
      <c r="AC2344" s="344" t="s">
        <v>471</v>
      </c>
      <c r="AD2344" s="1058" t="s">
        <v>586</v>
      </c>
      <c r="AE2344" s="1059">
        <v>303843</v>
      </c>
      <c r="AF2344" s="889" t="s">
        <v>459</v>
      </c>
      <c r="AG2344" s="889" t="s">
        <v>459</v>
      </c>
    </row>
    <row r="2345" spans="26:33" x14ac:dyDescent="0.35">
      <c r="Z2345" s="344">
        <v>5523</v>
      </c>
      <c r="AA2345" s="344" t="s">
        <v>584</v>
      </c>
      <c r="AB2345" s="344">
        <v>4</v>
      </c>
      <c r="AC2345" s="344" t="s">
        <v>464</v>
      </c>
      <c r="AD2345" s="1058" t="s">
        <v>586</v>
      </c>
      <c r="AE2345" s="1059">
        <v>181230</v>
      </c>
      <c r="AF2345" s="889" t="s">
        <v>459</v>
      </c>
      <c r="AG2345" s="889" t="s">
        <v>459</v>
      </c>
    </row>
    <row r="2346" spans="26:33" x14ac:dyDescent="0.35">
      <c r="Z2346" s="344">
        <v>5540</v>
      </c>
      <c r="AA2346" s="344" t="s">
        <v>584</v>
      </c>
      <c r="AB2346" s="344">
        <v>3</v>
      </c>
      <c r="AC2346" s="344" t="s">
        <v>464</v>
      </c>
      <c r="AD2346" s="1058" t="s">
        <v>587</v>
      </c>
      <c r="AE2346" s="1059">
        <v>193524</v>
      </c>
      <c r="AF2346" s="889" t="s">
        <v>460</v>
      </c>
      <c r="AG2346" s="889" t="s">
        <v>459</v>
      </c>
    </row>
    <row r="2347" spans="26:33" x14ac:dyDescent="0.35">
      <c r="Z2347" s="344">
        <v>5550</v>
      </c>
      <c r="AA2347" s="344" t="s">
        <v>584</v>
      </c>
      <c r="AB2347" s="344">
        <v>4</v>
      </c>
      <c r="AC2347" s="344" t="s">
        <v>464</v>
      </c>
      <c r="AD2347" s="1058" t="s">
        <v>586</v>
      </c>
      <c r="AE2347" s="1059">
        <v>167770</v>
      </c>
      <c r="AF2347" s="889" t="s">
        <v>459</v>
      </c>
      <c r="AG2347" s="889" t="s">
        <v>459</v>
      </c>
    </row>
    <row r="2348" spans="26:33" x14ac:dyDescent="0.35">
      <c r="Z2348" s="344">
        <v>5552</v>
      </c>
      <c r="AA2348" s="344" t="s">
        <v>584</v>
      </c>
      <c r="AB2348" s="344">
        <v>4</v>
      </c>
      <c r="AC2348" s="344" t="e">
        <v>#N/A</v>
      </c>
      <c r="AD2348" s="1058" t="s">
        <v>586</v>
      </c>
      <c r="AE2348" s="1059" t="e">
        <v>#N/A</v>
      </c>
      <c r="AF2348" s="889" t="s">
        <v>459</v>
      </c>
      <c r="AG2348" s="889" t="s">
        <v>459</v>
      </c>
    </row>
    <row r="2349" spans="26:33" x14ac:dyDescent="0.35">
      <c r="Z2349" s="344">
        <v>5554</v>
      </c>
      <c r="AA2349" s="344" t="s">
        <v>584</v>
      </c>
      <c r="AB2349" s="344">
        <v>3</v>
      </c>
      <c r="AC2349" s="344" t="s">
        <v>464</v>
      </c>
      <c r="AD2349" s="1058" t="s">
        <v>587</v>
      </c>
      <c r="AE2349" s="1059">
        <v>252180</v>
      </c>
      <c r="AF2349" s="889" t="s">
        <v>459</v>
      </c>
      <c r="AG2349" s="889" t="s">
        <v>459</v>
      </c>
    </row>
    <row r="2350" spans="26:33" x14ac:dyDescent="0.35">
      <c r="Z2350" s="344">
        <v>5555</v>
      </c>
      <c r="AA2350" s="344" t="s">
        <v>584</v>
      </c>
      <c r="AB2350" s="344">
        <v>4</v>
      </c>
      <c r="AC2350" s="344" t="e">
        <v>#N/A</v>
      </c>
      <c r="AD2350" s="1058" t="s">
        <v>586</v>
      </c>
      <c r="AE2350" s="1059" t="e">
        <v>#N/A</v>
      </c>
      <c r="AF2350" s="889" t="s">
        <v>459</v>
      </c>
      <c r="AG2350" s="889" t="s">
        <v>459</v>
      </c>
    </row>
    <row r="2351" spans="26:33" x14ac:dyDescent="0.35">
      <c r="Z2351" s="344">
        <v>5556</v>
      </c>
      <c r="AA2351" s="344" t="s">
        <v>584</v>
      </c>
      <c r="AB2351" s="344">
        <v>3</v>
      </c>
      <c r="AC2351" s="344" t="s">
        <v>464</v>
      </c>
      <c r="AD2351" s="1058" t="s">
        <v>587</v>
      </c>
      <c r="AE2351" s="1059">
        <v>287236</v>
      </c>
      <c r="AF2351" s="889" t="s">
        <v>460</v>
      </c>
      <c r="AG2351" s="889" t="s">
        <v>459</v>
      </c>
    </row>
    <row r="2352" spans="26:33" x14ac:dyDescent="0.35">
      <c r="Z2352" s="344">
        <v>5558</v>
      </c>
      <c r="AA2352" s="344" t="s">
        <v>584</v>
      </c>
      <c r="AB2352" s="344">
        <v>3</v>
      </c>
      <c r="AC2352" s="344" t="s">
        <v>464</v>
      </c>
      <c r="AD2352" s="1058" t="s">
        <v>587</v>
      </c>
      <c r="AE2352" s="1059">
        <v>251673</v>
      </c>
      <c r="AF2352" s="889" t="s">
        <v>459</v>
      </c>
      <c r="AG2352" s="889" t="s">
        <v>459</v>
      </c>
    </row>
    <row r="2353" spans="26:33" x14ac:dyDescent="0.35">
      <c r="Z2353" s="344">
        <v>5560</v>
      </c>
      <c r="AA2353" s="344" t="s">
        <v>584</v>
      </c>
      <c r="AB2353" s="344">
        <v>4</v>
      </c>
      <c r="AC2353" s="344" t="s">
        <v>464</v>
      </c>
      <c r="AD2353" s="1058" t="s">
        <v>586</v>
      </c>
      <c r="AE2353" s="1059">
        <v>190706</v>
      </c>
      <c r="AF2353" s="889" t="s">
        <v>459</v>
      </c>
      <c r="AG2353" s="889" t="s">
        <v>459</v>
      </c>
    </row>
    <row r="2354" spans="26:33" x14ac:dyDescent="0.35">
      <c r="Z2354" s="344">
        <v>5570</v>
      </c>
      <c r="AA2354" s="344" t="s">
        <v>584</v>
      </c>
      <c r="AB2354" s="344">
        <v>4</v>
      </c>
      <c r="AC2354" s="344" t="s">
        <v>464</v>
      </c>
      <c r="AD2354" s="1058" t="s">
        <v>586</v>
      </c>
      <c r="AE2354" s="1059">
        <v>212663</v>
      </c>
      <c r="AF2354" s="889" t="s">
        <v>459</v>
      </c>
      <c r="AG2354" s="889" t="s">
        <v>459</v>
      </c>
    </row>
    <row r="2355" spans="26:33" x14ac:dyDescent="0.35">
      <c r="Z2355" s="344">
        <v>5571</v>
      </c>
      <c r="AA2355" s="344" t="s">
        <v>584</v>
      </c>
      <c r="AB2355" s="344">
        <v>4</v>
      </c>
      <c r="AC2355" s="344" t="s">
        <v>464</v>
      </c>
      <c r="AD2355" s="1058" t="s">
        <v>586</v>
      </c>
      <c r="AE2355" s="1059">
        <v>277513</v>
      </c>
      <c r="AF2355" s="889" t="s">
        <v>459</v>
      </c>
      <c r="AG2355" s="889" t="s">
        <v>459</v>
      </c>
    </row>
    <row r="2356" spans="26:33" x14ac:dyDescent="0.35">
      <c r="Z2356" s="344">
        <v>5572</v>
      </c>
      <c r="AA2356" s="344" t="s">
        <v>584</v>
      </c>
      <c r="AB2356" s="344">
        <v>4</v>
      </c>
      <c r="AC2356" s="344" t="e">
        <v>#N/A</v>
      </c>
      <c r="AD2356" s="1058" t="s">
        <v>586</v>
      </c>
      <c r="AE2356" s="1059" t="e">
        <v>#N/A</v>
      </c>
      <c r="AF2356" s="889" t="s">
        <v>459</v>
      </c>
      <c r="AG2356" s="889" t="s">
        <v>459</v>
      </c>
    </row>
    <row r="2357" spans="26:33" x14ac:dyDescent="0.35">
      <c r="Z2357" s="344">
        <v>5573</v>
      </c>
      <c r="AA2357" s="344" t="s">
        <v>584</v>
      </c>
      <c r="AB2357" s="344">
        <v>4</v>
      </c>
      <c r="AC2357" s="344" t="s">
        <v>464</v>
      </c>
      <c r="AD2357" s="1058" t="s">
        <v>586</v>
      </c>
      <c r="AE2357" s="1059">
        <v>258479</v>
      </c>
      <c r="AF2357" s="889" t="s">
        <v>459</v>
      </c>
      <c r="AG2357" s="889" t="s">
        <v>459</v>
      </c>
    </row>
    <row r="2358" spans="26:33" x14ac:dyDescent="0.35">
      <c r="Z2358" s="344">
        <v>5575</v>
      </c>
      <c r="AA2358" s="344" t="s">
        <v>584</v>
      </c>
      <c r="AB2358" s="344">
        <v>4</v>
      </c>
      <c r="AC2358" s="344" t="s">
        <v>464</v>
      </c>
      <c r="AD2358" s="1058" t="s">
        <v>586</v>
      </c>
      <c r="AE2358" s="1059">
        <v>276763</v>
      </c>
      <c r="AF2358" s="889" t="s">
        <v>459</v>
      </c>
      <c r="AG2358" s="889" t="s">
        <v>459</v>
      </c>
    </row>
    <row r="2359" spans="26:33" x14ac:dyDescent="0.35">
      <c r="Z2359" s="344">
        <v>5576</v>
      </c>
      <c r="AA2359" s="344" t="s">
        <v>584</v>
      </c>
      <c r="AB2359" s="344">
        <v>4</v>
      </c>
      <c r="AC2359" s="344" t="s">
        <v>464</v>
      </c>
      <c r="AD2359" s="1058" t="s">
        <v>586</v>
      </c>
      <c r="AE2359" s="1059">
        <v>219769</v>
      </c>
      <c r="AF2359" s="889" t="s">
        <v>459</v>
      </c>
      <c r="AG2359" s="889" t="s">
        <v>459</v>
      </c>
    </row>
    <row r="2360" spans="26:33" x14ac:dyDescent="0.35">
      <c r="Z2360" s="344">
        <v>5577</v>
      </c>
      <c r="AA2360" s="344" t="s">
        <v>584</v>
      </c>
      <c r="AB2360" s="344">
        <v>4</v>
      </c>
      <c r="AC2360" s="344" t="s">
        <v>464</v>
      </c>
      <c r="AD2360" s="1058" t="s">
        <v>586</v>
      </c>
      <c r="AE2360" s="1059">
        <v>222120</v>
      </c>
      <c r="AF2360" s="889" t="s">
        <v>459</v>
      </c>
      <c r="AG2360" s="889" t="s">
        <v>459</v>
      </c>
    </row>
    <row r="2361" spans="26:33" x14ac:dyDescent="0.35">
      <c r="Z2361" s="344">
        <v>5580</v>
      </c>
      <c r="AA2361" s="344" t="s">
        <v>584</v>
      </c>
      <c r="AB2361" s="344">
        <v>4</v>
      </c>
      <c r="AC2361" s="344" t="s">
        <v>464</v>
      </c>
      <c r="AD2361" s="1058" t="s">
        <v>586</v>
      </c>
      <c r="AE2361" s="1059">
        <v>219638</v>
      </c>
      <c r="AF2361" s="889" t="s">
        <v>459</v>
      </c>
      <c r="AG2361" s="889" t="s">
        <v>459</v>
      </c>
    </row>
    <row r="2362" spans="26:33" x14ac:dyDescent="0.35">
      <c r="Z2362" s="344">
        <v>5581</v>
      </c>
      <c r="AA2362" s="344" t="s">
        <v>584</v>
      </c>
      <c r="AB2362" s="344">
        <v>4</v>
      </c>
      <c r="AC2362" s="344" t="s">
        <v>471</v>
      </c>
      <c r="AD2362" s="1058" t="s">
        <v>586</v>
      </c>
      <c r="AE2362" s="1059">
        <v>341288</v>
      </c>
      <c r="AF2362" s="889" t="s">
        <v>459</v>
      </c>
      <c r="AG2362" s="889" t="s">
        <v>459</v>
      </c>
    </row>
    <row r="2363" spans="26:33" x14ac:dyDescent="0.35">
      <c r="Z2363" s="344">
        <v>5582</v>
      </c>
      <c r="AA2363" s="344" t="s">
        <v>584</v>
      </c>
      <c r="AB2363" s="344">
        <v>4</v>
      </c>
      <c r="AC2363" s="344" t="s">
        <v>471</v>
      </c>
      <c r="AD2363" s="1058" t="s">
        <v>586</v>
      </c>
      <c r="AE2363" s="1059">
        <v>324955</v>
      </c>
      <c r="AF2363" s="889" t="s">
        <v>459</v>
      </c>
      <c r="AG2363" s="889" t="s">
        <v>459</v>
      </c>
    </row>
    <row r="2364" spans="26:33" x14ac:dyDescent="0.35">
      <c r="Z2364" s="344">
        <v>5583</v>
      </c>
      <c r="AA2364" s="344" t="s">
        <v>584</v>
      </c>
      <c r="AB2364" s="344">
        <v>4</v>
      </c>
      <c r="AC2364" s="344" t="s">
        <v>464</v>
      </c>
      <c r="AD2364" s="1058" t="s">
        <v>586</v>
      </c>
      <c r="AE2364" s="1059">
        <v>269206</v>
      </c>
      <c r="AF2364" s="889" t="s">
        <v>459</v>
      </c>
      <c r="AG2364" s="889" t="s">
        <v>459</v>
      </c>
    </row>
    <row r="2365" spans="26:33" x14ac:dyDescent="0.35">
      <c r="Z2365" s="344">
        <v>5600</v>
      </c>
      <c r="AA2365" s="344" t="s">
        <v>584</v>
      </c>
      <c r="AB2365" s="344">
        <v>2</v>
      </c>
      <c r="AC2365" s="344" t="s">
        <v>464</v>
      </c>
      <c r="AD2365" s="1058" t="s">
        <v>588</v>
      </c>
      <c r="AE2365" s="1059">
        <v>289455</v>
      </c>
      <c r="AF2365" s="889" t="s">
        <v>460</v>
      </c>
      <c r="AG2365" s="889" t="s">
        <v>459</v>
      </c>
    </row>
    <row r="2366" spans="26:33" x14ac:dyDescent="0.35">
      <c r="Z2366" s="344">
        <v>5601</v>
      </c>
      <c r="AA2366" s="344" t="s">
        <v>584</v>
      </c>
      <c r="AB2366" s="344">
        <v>4</v>
      </c>
      <c r="AC2366" s="344" t="s">
        <v>464</v>
      </c>
      <c r="AD2366" s="1058" t="s">
        <v>586</v>
      </c>
      <c r="AE2366" s="1059">
        <v>93442</v>
      </c>
      <c r="AF2366" s="889" t="s">
        <v>459</v>
      </c>
      <c r="AG2366" s="889" t="s">
        <v>459</v>
      </c>
    </row>
    <row r="2367" spans="26:33" x14ac:dyDescent="0.35">
      <c r="Z2367" s="344">
        <v>5602</v>
      </c>
      <c r="AA2367" s="344" t="s">
        <v>584</v>
      </c>
      <c r="AB2367" s="344">
        <v>4</v>
      </c>
      <c r="AC2367" s="344" t="s">
        <v>464</v>
      </c>
      <c r="AD2367" s="1058" t="s">
        <v>586</v>
      </c>
      <c r="AE2367" s="1059">
        <v>247837</v>
      </c>
      <c r="AF2367" s="889" t="s">
        <v>459</v>
      </c>
      <c r="AG2367" s="889" t="s">
        <v>459</v>
      </c>
    </row>
    <row r="2368" spans="26:33" x14ac:dyDescent="0.35">
      <c r="Z2368" s="344">
        <v>5603</v>
      </c>
      <c r="AA2368" s="344" t="s">
        <v>584</v>
      </c>
      <c r="AB2368" s="344">
        <v>4</v>
      </c>
      <c r="AC2368" s="344" t="s">
        <v>464</v>
      </c>
      <c r="AD2368" s="1058" t="s">
        <v>586</v>
      </c>
      <c r="AE2368" s="1059">
        <v>217929</v>
      </c>
      <c r="AF2368" s="889" t="s">
        <v>459</v>
      </c>
      <c r="AG2368" s="889" t="s">
        <v>459</v>
      </c>
    </row>
    <row r="2369" spans="26:33" x14ac:dyDescent="0.35">
      <c r="Z2369" s="344">
        <v>5604</v>
      </c>
      <c r="AA2369" s="344" t="s">
        <v>584</v>
      </c>
      <c r="AB2369" s="344">
        <v>4</v>
      </c>
      <c r="AC2369" s="344" t="s">
        <v>464</v>
      </c>
      <c r="AD2369" s="1058" t="s">
        <v>586</v>
      </c>
      <c r="AE2369" s="1059">
        <v>297559</v>
      </c>
      <c r="AF2369" s="889" t="s">
        <v>459</v>
      </c>
      <c r="AG2369" s="889" t="s">
        <v>459</v>
      </c>
    </row>
    <row r="2370" spans="26:33" x14ac:dyDescent="0.35">
      <c r="Z2370" s="344">
        <v>5605</v>
      </c>
      <c r="AA2370" s="344" t="s">
        <v>584</v>
      </c>
      <c r="AB2370" s="344">
        <v>4</v>
      </c>
      <c r="AC2370" s="344" t="s">
        <v>471</v>
      </c>
      <c r="AD2370" s="1058" t="s">
        <v>586</v>
      </c>
      <c r="AE2370" s="1059">
        <v>307024</v>
      </c>
      <c r="AF2370" s="889" t="s">
        <v>459</v>
      </c>
      <c r="AG2370" s="889" t="s">
        <v>459</v>
      </c>
    </row>
    <row r="2371" spans="26:33" x14ac:dyDescent="0.35">
      <c r="Z2371" s="344">
        <v>5606</v>
      </c>
      <c r="AA2371" s="344" t="s">
        <v>584</v>
      </c>
      <c r="AB2371" s="344">
        <v>3</v>
      </c>
      <c r="AC2371" s="344" t="s">
        <v>471</v>
      </c>
      <c r="AD2371" s="1058" t="s">
        <v>587</v>
      </c>
      <c r="AE2371" s="1059">
        <v>314054</v>
      </c>
      <c r="AF2371" s="889" t="s">
        <v>459</v>
      </c>
      <c r="AG2371" s="889" t="s">
        <v>459</v>
      </c>
    </row>
    <row r="2372" spans="26:33" x14ac:dyDescent="0.35">
      <c r="Z2372" s="344">
        <v>5607</v>
      </c>
      <c r="AA2372" s="344" t="s">
        <v>584</v>
      </c>
      <c r="AB2372" s="344">
        <v>3</v>
      </c>
      <c r="AC2372" s="344" t="s">
        <v>471</v>
      </c>
      <c r="AD2372" s="1058" t="s">
        <v>587</v>
      </c>
      <c r="AE2372" s="1059">
        <v>366076</v>
      </c>
      <c r="AF2372" s="889" t="s">
        <v>459</v>
      </c>
      <c r="AG2372" s="889" t="s">
        <v>459</v>
      </c>
    </row>
    <row r="2373" spans="26:33" x14ac:dyDescent="0.35">
      <c r="Z2373" s="344">
        <v>5608</v>
      </c>
      <c r="AA2373" s="344" t="s">
        <v>584</v>
      </c>
      <c r="AB2373" s="344">
        <v>2</v>
      </c>
      <c r="AC2373" s="344" t="s">
        <v>464</v>
      </c>
      <c r="AD2373" s="1058" t="s">
        <v>588</v>
      </c>
      <c r="AE2373" s="1059">
        <v>236476</v>
      </c>
      <c r="AF2373" s="889" t="s">
        <v>460</v>
      </c>
      <c r="AG2373" s="889" t="s">
        <v>459</v>
      </c>
    </row>
    <row r="2374" spans="26:33" x14ac:dyDescent="0.35">
      <c r="Z2374" s="344">
        <v>5609</v>
      </c>
      <c r="AA2374" s="344" t="s">
        <v>584</v>
      </c>
      <c r="AB2374" s="344">
        <v>4</v>
      </c>
      <c r="AC2374" s="344" t="s">
        <v>471</v>
      </c>
      <c r="AD2374" s="1058" t="s">
        <v>586</v>
      </c>
      <c r="AE2374" s="1059">
        <v>343687</v>
      </c>
      <c r="AF2374" s="889" t="s">
        <v>459</v>
      </c>
      <c r="AG2374" s="889" t="s">
        <v>459</v>
      </c>
    </row>
    <row r="2375" spans="26:33" x14ac:dyDescent="0.35">
      <c r="Z2375" s="344">
        <v>5630</v>
      </c>
      <c r="AA2375" s="344" t="s">
        <v>584</v>
      </c>
      <c r="AB2375" s="344">
        <v>4</v>
      </c>
      <c r="AC2375" s="344" t="e">
        <v>#N/A</v>
      </c>
      <c r="AD2375" s="1058" t="s">
        <v>586</v>
      </c>
      <c r="AE2375" s="1059" t="e">
        <v>#N/A</v>
      </c>
      <c r="AF2375" s="889" t="s">
        <v>459</v>
      </c>
      <c r="AG2375" s="889" t="s">
        <v>459</v>
      </c>
    </row>
    <row r="2376" spans="26:33" x14ac:dyDescent="0.35">
      <c r="Z2376" s="344">
        <v>5631</v>
      </c>
      <c r="AA2376" s="344" t="s">
        <v>584</v>
      </c>
      <c r="AB2376" s="344">
        <v>4</v>
      </c>
      <c r="AC2376" s="344" t="s">
        <v>464</v>
      </c>
      <c r="AD2376" s="1058" t="s">
        <v>586</v>
      </c>
      <c r="AE2376" s="1059">
        <v>213569</v>
      </c>
      <c r="AF2376" s="889" t="s">
        <v>459</v>
      </c>
      <c r="AG2376" s="889" t="s">
        <v>459</v>
      </c>
    </row>
    <row r="2377" spans="26:33" x14ac:dyDescent="0.35">
      <c r="Z2377" s="344">
        <v>5632</v>
      </c>
      <c r="AA2377" s="344" t="s">
        <v>584</v>
      </c>
      <c r="AB2377" s="344">
        <v>4</v>
      </c>
      <c r="AC2377" s="344" t="e">
        <v>#N/A</v>
      </c>
      <c r="AD2377" s="1058" t="s">
        <v>586</v>
      </c>
      <c r="AE2377" s="1059" t="e">
        <v>#N/A</v>
      </c>
      <c r="AF2377" s="889" t="s">
        <v>459</v>
      </c>
      <c r="AG2377" s="889" t="s">
        <v>459</v>
      </c>
    </row>
    <row r="2378" spans="26:33" x14ac:dyDescent="0.35">
      <c r="Z2378" s="344">
        <v>5633</v>
      </c>
      <c r="AA2378" s="344" t="s">
        <v>584</v>
      </c>
      <c r="AB2378" s="344">
        <v>4</v>
      </c>
      <c r="AC2378" s="344" t="s">
        <v>464</v>
      </c>
      <c r="AD2378" s="1058" t="s">
        <v>586</v>
      </c>
      <c r="AE2378" s="1059">
        <v>149138</v>
      </c>
      <c r="AF2378" s="889" t="s">
        <v>459</v>
      </c>
      <c r="AG2378" s="889" t="s">
        <v>459</v>
      </c>
    </row>
    <row r="2379" spans="26:33" x14ac:dyDescent="0.35">
      <c r="Z2379" s="344">
        <v>5640</v>
      </c>
      <c r="AA2379" s="344" t="s">
        <v>584</v>
      </c>
      <c r="AB2379" s="344">
        <v>4</v>
      </c>
      <c r="AC2379" s="344" t="s">
        <v>464</v>
      </c>
      <c r="AD2379" s="1058" t="s">
        <v>586</v>
      </c>
      <c r="AE2379" s="1059">
        <v>199174</v>
      </c>
      <c r="AF2379" s="889" t="s">
        <v>459</v>
      </c>
      <c r="AG2379" s="889" t="s">
        <v>459</v>
      </c>
    </row>
    <row r="2380" spans="26:33" x14ac:dyDescent="0.35">
      <c r="Z2380" s="344">
        <v>5641</v>
      </c>
      <c r="AA2380" s="344" t="s">
        <v>584</v>
      </c>
      <c r="AB2380" s="344">
        <v>4</v>
      </c>
      <c r="AC2380" s="344" t="s">
        <v>464</v>
      </c>
      <c r="AD2380" s="1058" t="s">
        <v>586</v>
      </c>
      <c r="AE2380" s="1059">
        <v>193563</v>
      </c>
      <c r="AF2380" s="889" t="s">
        <v>459</v>
      </c>
      <c r="AG2380" s="889" t="s">
        <v>459</v>
      </c>
    </row>
    <row r="2381" spans="26:33" x14ac:dyDescent="0.35">
      <c r="Z2381" s="344">
        <v>5642</v>
      </c>
      <c r="AA2381" s="344" t="s">
        <v>584</v>
      </c>
      <c r="AB2381" s="344">
        <v>4</v>
      </c>
      <c r="AC2381" s="344" t="e">
        <v>#N/A</v>
      </c>
      <c r="AD2381" s="1058" t="s">
        <v>586</v>
      </c>
      <c r="AE2381" s="1059" t="e">
        <v>#N/A</v>
      </c>
      <c r="AF2381" s="889" t="s">
        <v>459</v>
      </c>
      <c r="AG2381" s="889" t="s">
        <v>459</v>
      </c>
    </row>
    <row r="2382" spans="26:33" x14ac:dyDescent="0.35">
      <c r="Z2382" s="344">
        <v>5650</v>
      </c>
      <c r="AA2382" s="344" t="s">
        <v>584</v>
      </c>
      <c r="AB2382" s="344">
        <v>4</v>
      </c>
      <c r="AC2382" s="344" t="e">
        <v>#N/A</v>
      </c>
      <c r="AD2382" s="1058" t="s">
        <v>586</v>
      </c>
      <c r="AE2382" s="1059" t="e">
        <v>#N/A</v>
      </c>
      <c r="AF2382" s="889" t="s">
        <v>459</v>
      </c>
      <c r="AG2382" s="889" t="s">
        <v>459</v>
      </c>
    </row>
    <row r="2383" spans="26:33" x14ac:dyDescent="0.35">
      <c r="Z2383" s="344">
        <v>5651</v>
      </c>
      <c r="AA2383" s="344" t="s">
        <v>584</v>
      </c>
      <c r="AB2383" s="344">
        <v>4</v>
      </c>
      <c r="AC2383" s="344" t="e">
        <v>#N/A</v>
      </c>
      <c r="AD2383" s="1058" t="s">
        <v>586</v>
      </c>
      <c r="AE2383" s="1059" t="e">
        <v>#N/A</v>
      </c>
      <c r="AF2383" s="889" t="s">
        <v>459</v>
      </c>
      <c r="AG2383" s="889" t="s">
        <v>459</v>
      </c>
    </row>
    <row r="2384" spans="26:33" x14ac:dyDescent="0.35">
      <c r="Z2384" s="344">
        <v>5652</v>
      </c>
      <c r="AA2384" s="344" t="s">
        <v>584</v>
      </c>
      <c r="AB2384" s="344">
        <v>4</v>
      </c>
      <c r="AC2384" s="344" t="s">
        <v>464</v>
      </c>
      <c r="AD2384" s="1058" t="s">
        <v>586</v>
      </c>
      <c r="AE2384" s="1059">
        <v>196919</v>
      </c>
      <c r="AF2384" s="889" t="s">
        <v>459</v>
      </c>
      <c r="AG2384" s="889" t="s">
        <v>459</v>
      </c>
    </row>
    <row r="2385" spans="26:33" x14ac:dyDescent="0.35">
      <c r="Z2385" s="344">
        <v>5653</v>
      </c>
      <c r="AA2385" s="344" t="s">
        <v>584</v>
      </c>
      <c r="AB2385" s="344">
        <v>4</v>
      </c>
      <c r="AC2385" s="344" t="e">
        <v>#N/A</v>
      </c>
      <c r="AD2385" s="1058" t="s">
        <v>586</v>
      </c>
      <c r="AE2385" s="1059" t="e">
        <v>#N/A</v>
      </c>
      <c r="AF2385" s="889" t="s">
        <v>459</v>
      </c>
      <c r="AG2385" s="889" t="s">
        <v>459</v>
      </c>
    </row>
    <row r="2386" spans="26:33" x14ac:dyDescent="0.35">
      <c r="Z2386" s="344">
        <v>5654</v>
      </c>
      <c r="AA2386" s="344" t="s">
        <v>584</v>
      </c>
      <c r="AB2386" s="344">
        <v>4</v>
      </c>
      <c r="AC2386" s="344" t="s">
        <v>464</v>
      </c>
      <c r="AD2386" s="1058" t="s">
        <v>586</v>
      </c>
      <c r="AE2386" s="1059">
        <v>109145</v>
      </c>
      <c r="AF2386" s="889" t="s">
        <v>459</v>
      </c>
      <c r="AG2386" s="889" t="s">
        <v>459</v>
      </c>
    </row>
    <row r="2387" spans="26:33" x14ac:dyDescent="0.35">
      <c r="Z2387" s="344">
        <v>5655</v>
      </c>
      <c r="AA2387" s="344" t="s">
        <v>584</v>
      </c>
      <c r="AB2387" s="344">
        <v>4</v>
      </c>
      <c r="AC2387" s="344" t="e">
        <v>#N/A</v>
      </c>
      <c r="AD2387" s="1058" t="s">
        <v>586</v>
      </c>
      <c r="AE2387" s="1059" t="e">
        <v>#N/A</v>
      </c>
      <c r="AF2387" s="889" t="s">
        <v>459</v>
      </c>
      <c r="AG2387" s="889" t="s">
        <v>459</v>
      </c>
    </row>
    <row r="2388" spans="26:33" x14ac:dyDescent="0.35">
      <c r="Z2388" s="344">
        <v>5660</v>
      </c>
      <c r="AA2388" s="344" t="s">
        <v>584</v>
      </c>
      <c r="AB2388" s="344">
        <v>4</v>
      </c>
      <c r="AC2388" s="344" t="e">
        <v>#N/A</v>
      </c>
      <c r="AD2388" s="1058" t="s">
        <v>586</v>
      </c>
      <c r="AE2388" s="1059" t="e">
        <v>#N/A</v>
      </c>
      <c r="AF2388" s="889" t="s">
        <v>459</v>
      </c>
      <c r="AG2388" s="889" t="s">
        <v>459</v>
      </c>
    </row>
    <row r="2389" spans="26:33" x14ac:dyDescent="0.35">
      <c r="Z2389" s="344">
        <v>5661</v>
      </c>
      <c r="AA2389" s="344" t="s">
        <v>584</v>
      </c>
      <c r="AB2389" s="344">
        <v>4</v>
      </c>
      <c r="AC2389" s="344" t="e">
        <v>#N/A</v>
      </c>
      <c r="AD2389" s="1058" t="s">
        <v>586</v>
      </c>
      <c r="AE2389" s="1059" t="e">
        <v>#N/A</v>
      </c>
      <c r="AF2389" s="889" t="s">
        <v>459</v>
      </c>
      <c r="AG2389" s="889" t="s">
        <v>459</v>
      </c>
    </row>
    <row r="2390" spans="26:33" x14ac:dyDescent="0.35">
      <c r="Z2390" s="344">
        <v>5670</v>
      </c>
      <c r="AA2390" s="344" t="s">
        <v>584</v>
      </c>
      <c r="AB2390" s="344">
        <v>4</v>
      </c>
      <c r="AC2390" s="344" t="s">
        <v>464</v>
      </c>
      <c r="AD2390" s="1058" t="s">
        <v>586</v>
      </c>
      <c r="AE2390" s="1059">
        <v>274162</v>
      </c>
      <c r="AF2390" s="889" t="s">
        <v>459</v>
      </c>
      <c r="AG2390" s="889" t="s">
        <v>459</v>
      </c>
    </row>
    <row r="2391" spans="26:33" x14ac:dyDescent="0.35">
      <c r="Z2391" s="344">
        <v>5671</v>
      </c>
      <c r="AA2391" s="344" t="s">
        <v>584</v>
      </c>
      <c r="AB2391" s="344">
        <v>4</v>
      </c>
      <c r="AC2391" s="344" t="e">
        <v>#N/A</v>
      </c>
      <c r="AD2391" s="1058" t="s">
        <v>586</v>
      </c>
      <c r="AE2391" s="1059" t="e">
        <v>#N/A</v>
      </c>
      <c r="AF2391" s="889" t="s">
        <v>459</v>
      </c>
      <c r="AG2391" s="889" t="s">
        <v>459</v>
      </c>
    </row>
    <row r="2392" spans="26:33" x14ac:dyDescent="0.35">
      <c r="Z2392" s="344">
        <v>5680</v>
      </c>
      <c r="AA2392" s="344" t="s">
        <v>584</v>
      </c>
      <c r="AB2392" s="344">
        <v>4</v>
      </c>
      <c r="AC2392" s="344" t="s">
        <v>464</v>
      </c>
      <c r="AD2392" s="1058" t="s">
        <v>586</v>
      </c>
      <c r="AE2392" s="1059">
        <v>275073</v>
      </c>
      <c r="AF2392" s="889" t="s">
        <v>459</v>
      </c>
      <c r="AG2392" s="889" t="s">
        <v>459</v>
      </c>
    </row>
    <row r="2393" spans="26:33" x14ac:dyDescent="0.35">
      <c r="Z2393" s="344">
        <v>5690</v>
      </c>
      <c r="AA2393" s="344" t="s">
        <v>584</v>
      </c>
      <c r="AB2393" s="344">
        <v>4</v>
      </c>
      <c r="AC2393" s="344" t="s">
        <v>464</v>
      </c>
      <c r="AD2393" s="1058" t="s">
        <v>586</v>
      </c>
      <c r="AE2393" s="1059">
        <v>249352</v>
      </c>
      <c r="AF2393" s="889" t="s">
        <v>459</v>
      </c>
      <c r="AG2393" s="889" t="s">
        <v>459</v>
      </c>
    </row>
    <row r="2394" spans="26:33" x14ac:dyDescent="0.35">
      <c r="Z2394" s="344">
        <v>5700</v>
      </c>
      <c r="AA2394" s="344" t="s">
        <v>584</v>
      </c>
      <c r="AB2394" s="344">
        <v>3</v>
      </c>
      <c r="AC2394" s="344" t="s">
        <v>464</v>
      </c>
      <c r="AD2394" s="1058" t="s">
        <v>587</v>
      </c>
      <c r="AE2394" s="1059">
        <v>210663</v>
      </c>
      <c r="AF2394" s="889" t="s">
        <v>460</v>
      </c>
      <c r="AG2394" s="889" t="s">
        <v>459</v>
      </c>
    </row>
    <row r="2395" spans="26:33" x14ac:dyDescent="0.35">
      <c r="Z2395" s="344">
        <v>5710</v>
      </c>
      <c r="AA2395" s="344" t="s">
        <v>584</v>
      </c>
      <c r="AB2395" s="344">
        <v>4</v>
      </c>
      <c r="AC2395" s="344" t="s">
        <v>464</v>
      </c>
      <c r="AD2395" s="1058" t="s">
        <v>586</v>
      </c>
      <c r="AE2395" s="1059">
        <v>238035</v>
      </c>
      <c r="AF2395" s="889" t="s">
        <v>459</v>
      </c>
      <c r="AG2395" s="889" t="s">
        <v>459</v>
      </c>
    </row>
    <row r="2396" spans="26:33" x14ac:dyDescent="0.35">
      <c r="Z2396" s="344">
        <v>5719</v>
      </c>
      <c r="AA2396" s="344" t="s">
        <v>584</v>
      </c>
      <c r="AB2396" s="344">
        <v>4</v>
      </c>
      <c r="AC2396" s="344"/>
      <c r="AD2396" s="1058" t="s">
        <v>586</v>
      </c>
      <c r="AE2396" s="1059"/>
      <c r="AF2396" s="889" t="s">
        <v>459</v>
      </c>
      <c r="AG2396" s="889" t="s">
        <v>459</v>
      </c>
    </row>
    <row r="2397" spans="26:33" x14ac:dyDescent="0.35">
      <c r="Z2397" s="344">
        <v>5720</v>
      </c>
      <c r="AA2397" s="344" t="s">
        <v>584</v>
      </c>
      <c r="AB2397" s="344">
        <v>4</v>
      </c>
      <c r="AC2397" s="344" t="e">
        <v>#N/A</v>
      </c>
      <c r="AD2397" s="1058" t="s">
        <v>586</v>
      </c>
      <c r="AE2397" s="1059" t="e">
        <v>#N/A</v>
      </c>
      <c r="AF2397" s="889" t="s">
        <v>459</v>
      </c>
      <c r="AG2397" s="889" t="s">
        <v>459</v>
      </c>
    </row>
    <row r="2398" spans="26:33" x14ac:dyDescent="0.35">
      <c r="Z2398" s="344">
        <v>5722</v>
      </c>
      <c r="AA2398" s="344" t="s">
        <v>584</v>
      </c>
      <c r="AB2398" s="344">
        <v>4</v>
      </c>
      <c r="AC2398" s="344" t="s">
        <v>464</v>
      </c>
      <c r="AD2398" s="1058" t="s">
        <v>586</v>
      </c>
      <c r="AE2398" s="1059">
        <v>194183</v>
      </c>
      <c r="AF2398" s="889" t="s">
        <v>459</v>
      </c>
      <c r="AG2398" s="889" t="s">
        <v>459</v>
      </c>
    </row>
    <row r="2399" spans="26:33" x14ac:dyDescent="0.35">
      <c r="Z2399" s="344">
        <v>5723</v>
      </c>
      <c r="AA2399" s="344" t="s">
        <v>584</v>
      </c>
      <c r="AB2399" s="344">
        <v>4</v>
      </c>
      <c r="AC2399" s="344" t="s">
        <v>464</v>
      </c>
      <c r="AD2399" s="1058" t="s">
        <v>586</v>
      </c>
      <c r="AE2399" s="1059">
        <v>121250</v>
      </c>
      <c r="AF2399" s="889" t="s">
        <v>459</v>
      </c>
      <c r="AG2399" s="889" t="s">
        <v>459</v>
      </c>
    </row>
    <row r="2400" spans="26:33" x14ac:dyDescent="0.35">
      <c r="Z2400" s="344">
        <v>5724</v>
      </c>
      <c r="AA2400" s="344" t="s">
        <v>584</v>
      </c>
      <c r="AB2400" s="344">
        <v>4</v>
      </c>
      <c r="AC2400" s="344" t="e">
        <v>#N/A</v>
      </c>
      <c r="AD2400" s="1058" t="s">
        <v>586</v>
      </c>
      <c r="AE2400" s="1059" t="e">
        <v>#N/A</v>
      </c>
      <c r="AF2400" s="889" t="s">
        <v>459</v>
      </c>
      <c r="AG2400" s="889" t="s">
        <v>459</v>
      </c>
    </row>
    <row r="2401" spans="26:33" x14ac:dyDescent="0.35">
      <c r="Z2401" s="344">
        <v>5725</v>
      </c>
      <c r="AA2401" s="344" t="s">
        <v>584</v>
      </c>
      <c r="AB2401" s="344">
        <v>4</v>
      </c>
      <c r="AC2401" s="344" t="s">
        <v>471</v>
      </c>
      <c r="AD2401" s="1058" t="s">
        <v>586</v>
      </c>
      <c r="AE2401" s="1059">
        <v>388397</v>
      </c>
      <c r="AF2401" s="889" t="s">
        <v>459</v>
      </c>
      <c r="AG2401" s="889" t="s">
        <v>459</v>
      </c>
    </row>
    <row r="2402" spans="26:33" x14ac:dyDescent="0.35">
      <c r="Z2402" s="344">
        <v>5730</v>
      </c>
      <c r="AA2402" s="344" t="s">
        <v>584</v>
      </c>
      <c r="AB2402" s="344">
        <v>4</v>
      </c>
      <c r="AC2402" s="344" t="e">
        <v>#N/A</v>
      </c>
      <c r="AD2402" s="1058" t="s">
        <v>586</v>
      </c>
      <c r="AE2402" s="1059" t="e">
        <v>#N/A</v>
      </c>
      <c r="AF2402" s="889" t="s">
        <v>459</v>
      </c>
      <c r="AG2402" s="889" t="s">
        <v>459</v>
      </c>
    </row>
    <row r="2403" spans="26:33" x14ac:dyDescent="0.35">
      <c r="Z2403" s="344">
        <v>5731</v>
      </c>
      <c r="AA2403" s="344" t="s">
        <v>584</v>
      </c>
      <c r="AB2403" s="344">
        <v>4</v>
      </c>
      <c r="AC2403" s="344" t="e">
        <v>#N/A</v>
      </c>
      <c r="AD2403" s="1058" t="s">
        <v>586</v>
      </c>
      <c r="AE2403" s="1059" t="e">
        <v>#N/A</v>
      </c>
      <c r="AF2403" s="889" t="s">
        <v>459</v>
      </c>
      <c r="AG2403" s="889" t="s">
        <v>459</v>
      </c>
    </row>
    <row r="2404" spans="26:33" x14ac:dyDescent="0.35">
      <c r="Z2404" s="344">
        <v>5732</v>
      </c>
      <c r="AA2404" s="344" t="s">
        <v>584</v>
      </c>
      <c r="AB2404" s="344">
        <v>4</v>
      </c>
      <c r="AC2404" s="344" t="e">
        <v>#N/A</v>
      </c>
      <c r="AD2404" s="1058" t="s">
        <v>586</v>
      </c>
      <c r="AE2404" s="1059" t="e">
        <v>#N/A</v>
      </c>
      <c r="AF2404" s="889" t="s">
        <v>459</v>
      </c>
      <c r="AG2404" s="889" t="s">
        <v>459</v>
      </c>
    </row>
    <row r="2405" spans="26:33" x14ac:dyDescent="0.35">
      <c r="Z2405" s="344">
        <v>5733</v>
      </c>
      <c r="AA2405" s="344" t="s">
        <v>584</v>
      </c>
      <c r="AB2405" s="344">
        <v>4</v>
      </c>
      <c r="AC2405" s="344" t="e">
        <v>#N/A</v>
      </c>
      <c r="AD2405" s="1058" t="s">
        <v>586</v>
      </c>
      <c r="AE2405" s="1059" t="e">
        <v>#N/A</v>
      </c>
      <c r="AF2405" s="889" t="s">
        <v>459</v>
      </c>
      <c r="AG2405" s="889" t="s">
        <v>459</v>
      </c>
    </row>
    <row r="2406" spans="26:33" x14ac:dyDescent="0.35">
      <c r="Z2406" s="344">
        <v>5734</v>
      </c>
      <c r="AA2406" s="344" t="s">
        <v>584</v>
      </c>
      <c r="AB2406" s="344">
        <v>4</v>
      </c>
      <c r="AC2406" s="344" t="e">
        <v>#N/A</v>
      </c>
      <c r="AD2406" s="1058" t="s">
        <v>586</v>
      </c>
      <c r="AE2406" s="1059" t="e">
        <v>#N/A</v>
      </c>
      <c r="AF2406" s="889" t="s">
        <v>459</v>
      </c>
      <c r="AG2406" s="889" t="s">
        <v>459</v>
      </c>
    </row>
    <row r="2407" spans="26:33" x14ac:dyDescent="0.35">
      <c r="Z2407" s="344">
        <v>5942</v>
      </c>
      <c r="AA2407" s="344" t="s">
        <v>584</v>
      </c>
      <c r="AB2407" s="344">
        <v>4</v>
      </c>
      <c r="AC2407" s="344" t="e">
        <v>#N/A</v>
      </c>
      <c r="AD2407" s="1058" t="s">
        <v>586</v>
      </c>
      <c r="AE2407" s="1059" t="e">
        <v>#N/A</v>
      </c>
      <c r="AF2407" s="889" t="s">
        <v>459</v>
      </c>
      <c r="AG2407" s="889" t="s">
        <v>459</v>
      </c>
    </row>
    <row r="2408" spans="26:33" x14ac:dyDescent="0.35">
      <c r="Z2408" s="344">
        <v>6000</v>
      </c>
      <c r="AA2408" s="344" t="s">
        <v>589</v>
      </c>
      <c r="AB2408" s="344">
        <v>1</v>
      </c>
      <c r="AC2408" s="344" t="s">
        <v>479</v>
      </c>
      <c r="AD2408" s="1058" t="s">
        <v>590</v>
      </c>
      <c r="AE2408" s="1059">
        <v>835785</v>
      </c>
      <c r="AF2408" s="889" t="s">
        <v>459</v>
      </c>
      <c r="AG2408" s="889" t="s">
        <v>460</v>
      </c>
    </row>
    <row r="2409" spans="26:33" x14ac:dyDescent="0.35">
      <c r="Z2409" s="344">
        <v>6001</v>
      </c>
      <c r="AA2409" s="344" t="s">
        <v>589</v>
      </c>
      <c r="AB2409" s="344">
        <v>1</v>
      </c>
      <c r="AC2409" s="344" t="e">
        <v>#N/A</v>
      </c>
      <c r="AD2409" s="1058" t="s">
        <v>590</v>
      </c>
      <c r="AE2409" s="1059" t="e">
        <v>#N/A</v>
      </c>
      <c r="AF2409" s="889" t="s">
        <v>459</v>
      </c>
      <c r="AG2409" s="889" t="s">
        <v>459</v>
      </c>
    </row>
    <row r="2410" spans="26:33" x14ac:dyDescent="0.35">
      <c r="Z2410" s="344">
        <v>6002</v>
      </c>
      <c r="AA2410" s="344" t="s">
        <v>589</v>
      </c>
      <c r="AB2410" s="344">
        <v>1</v>
      </c>
      <c r="AC2410" s="344" t="e">
        <v>#N/A</v>
      </c>
      <c r="AD2410" s="1058" t="s">
        <v>590</v>
      </c>
      <c r="AE2410" s="1059" t="e">
        <v>#N/A</v>
      </c>
      <c r="AF2410" s="889" t="s">
        <v>459</v>
      </c>
      <c r="AG2410" s="889" t="s">
        <v>459</v>
      </c>
    </row>
    <row r="2411" spans="26:33" x14ac:dyDescent="0.35">
      <c r="Z2411" s="344">
        <v>6003</v>
      </c>
      <c r="AA2411" s="344" t="s">
        <v>589</v>
      </c>
      <c r="AB2411" s="344">
        <v>1</v>
      </c>
      <c r="AC2411" s="344" t="s">
        <v>457</v>
      </c>
      <c r="AD2411" s="1058" t="s">
        <v>590</v>
      </c>
      <c r="AE2411" s="1059">
        <v>738424</v>
      </c>
      <c r="AF2411" s="889" t="s">
        <v>459</v>
      </c>
      <c r="AG2411" s="889" t="s">
        <v>460</v>
      </c>
    </row>
    <row r="2412" spans="26:33" x14ac:dyDescent="0.35">
      <c r="Z2412" s="344">
        <v>6004</v>
      </c>
      <c r="AA2412" s="344" t="s">
        <v>589</v>
      </c>
      <c r="AB2412" s="344">
        <v>1</v>
      </c>
      <c r="AC2412" s="344" t="s">
        <v>482</v>
      </c>
      <c r="AD2412" s="1058" t="s">
        <v>590</v>
      </c>
      <c r="AE2412" s="1059">
        <v>1285214</v>
      </c>
      <c r="AF2412" s="889" t="s">
        <v>460</v>
      </c>
      <c r="AG2412" s="889" t="s">
        <v>460</v>
      </c>
    </row>
    <row r="2413" spans="26:33" x14ac:dyDescent="0.35">
      <c r="Z2413" s="344">
        <v>6005</v>
      </c>
      <c r="AA2413" s="344" t="s">
        <v>589</v>
      </c>
      <c r="AB2413" s="344">
        <v>1</v>
      </c>
      <c r="AC2413" s="344" t="s">
        <v>457</v>
      </c>
      <c r="AD2413" s="1058" t="s">
        <v>590</v>
      </c>
      <c r="AE2413" s="1059">
        <v>717077</v>
      </c>
      <c r="AF2413" s="889" t="s">
        <v>459</v>
      </c>
      <c r="AG2413" s="889" t="s">
        <v>460</v>
      </c>
    </row>
    <row r="2414" spans="26:33" x14ac:dyDescent="0.35">
      <c r="Z2414" s="344">
        <v>6006</v>
      </c>
      <c r="AA2414" s="344" t="s">
        <v>589</v>
      </c>
      <c r="AB2414" s="344">
        <v>1</v>
      </c>
      <c r="AC2414" s="344" t="s">
        <v>482</v>
      </c>
      <c r="AD2414" s="1058" t="s">
        <v>590</v>
      </c>
      <c r="AE2414" s="1059">
        <v>973875</v>
      </c>
      <c r="AF2414" s="889" t="s">
        <v>459</v>
      </c>
      <c r="AG2414" s="889" t="s">
        <v>459</v>
      </c>
    </row>
    <row r="2415" spans="26:33" x14ac:dyDescent="0.35">
      <c r="Z2415" s="344">
        <v>6007</v>
      </c>
      <c r="AA2415" s="344" t="s">
        <v>589</v>
      </c>
      <c r="AB2415" s="344">
        <v>1</v>
      </c>
      <c r="AC2415" s="344" t="s">
        <v>482</v>
      </c>
      <c r="AD2415" s="1058" t="s">
        <v>590</v>
      </c>
      <c r="AE2415" s="1059">
        <v>971912</v>
      </c>
      <c r="AF2415" s="889" t="s">
        <v>459</v>
      </c>
      <c r="AG2415" s="889" t="s">
        <v>459</v>
      </c>
    </row>
    <row r="2416" spans="26:33" x14ac:dyDescent="0.35">
      <c r="Z2416" s="344">
        <v>6008</v>
      </c>
      <c r="AA2416" s="344" t="s">
        <v>589</v>
      </c>
      <c r="AB2416" s="344">
        <v>1</v>
      </c>
      <c r="AC2416" s="344" t="s">
        <v>482</v>
      </c>
      <c r="AD2416" s="1058" t="s">
        <v>590</v>
      </c>
      <c r="AE2416" s="1059">
        <v>1168752</v>
      </c>
      <c r="AF2416" s="889" t="s">
        <v>459</v>
      </c>
      <c r="AG2416" s="889" t="s">
        <v>460</v>
      </c>
    </row>
    <row r="2417" spans="26:33" x14ac:dyDescent="0.35">
      <c r="Z2417" s="344">
        <v>6009</v>
      </c>
      <c r="AA2417" s="344" t="s">
        <v>589</v>
      </c>
      <c r="AB2417" s="344">
        <v>1</v>
      </c>
      <c r="AC2417" s="344" t="s">
        <v>482</v>
      </c>
      <c r="AD2417" s="1058" t="s">
        <v>590</v>
      </c>
      <c r="AE2417" s="1059">
        <v>1667338</v>
      </c>
      <c r="AF2417" s="889" t="s">
        <v>459</v>
      </c>
      <c r="AG2417" s="889" t="s">
        <v>459</v>
      </c>
    </row>
    <row r="2418" spans="26:33" x14ac:dyDescent="0.35">
      <c r="Z2418" s="344">
        <v>6010</v>
      </c>
      <c r="AA2418" s="344" t="s">
        <v>589</v>
      </c>
      <c r="AB2418" s="344">
        <v>1</v>
      </c>
      <c r="AC2418" s="344" t="s">
        <v>482</v>
      </c>
      <c r="AD2418" s="1058" t="s">
        <v>590</v>
      </c>
      <c r="AE2418" s="1059">
        <v>1387948</v>
      </c>
      <c r="AF2418" s="889" t="s">
        <v>459</v>
      </c>
      <c r="AG2418" s="889" t="s">
        <v>459</v>
      </c>
    </row>
    <row r="2419" spans="26:33" x14ac:dyDescent="0.35">
      <c r="Z2419" s="344">
        <v>6011</v>
      </c>
      <c r="AA2419" s="344" t="s">
        <v>589</v>
      </c>
      <c r="AB2419" s="344">
        <v>1</v>
      </c>
      <c r="AC2419" s="344" t="s">
        <v>482</v>
      </c>
      <c r="AD2419" s="1058" t="s">
        <v>590</v>
      </c>
      <c r="AE2419" s="1059">
        <v>2752282</v>
      </c>
      <c r="AF2419" s="889" t="s">
        <v>459</v>
      </c>
      <c r="AG2419" s="889" t="s">
        <v>459</v>
      </c>
    </row>
    <row r="2420" spans="26:33" x14ac:dyDescent="0.35">
      <c r="Z2420" s="344">
        <v>6012</v>
      </c>
      <c r="AA2420" s="344" t="s">
        <v>589</v>
      </c>
      <c r="AB2420" s="344">
        <v>1</v>
      </c>
      <c r="AC2420" s="344" t="s">
        <v>482</v>
      </c>
      <c r="AD2420" s="1058" t="s">
        <v>590</v>
      </c>
      <c r="AE2420" s="1059">
        <v>1403700</v>
      </c>
      <c r="AF2420" s="889" t="s">
        <v>459</v>
      </c>
      <c r="AG2420" s="889" t="s">
        <v>459</v>
      </c>
    </row>
    <row r="2421" spans="26:33" x14ac:dyDescent="0.35">
      <c r="Z2421" s="344">
        <v>6013</v>
      </c>
      <c r="AA2421" s="344" t="s">
        <v>589</v>
      </c>
      <c r="AB2421" s="344">
        <v>1</v>
      </c>
      <c r="AC2421" s="344" t="e">
        <v>#N/A</v>
      </c>
      <c r="AD2421" s="1058" t="s">
        <v>590</v>
      </c>
      <c r="AE2421" s="1059" t="e">
        <v>#N/A</v>
      </c>
      <c r="AF2421" s="889" t="s">
        <v>459</v>
      </c>
      <c r="AG2421" s="889" t="s">
        <v>459</v>
      </c>
    </row>
    <row r="2422" spans="26:33" x14ac:dyDescent="0.35">
      <c r="Z2422" s="344">
        <v>6014</v>
      </c>
      <c r="AA2422" s="344" t="s">
        <v>589</v>
      </c>
      <c r="AB2422" s="344">
        <v>1</v>
      </c>
      <c r="AC2422" s="344" t="s">
        <v>482</v>
      </c>
      <c r="AD2422" s="1058" t="s">
        <v>590</v>
      </c>
      <c r="AE2422" s="1059">
        <v>1187379</v>
      </c>
      <c r="AF2422" s="889" t="s">
        <v>459</v>
      </c>
      <c r="AG2422" s="889" t="s">
        <v>459</v>
      </c>
    </row>
    <row r="2423" spans="26:33" x14ac:dyDescent="0.35">
      <c r="Z2423" s="344">
        <v>6015</v>
      </c>
      <c r="AA2423" s="344" t="s">
        <v>589</v>
      </c>
      <c r="AB2423" s="344">
        <v>1</v>
      </c>
      <c r="AC2423" s="344" t="s">
        <v>482</v>
      </c>
      <c r="AD2423" s="1058" t="s">
        <v>590</v>
      </c>
      <c r="AE2423" s="1059">
        <v>1724384</v>
      </c>
      <c r="AF2423" s="889" t="s">
        <v>459</v>
      </c>
      <c r="AG2423" s="889" t="s">
        <v>459</v>
      </c>
    </row>
    <row r="2424" spans="26:33" x14ac:dyDescent="0.35">
      <c r="Z2424" s="344">
        <v>6016</v>
      </c>
      <c r="AA2424" s="344" t="s">
        <v>589</v>
      </c>
      <c r="AB2424" s="344">
        <v>1</v>
      </c>
      <c r="AC2424" s="344" t="s">
        <v>457</v>
      </c>
      <c r="AD2424" s="1058" t="s">
        <v>590</v>
      </c>
      <c r="AE2424" s="1059">
        <v>680660</v>
      </c>
      <c r="AF2424" s="889" t="s">
        <v>459</v>
      </c>
      <c r="AG2424" s="889" t="s">
        <v>459</v>
      </c>
    </row>
    <row r="2425" spans="26:33" x14ac:dyDescent="0.35">
      <c r="Z2425" s="344">
        <v>6017</v>
      </c>
      <c r="AA2425" s="344" t="s">
        <v>589</v>
      </c>
      <c r="AB2425" s="344">
        <v>1</v>
      </c>
      <c r="AC2425" s="344" t="s">
        <v>457</v>
      </c>
      <c r="AD2425" s="1058" t="s">
        <v>590</v>
      </c>
      <c r="AE2425" s="1059">
        <v>508351</v>
      </c>
      <c r="AF2425" s="889" t="s">
        <v>460</v>
      </c>
      <c r="AG2425" s="889" t="s">
        <v>459</v>
      </c>
    </row>
    <row r="2426" spans="26:33" x14ac:dyDescent="0.35">
      <c r="Z2426" s="344">
        <v>6018</v>
      </c>
      <c r="AA2426" s="344" t="s">
        <v>589</v>
      </c>
      <c r="AB2426" s="344">
        <v>1</v>
      </c>
      <c r="AC2426" s="344" t="s">
        <v>479</v>
      </c>
      <c r="AD2426" s="1058" t="s">
        <v>590</v>
      </c>
      <c r="AE2426" s="1059">
        <v>886974</v>
      </c>
      <c r="AF2426" s="889" t="s">
        <v>459</v>
      </c>
      <c r="AG2426" s="889" t="s">
        <v>459</v>
      </c>
    </row>
    <row r="2427" spans="26:33" x14ac:dyDescent="0.35">
      <c r="Z2427" s="344">
        <v>6019</v>
      </c>
      <c r="AA2427" s="344" t="s">
        <v>589</v>
      </c>
      <c r="AB2427" s="344">
        <v>1</v>
      </c>
      <c r="AC2427" s="344" t="s">
        <v>482</v>
      </c>
      <c r="AD2427" s="1058" t="s">
        <v>590</v>
      </c>
      <c r="AE2427" s="1059">
        <v>903463</v>
      </c>
      <c r="AF2427" s="889" t="s">
        <v>459</v>
      </c>
      <c r="AG2427" s="889" t="s">
        <v>269</v>
      </c>
    </row>
    <row r="2428" spans="26:33" x14ac:dyDescent="0.35">
      <c r="Z2428" s="344">
        <v>6020</v>
      </c>
      <c r="AA2428" s="344" t="s">
        <v>589</v>
      </c>
      <c r="AB2428" s="344">
        <v>1</v>
      </c>
      <c r="AC2428" s="344" t="s">
        <v>482</v>
      </c>
      <c r="AD2428" s="1058" t="s">
        <v>590</v>
      </c>
      <c r="AE2428" s="1059">
        <v>1008866</v>
      </c>
      <c r="AF2428" s="889" t="s">
        <v>459</v>
      </c>
      <c r="AG2428" s="889" t="s">
        <v>459</v>
      </c>
    </row>
    <row r="2429" spans="26:33" x14ac:dyDescent="0.35">
      <c r="Z2429" s="344">
        <v>6021</v>
      </c>
      <c r="AA2429" s="344" t="s">
        <v>589</v>
      </c>
      <c r="AB2429" s="344">
        <v>1</v>
      </c>
      <c r="AC2429" s="344" t="s">
        <v>457</v>
      </c>
      <c r="AD2429" s="1058" t="s">
        <v>590</v>
      </c>
      <c r="AE2429" s="1059">
        <v>714888</v>
      </c>
      <c r="AF2429" s="889" t="s">
        <v>459</v>
      </c>
      <c r="AG2429" s="889" t="s">
        <v>459</v>
      </c>
    </row>
    <row r="2430" spans="26:33" x14ac:dyDescent="0.35">
      <c r="Z2430" s="344">
        <v>6022</v>
      </c>
      <c r="AA2430" s="344" t="s">
        <v>589</v>
      </c>
      <c r="AB2430" s="344">
        <v>1</v>
      </c>
      <c r="AC2430" s="344" t="s">
        <v>457</v>
      </c>
      <c r="AD2430" s="1058" t="s">
        <v>590</v>
      </c>
      <c r="AE2430" s="1059">
        <v>600609</v>
      </c>
      <c r="AF2430" s="889" t="s">
        <v>459</v>
      </c>
      <c r="AG2430" s="889" t="s">
        <v>459</v>
      </c>
    </row>
    <row r="2431" spans="26:33" x14ac:dyDescent="0.35">
      <c r="Z2431" s="344">
        <v>6023</v>
      </c>
      <c r="AA2431" s="344" t="s">
        <v>589</v>
      </c>
      <c r="AB2431" s="344">
        <v>1</v>
      </c>
      <c r="AC2431" s="344" t="s">
        <v>457</v>
      </c>
      <c r="AD2431" s="1058" t="s">
        <v>590</v>
      </c>
      <c r="AE2431" s="1059">
        <v>730105</v>
      </c>
      <c r="AF2431" s="889" t="s">
        <v>459</v>
      </c>
      <c r="AG2431" s="889" t="s">
        <v>459</v>
      </c>
    </row>
    <row r="2432" spans="26:33" x14ac:dyDescent="0.35">
      <c r="Z2432" s="344">
        <v>6024</v>
      </c>
      <c r="AA2432" s="344" t="s">
        <v>589</v>
      </c>
      <c r="AB2432" s="344">
        <v>1</v>
      </c>
      <c r="AC2432" s="344" t="s">
        <v>457</v>
      </c>
      <c r="AD2432" s="1058" t="s">
        <v>590</v>
      </c>
      <c r="AE2432" s="1059">
        <v>575662</v>
      </c>
      <c r="AF2432" s="889" t="s">
        <v>459</v>
      </c>
      <c r="AG2432" s="889" t="s">
        <v>459</v>
      </c>
    </row>
    <row r="2433" spans="26:33" x14ac:dyDescent="0.35">
      <c r="Z2433" s="344">
        <v>6025</v>
      </c>
      <c r="AA2433" s="344" t="s">
        <v>589</v>
      </c>
      <c r="AB2433" s="344">
        <v>1</v>
      </c>
      <c r="AC2433" s="344" t="s">
        <v>457</v>
      </c>
      <c r="AD2433" s="1058" t="s">
        <v>590</v>
      </c>
      <c r="AE2433" s="1059">
        <v>638335</v>
      </c>
      <c r="AF2433" s="889" t="s">
        <v>459</v>
      </c>
      <c r="AG2433" s="889" t="s">
        <v>459</v>
      </c>
    </row>
    <row r="2434" spans="26:33" x14ac:dyDescent="0.35">
      <c r="Z2434" s="344">
        <v>6026</v>
      </c>
      <c r="AA2434" s="344" t="s">
        <v>589</v>
      </c>
      <c r="AB2434" s="344">
        <v>1</v>
      </c>
      <c r="AC2434" s="344" t="s">
        <v>457</v>
      </c>
      <c r="AD2434" s="1058" t="s">
        <v>590</v>
      </c>
      <c r="AE2434" s="1059">
        <v>646516</v>
      </c>
      <c r="AF2434" s="889" t="s">
        <v>459</v>
      </c>
      <c r="AG2434" s="889" t="s">
        <v>459</v>
      </c>
    </row>
    <row r="2435" spans="26:33" x14ac:dyDescent="0.35">
      <c r="Z2435" s="344">
        <v>6027</v>
      </c>
      <c r="AA2435" s="344" t="s">
        <v>589</v>
      </c>
      <c r="AB2435" s="344">
        <v>1</v>
      </c>
      <c r="AC2435" s="344" t="s">
        <v>457</v>
      </c>
      <c r="AD2435" s="1058" t="s">
        <v>590</v>
      </c>
      <c r="AE2435" s="1059">
        <v>613808</v>
      </c>
      <c r="AF2435" s="889" t="s">
        <v>459</v>
      </c>
      <c r="AG2435" s="889" t="s">
        <v>460</v>
      </c>
    </row>
    <row r="2436" spans="26:33" x14ac:dyDescent="0.35">
      <c r="Z2436" s="344">
        <v>6028</v>
      </c>
      <c r="AA2436" s="344" t="s">
        <v>589</v>
      </c>
      <c r="AB2436" s="344">
        <v>1</v>
      </c>
      <c r="AC2436" s="344" t="s">
        <v>457</v>
      </c>
      <c r="AD2436" s="1058" t="s">
        <v>590</v>
      </c>
      <c r="AE2436" s="1059">
        <v>741695</v>
      </c>
      <c r="AF2436" s="889" t="s">
        <v>459</v>
      </c>
      <c r="AG2436" s="889" t="s">
        <v>459</v>
      </c>
    </row>
    <row r="2437" spans="26:33" x14ac:dyDescent="0.35">
      <c r="Z2437" s="344">
        <v>6029</v>
      </c>
      <c r="AA2437" s="344" t="s">
        <v>589</v>
      </c>
      <c r="AB2437" s="344">
        <v>1</v>
      </c>
      <c r="AC2437" s="344" t="s">
        <v>482</v>
      </c>
      <c r="AD2437" s="1058" t="s">
        <v>590</v>
      </c>
      <c r="AE2437" s="1059">
        <v>1147785</v>
      </c>
      <c r="AF2437" s="889" t="s">
        <v>459</v>
      </c>
      <c r="AG2437" s="889" t="s">
        <v>459</v>
      </c>
    </row>
    <row r="2438" spans="26:33" x14ac:dyDescent="0.35">
      <c r="Z2438" s="344">
        <v>6030</v>
      </c>
      <c r="AA2438" s="344" t="s">
        <v>589</v>
      </c>
      <c r="AB2438" s="344">
        <v>1</v>
      </c>
      <c r="AC2438" s="344" t="s">
        <v>457</v>
      </c>
      <c r="AD2438" s="1058" t="s">
        <v>590</v>
      </c>
      <c r="AE2438" s="1059">
        <v>500557</v>
      </c>
      <c r="AF2438" s="889" t="s">
        <v>459</v>
      </c>
      <c r="AG2438" s="889" t="s">
        <v>459</v>
      </c>
    </row>
    <row r="2439" spans="26:33" x14ac:dyDescent="0.35">
      <c r="Z2439" s="344">
        <v>6031</v>
      </c>
      <c r="AA2439" s="344" t="s">
        <v>589</v>
      </c>
      <c r="AB2439" s="344">
        <v>1</v>
      </c>
      <c r="AC2439" s="344" t="s">
        <v>457</v>
      </c>
      <c r="AD2439" s="1058" t="s">
        <v>590</v>
      </c>
      <c r="AE2439" s="1059">
        <v>517466</v>
      </c>
      <c r="AF2439" s="889" t="s">
        <v>460</v>
      </c>
      <c r="AG2439" s="889" t="s">
        <v>459</v>
      </c>
    </row>
    <row r="2440" spans="26:33" x14ac:dyDescent="0.35">
      <c r="Z2440" s="344">
        <v>6032</v>
      </c>
      <c r="AA2440" s="344" t="s">
        <v>589</v>
      </c>
      <c r="AB2440" s="344">
        <v>1</v>
      </c>
      <c r="AC2440" s="344" t="e">
        <v>#N/A</v>
      </c>
      <c r="AD2440" s="1058" t="s">
        <v>590</v>
      </c>
      <c r="AE2440" s="1059" t="e">
        <v>#N/A</v>
      </c>
      <c r="AF2440" s="889" t="s">
        <v>459</v>
      </c>
      <c r="AG2440" s="889" t="s">
        <v>459</v>
      </c>
    </row>
    <row r="2441" spans="26:33" x14ac:dyDescent="0.35">
      <c r="Z2441" s="344">
        <v>6033</v>
      </c>
      <c r="AA2441" s="344" t="s">
        <v>589</v>
      </c>
      <c r="AB2441" s="344">
        <v>1</v>
      </c>
      <c r="AC2441" s="344" t="e">
        <v>#N/A</v>
      </c>
      <c r="AD2441" s="1058" t="s">
        <v>590</v>
      </c>
      <c r="AE2441" s="1059" t="e">
        <v>#N/A</v>
      </c>
      <c r="AF2441" s="889" t="s">
        <v>459</v>
      </c>
      <c r="AG2441" s="889" t="s">
        <v>459</v>
      </c>
    </row>
    <row r="2442" spans="26:33" x14ac:dyDescent="0.35">
      <c r="Z2442" s="344">
        <v>6034</v>
      </c>
      <c r="AA2442" s="344" t="s">
        <v>589</v>
      </c>
      <c r="AB2442" s="344">
        <v>1</v>
      </c>
      <c r="AC2442" s="344" t="s">
        <v>471</v>
      </c>
      <c r="AD2442" s="1058" t="s">
        <v>590</v>
      </c>
      <c r="AE2442" s="1059">
        <v>350182</v>
      </c>
      <c r="AF2442" s="889" t="s">
        <v>459</v>
      </c>
      <c r="AG2442" s="889" t="s">
        <v>459</v>
      </c>
    </row>
    <row r="2443" spans="26:33" x14ac:dyDescent="0.35">
      <c r="Z2443" s="344">
        <v>6035</v>
      </c>
      <c r="AA2443" s="344" t="s">
        <v>589</v>
      </c>
      <c r="AB2443" s="344">
        <v>1</v>
      </c>
      <c r="AC2443" s="344" t="s">
        <v>457</v>
      </c>
      <c r="AD2443" s="1058" t="s">
        <v>590</v>
      </c>
      <c r="AE2443" s="1059">
        <v>465952</v>
      </c>
      <c r="AF2443" s="889" t="s">
        <v>460</v>
      </c>
      <c r="AG2443" s="889" t="s">
        <v>459</v>
      </c>
    </row>
    <row r="2444" spans="26:33" x14ac:dyDescent="0.35">
      <c r="Z2444" s="344">
        <v>6036</v>
      </c>
      <c r="AA2444" s="344" t="s">
        <v>589</v>
      </c>
      <c r="AB2444" s="344">
        <v>1</v>
      </c>
      <c r="AC2444" s="344" t="s">
        <v>457</v>
      </c>
      <c r="AD2444" s="1058" t="s">
        <v>590</v>
      </c>
      <c r="AE2444" s="1059">
        <v>577419</v>
      </c>
      <c r="AF2444" s="889" t="s">
        <v>460</v>
      </c>
      <c r="AG2444" s="889" t="s">
        <v>459</v>
      </c>
    </row>
    <row r="2445" spans="26:33" x14ac:dyDescent="0.35">
      <c r="Z2445" s="344">
        <v>6037</v>
      </c>
      <c r="AA2445" s="344" t="s">
        <v>589</v>
      </c>
      <c r="AB2445" s="344">
        <v>1</v>
      </c>
      <c r="AC2445" s="344" t="s">
        <v>471</v>
      </c>
      <c r="AD2445" s="1058" t="s">
        <v>590</v>
      </c>
      <c r="AE2445" s="1059">
        <v>394887</v>
      </c>
      <c r="AF2445" s="889" t="s">
        <v>460</v>
      </c>
      <c r="AG2445" s="889" t="s">
        <v>459</v>
      </c>
    </row>
    <row r="2446" spans="26:33" x14ac:dyDescent="0.35">
      <c r="Z2446" s="344">
        <v>6038</v>
      </c>
      <c r="AA2446" s="344" t="s">
        <v>589</v>
      </c>
      <c r="AB2446" s="344">
        <v>1</v>
      </c>
      <c r="AC2446" s="344" t="s">
        <v>471</v>
      </c>
      <c r="AD2446" s="1058" t="s">
        <v>590</v>
      </c>
      <c r="AE2446" s="1059">
        <v>415351</v>
      </c>
      <c r="AF2446" s="889" t="s">
        <v>459</v>
      </c>
      <c r="AG2446" s="889" t="s">
        <v>459</v>
      </c>
    </row>
    <row r="2447" spans="26:33" x14ac:dyDescent="0.35">
      <c r="Z2447" s="344">
        <v>6039</v>
      </c>
      <c r="AA2447" s="344" t="s">
        <v>589</v>
      </c>
      <c r="AB2447" s="344">
        <v>1</v>
      </c>
      <c r="AC2447" s="344" t="e">
        <v>#N/A</v>
      </c>
      <c r="AD2447" s="1058" t="s">
        <v>590</v>
      </c>
      <c r="AE2447" s="1059" t="e">
        <v>#N/A</v>
      </c>
      <c r="AF2447" s="889" t="s">
        <v>459</v>
      </c>
      <c r="AG2447" s="889" t="s">
        <v>459</v>
      </c>
    </row>
    <row r="2448" spans="26:33" x14ac:dyDescent="0.35">
      <c r="Z2448" s="344">
        <v>6040</v>
      </c>
      <c r="AA2448" s="344" t="s">
        <v>589</v>
      </c>
      <c r="AB2448" s="344">
        <v>1</v>
      </c>
      <c r="AC2448" s="344" t="e">
        <v>#N/A</v>
      </c>
      <c r="AD2448" s="1058" t="s">
        <v>590</v>
      </c>
      <c r="AE2448" s="1059" t="e">
        <v>#N/A</v>
      </c>
      <c r="AF2448" s="889" t="s">
        <v>459</v>
      </c>
      <c r="AG2448" s="889" t="s">
        <v>459</v>
      </c>
    </row>
    <row r="2449" spans="26:33" x14ac:dyDescent="0.35">
      <c r="Z2449" s="344">
        <v>6041</v>
      </c>
      <c r="AA2449" s="344" t="s">
        <v>589</v>
      </c>
      <c r="AB2449" s="344">
        <v>1</v>
      </c>
      <c r="AC2449" s="344" t="s">
        <v>457</v>
      </c>
      <c r="AD2449" s="1058" t="s">
        <v>590</v>
      </c>
      <c r="AE2449" s="1059">
        <v>554176</v>
      </c>
      <c r="AF2449" s="889" t="s">
        <v>459</v>
      </c>
      <c r="AG2449" s="889" t="s">
        <v>459</v>
      </c>
    </row>
    <row r="2450" spans="26:33" x14ac:dyDescent="0.35">
      <c r="Z2450" s="344">
        <v>6042</v>
      </c>
      <c r="AA2450" s="344" t="s">
        <v>589</v>
      </c>
      <c r="AB2450" s="344">
        <v>4</v>
      </c>
      <c r="AC2450" s="344" t="s">
        <v>471</v>
      </c>
      <c r="AD2450" s="1058" t="s">
        <v>591</v>
      </c>
      <c r="AE2450" s="1059">
        <v>423817</v>
      </c>
      <c r="AF2450" s="889" t="s">
        <v>459</v>
      </c>
      <c r="AG2450" s="889" t="s">
        <v>459</v>
      </c>
    </row>
    <row r="2451" spans="26:33" x14ac:dyDescent="0.35">
      <c r="Z2451" s="344">
        <v>6043</v>
      </c>
      <c r="AA2451" s="344" t="s">
        <v>589</v>
      </c>
      <c r="AB2451" s="344">
        <v>4</v>
      </c>
      <c r="AC2451" s="344" t="s">
        <v>457</v>
      </c>
      <c r="AD2451" s="1058" t="s">
        <v>591</v>
      </c>
      <c r="AE2451" s="1059">
        <v>513563</v>
      </c>
      <c r="AF2451" s="889" t="s">
        <v>459</v>
      </c>
      <c r="AG2451" s="889" t="s">
        <v>459</v>
      </c>
    </row>
    <row r="2452" spans="26:33" x14ac:dyDescent="0.35">
      <c r="Z2452" s="344">
        <v>6044</v>
      </c>
      <c r="AA2452" s="344" t="s">
        <v>589</v>
      </c>
      <c r="AB2452" s="344">
        <v>4</v>
      </c>
      <c r="AC2452" s="344" t="s">
        <v>457</v>
      </c>
      <c r="AD2452" s="1058" t="s">
        <v>591</v>
      </c>
      <c r="AE2452" s="1059">
        <v>453043</v>
      </c>
      <c r="AF2452" s="889" t="s">
        <v>459</v>
      </c>
      <c r="AG2452" s="889" t="s">
        <v>459</v>
      </c>
    </row>
    <row r="2453" spans="26:33" x14ac:dyDescent="0.35">
      <c r="Z2453" s="344">
        <v>6045</v>
      </c>
      <c r="AA2453" s="344" t="s">
        <v>589</v>
      </c>
      <c r="AB2453" s="344">
        <v>1</v>
      </c>
      <c r="AC2453" s="344" t="e">
        <v>#N/A</v>
      </c>
      <c r="AD2453" s="1058" t="s">
        <v>590</v>
      </c>
      <c r="AE2453" s="1059" t="e">
        <v>#N/A</v>
      </c>
      <c r="AF2453" s="889" t="s">
        <v>459</v>
      </c>
      <c r="AG2453" s="889" t="s">
        <v>459</v>
      </c>
    </row>
    <row r="2454" spans="26:33" x14ac:dyDescent="0.35">
      <c r="Z2454" s="344">
        <v>6046</v>
      </c>
      <c r="AA2454" s="344" t="s">
        <v>589</v>
      </c>
      <c r="AB2454" s="344">
        <v>1</v>
      </c>
      <c r="AC2454" s="344" t="e">
        <v>#N/A</v>
      </c>
      <c r="AD2454" s="1058" t="s">
        <v>590</v>
      </c>
      <c r="AE2454" s="1059" t="e">
        <v>#N/A</v>
      </c>
      <c r="AF2454" s="889" t="s">
        <v>459</v>
      </c>
      <c r="AG2454" s="889" t="s">
        <v>459</v>
      </c>
    </row>
    <row r="2455" spans="26:33" x14ac:dyDescent="0.35">
      <c r="Z2455" s="344">
        <v>6047</v>
      </c>
      <c r="AA2455" s="344" t="s">
        <v>589</v>
      </c>
      <c r="AB2455" s="344">
        <v>1</v>
      </c>
      <c r="AC2455" s="344" t="e">
        <v>#N/A</v>
      </c>
      <c r="AD2455" s="1058" t="s">
        <v>590</v>
      </c>
      <c r="AE2455" s="1059" t="e">
        <v>#N/A</v>
      </c>
      <c r="AF2455" s="889" t="s">
        <v>459</v>
      </c>
      <c r="AG2455" s="889" t="s">
        <v>459</v>
      </c>
    </row>
    <row r="2456" spans="26:33" x14ac:dyDescent="0.35">
      <c r="Z2456" s="344">
        <v>6048</v>
      </c>
      <c r="AA2456" s="344" t="s">
        <v>589</v>
      </c>
      <c r="AB2456" s="344">
        <v>1</v>
      </c>
      <c r="AC2456" s="344" t="e">
        <v>#N/A</v>
      </c>
      <c r="AD2456" s="1058" t="s">
        <v>590</v>
      </c>
      <c r="AE2456" s="1059" t="e">
        <v>#N/A</v>
      </c>
      <c r="AF2456" s="889" t="s">
        <v>459</v>
      </c>
      <c r="AG2456" s="889" t="s">
        <v>459</v>
      </c>
    </row>
    <row r="2457" spans="26:33" x14ac:dyDescent="0.35">
      <c r="Z2457" s="344">
        <v>6049</v>
      </c>
      <c r="AA2457" s="344" t="s">
        <v>589</v>
      </c>
      <c r="AB2457" s="344">
        <v>1</v>
      </c>
      <c r="AC2457" s="344" t="e">
        <v>#N/A</v>
      </c>
      <c r="AD2457" s="1058" t="s">
        <v>590</v>
      </c>
      <c r="AE2457" s="1059" t="e">
        <v>#N/A</v>
      </c>
      <c r="AF2457" s="889" t="s">
        <v>459</v>
      </c>
      <c r="AG2457" s="889" t="s">
        <v>459</v>
      </c>
    </row>
    <row r="2458" spans="26:33" x14ac:dyDescent="0.35">
      <c r="Z2458" s="344">
        <v>6050</v>
      </c>
      <c r="AA2458" s="344" t="s">
        <v>589</v>
      </c>
      <c r="AB2458" s="344">
        <v>1</v>
      </c>
      <c r="AC2458" s="344" t="s">
        <v>482</v>
      </c>
      <c r="AD2458" s="1058" t="s">
        <v>590</v>
      </c>
      <c r="AE2458" s="1059">
        <v>1149671</v>
      </c>
      <c r="AF2458" s="889" t="s">
        <v>459</v>
      </c>
      <c r="AG2458" s="889" t="s">
        <v>459</v>
      </c>
    </row>
    <row r="2459" spans="26:33" x14ac:dyDescent="0.35">
      <c r="Z2459" s="344">
        <v>6051</v>
      </c>
      <c r="AA2459" s="344" t="s">
        <v>589</v>
      </c>
      <c r="AB2459" s="344">
        <v>1</v>
      </c>
      <c r="AC2459" s="344" t="s">
        <v>457</v>
      </c>
      <c r="AD2459" s="1058" t="s">
        <v>590</v>
      </c>
      <c r="AE2459" s="1059">
        <v>647051</v>
      </c>
      <c r="AF2459" s="889" t="s">
        <v>459</v>
      </c>
      <c r="AG2459" s="889" t="s">
        <v>459</v>
      </c>
    </row>
    <row r="2460" spans="26:33" x14ac:dyDescent="0.35">
      <c r="Z2460" s="344">
        <v>6052</v>
      </c>
      <c r="AA2460" s="344" t="s">
        <v>589</v>
      </c>
      <c r="AB2460" s="344">
        <v>1</v>
      </c>
      <c r="AC2460" s="344" t="s">
        <v>457</v>
      </c>
      <c r="AD2460" s="1058" t="s">
        <v>590</v>
      </c>
      <c r="AE2460" s="1059">
        <v>731260</v>
      </c>
      <c r="AF2460" s="889" t="s">
        <v>459</v>
      </c>
      <c r="AG2460" s="889" t="s">
        <v>459</v>
      </c>
    </row>
    <row r="2461" spans="26:33" x14ac:dyDescent="0.35">
      <c r="Z2461" s="344">
        <v>6053</v>
      </c>
      <c r="AA2461" s="344" t="s">
        <v>589</v>
      </c>
      <c r="AB2461" s="344">
        <v>1</v>
      </c>
      <c r="AC2461" s="344" t="s">
        <v>457</v>
      </c>
      <c r="AD2461" s="1058" t="s">
        <v>590</v>
      </c>
      <c r="AE2461" s="1059">
        <v>623920</v>
      </c>
      <c r="AF2461" s="889" t="s">
        <v>459</v>
      </c>
      <c r="AG2461" s="889" t="s">
        <v>459</v>
      </c>
    </row>
    <row r="2462" spans="26:33" x14ac:dyDescent="0.35">
      <c r="Z2462" s="344">
        <v>6054</v>
      </c>
      <c r="AA2462" s="344" t="s">
        <v>589</v>
      </c>
      <c r="AB2462" s="344">
        <v>1</v>
      </c>
      <c r="AC2462" s="344" t="s">
        <v>457</v>
      </c>
      <c r="AD2462" s="1058" t="s">
        <v>590</v>
      </c>
      <c r="AE2462" s="1059">
        <v>464649</v>
      </c>
      <c r="AF2462" s="889" t="s">
        <v>459</v>
      </c>
      <c r="AG2462" s="889" t="s">
        <v>459</v>
      </c>
    </row>
    <row r="2463" spans="26:33" x14ac:dyDescent="0.35">
      <c r="Z2463" s="344">
        <v>6055</v>
      </c>
      <c r="AA2463" s="344" t="s">
        <v>589</v>
      </c>
      <c r="AB2463" s="344">
        <v>1</v>
      </c>
      <c r="AC2463" s="344" t="s">
        <v>457</v>
      </c>
      <c r="AD2463" s="1058" t="s">
        <v>590</v>
      </c>
      <c r="AE2463" s="1059">
        <v>611423</v>
      </c>
      <c r="AF2463" s="889" t="s">
        <v>459</v>
      </c>
      <c r="AG2463" s="889" t="s">
        <v>459</v>
      </c>
    </row>
    <row r="2464" spans="26:33" x14ac:dyDescent="0.35">
      <c r="Z2464" s="344">
        <v>6056</v>
      </c>
      <c r="AA2464" s="344" t="s">
        <v>589</v>
      </c>
      <c r="AB2464" s="344">
        <v>1</v>
      </c>
      <c r="AC2464" s="344" t="s">
        <v>457</v>
      </c>
      <c r="AD2464" s="1058" t="s">
        <v>590</v>
      </c>
      <c r="AE2464" s="1059">
        <v>560729</v>
      </c>
      <c r="AF2464" s="889" t="s">
        <v>459</v>
      </c>
      <c r="AG2464" s="889" t="s">
        <v>459</v>
      </c>
    </row>
    <row r="2465" spans="26:33" x14ac:dyDescent="0.35">
      <c r="Z2465" s="344">
        <v>6057</v>
      </c>
      <c r="AA2465" s="344" t="s">
        <v>589</v>
      </c>
      <c r="AB2465" s="344">
        <v>1</v>
      </c>
      <c r="AC2465" s="344" t="s">
        <v>457</v>
      </c>
      <c r="AD2465" s="1058" t="s">
        <v>590</v>
      </c>
      <c r="AE2465" s="1059">
        <v>509779</v>
      </c>
      <c r="AF2465" s="889" t="s">
        <v>459</v>
      </c>
      <c r="AG2465" s="889" t="s">
        <v>459</v>
      </c>
    </row>
    <row r="2466" spans="26:33" x14ac:dyDescent="0.35">
      <c r="Z2466" s="344">
        <v>6058</v>
      </c>
      <c r="AA2466" s="344" t="s">
        <v>589</v>
      </c>
      <c r="AB2466" s="344">
        <v>1</v>
      </c>
      <c r="AC2466" s="344" t="s">
        <v>457</v>
      </c>
      <c r="AD2466" s="1058" t="s">
        <v>590</v>
      </c>
      <c r="AE2466" s="1059">
        <v>453269</v>
      </c>
      <c r="AF2466" s="889" t="s">
        <v>459</v>
      </c>
      <c r="AG2466" s="889" t="s">
        <v>459</v>
      </c>
    </row>
    <row r="2467" spans="26:33" x14ac:dyDescent="0.35">
      <c r="Z2467" s="344">
        <v>6059</v>
      </c>
      <c r="AA2467" s="344" t="s">
        <v>589</v>
      </c>
      <c r="AB2467" s="344">
        <v>1</v>
      </c>
      <c r="AC2467" s="344" t="s">
        <v>457</v>
      </c>
      <c r="AD2467" s="1058" t="s">
        <v>590</v>
      </c>
      <c r="AE2467" s="1059">
        <v>651945</v>
      </c>
      <c r="AF2467" s="889" t="s">
        <v>459</v>
      </c>
      <c r="AG2467" s="889" t="s">
        <v>459</v>
      </c>
    </row>
    <row r="2468" spans="26:33" x14ac:dyDescent="0.35">
      <c r="Z2468" s="344">
        <v>6060</v>
      </c>
      <c r="AA2468" s="344" t="s">
        <v>589</v>
      </c>
      <c r="AB2468" s="344">
        <v>1</v>
      </c>
      <c r="AC2468" s="344" t="s">
        <v>457</v>
      </c>
      <c r="AD2468" s="1058" t="s">
        <v>590</v>
      </c>
      <c r="AE2468" s="1059">
        <v>607426</v>
      </c>
      <c r="AF2468" s="889" t="s">
        <v>459</v>
      </c>
      <c r="AG2468" s="889" t="s">
        <v>459</v>
      </c>
    </row>
    <row r="2469" spans="26:33" x14ac:dyDescent="0.35">
      <c r="Z2469" s="344">
        <v>6061</v>
      </c>
      <c r="AA2469" s="344" t="s">
        <v>589</v>
      </c>
      <c r="AB2469" s="344">
        <v>1</v>
      </c>
      <c r="AC2469" s="344" t="s">
        <v>457</v>
      </c>
      <c r="AD2469" s="1058" t="s">
        <v>590</v>
      </c>
      <c r="AE2469" s="1059">
        <v>459860</v>
      </c>
      <c r="AF2469" s="889" t="s">
        <v>460</v>
      </c>
      <c r="AG2469" s="889" t="s">
        <v>459</v>
      </c>
    </row>
    <row r="2470" spans="26:33" x14ac:dyDescent="0.35">
      <c r="Z2470" s="344">
        <v>6062</v>
      </c>
      <c r="AA2470" s="344" t="s">
        <v>589</v>
      </c>
      <c r="AB2470" s="344">
        <v>1</v>
      </c>
      <c r="AC2470" s="344" t="s">
        <v>457</v>
      </c>
      <c r="AD2470" s="1058" t="s">
        <v>590</v>
      </c>
      <c r="AE2470" s="1059">
        <v>598066</v>
      </c>
      <c r="AF2470" s="889" t="s">
        <v>459</v>
      </c>
      <c r="AG2470" s="889" t="s">
        <v>459</v>
      </c>
    </row>
    <row r="2471" spans="26:33" x14ac:dyDescent="0.35">
      <c r="Z2471" s="344">
        <v>6063</v>
      </c>
      <c r="AA2471" s="344" t="s">
        <v>589</v>
      </c>
      <c r="AB2471" s="344">
        <v>1</v>
      </c>
      <c r="AC2471" s="344" t="s">
        <v>457</v>
      </c>
      <c r="AD2471" s="1058" t="s">
        <v>590</v>
      </c>
      <c r="AE2471" s="1059">
        <v>524035</v>
      </c>
      <c r="AF2471" s="889" t="s">
        <v>460</v>
      </c>
      <c r="AG2471" s="889" t="s">
        <v>459</v>
      </c>
    </row>
    <row r="2472" spans="26:33" x14ac:dyDescent="0.35">
      <c r="Z2472" s="344">
        <v>6064</v>
      </c>
      <c r="AA2472" s="344" t="s">
        <v>589</v>
      </c>
      <c r="AB2472" s="344">
        <v>1</v>
      </c>
      <c r="AC2472" s="344" t="s">
        <v>471</v>
      </c>
      <c r="AD2472" s="1058" t="s">
        <v>590</v>
      </c>
      <c r="AE2472" s="1059">
        <v>447901</v>
      </c>
      <c r="AF2472" s="889" t="s">
        <v>460</v>
      </c>
      <c r="AG2472" s="889" t="s">
        <v>459</v>
      </c>
    </row>
    <row r="2473" spans="26:33" x14ac:dyDescent="0.35">
      <c r="Z2473" s="344">
        <v>6065</v>
      </c>
      <c r="AA2473" s="344" t="s">
        <v>589</v>
      </c>
      <c r="AB2473" s="344">
        <v>1</v>
      </c>
      <c r="AC2473" s="344" t="s">
        <v>457</v>
      </c>
      <c r="AD2473" s="1058" t="s">
        <v>590</v>
      </c>
      <c r="AE2473" s="1059">
        <v>562695</v>
      </c>
      <c r="AF2473" s="889" t="s">
        <v>459</v>
      </c>
      <c r="AG2473" s="889" t="s">
        <v>459</v>
      </c>
    </row>
    <row r="2474" spans="26:33" x14ac:dyDescent="0.35">
      <c r="Z2474" s="344">
        <v>6066</v>
      </c>
      <c r="AA2474" s="344" t="s">
        <v>589</v>
      </c>
      <c r="AB2474" s="344">
        <v>1</v>
      </c>
      <c r="AC2474" s="344" t="s">
        <v>457</v>
      </c>
      <c r="AD2474" s="1058" t="s">
        <v>590</v>
      </c>
      <c r="AE2474" s="1059">
        <v>476534</v>
      </c>
      <c r="AF2474" s="889" t="s">
        <v>459</v>
      </c>
      <c r="AG2474" s="889" t="s">
        <v>459</v>
      </c>
    </row>
    <row r="2475" spans="26:33" x14ac:dyDescent="0.35">
      <c r="Z2475" s="344">
        <v>6067</v>
      </c>
      <c r="AA2475" s="344" t="s">
        <v>589</v>
      </c>
      <c r="AB2475" s="344">
        <v>1</v>
      </c>
      <c r="AC2475" s="344" t="e">
        <v>#N/A</v>
      </c>
      <c r="AD2475" s="1058" t="s">
        <v>590</v>
      </c>
      <c r="AE2475" s="1059" t="e">
        <v>#N/A</v>
      </c>
      <c r="AF2475" s="889" t="s">
        <v>459</v>
      </c>
      <c r="AG2475" s="889" t="s">
        <v>459</v>
      </c>
    </row>
    <row r="2476" spans="26:33" x14ac:dyDescent="0.35">
      <c r="Z2476" s="344">
        <v>6068</v>
      </c>
      <c r="AA2476" s="344" t="s">
        <v>589</v>
      </c>
      <c r="AB2476" s="344">
        <v>1</v>
      </c>
      <c r="AC2476" s="344" t="e">
        <v>#N/A</v>
      </c>
      <c r="AD2476" s="1058" t="s">
        <v>590</v>
      </c>
      <c r="AE2476" s="1059" t="e">
        <v>#N/A</v>
      </c>
      <c r="AF2476" s="889" t="s">
        <v>459</v>
      </c>
      <c r="AG2476" s="889" t="s">
        <v>459</v>
      </c>
    </row>
    <row r="2477" spans="26:33" x14ac:dyDescent="0.35">
      <c r="Z2477" s="344">
        <v>6069</v>
      </c>
      <c r="AA2477" s="344" t="s">
        <v>589</v>
      </c>
      <c r="AB2477" s="344">
        <v>1</v>
      </c>
      <c r="AC2477" s="344" t="s">
        <v>457</v>
      </c>
      <c r="AD2477" s="1058" t="s">
        <v>590</v>
      </c>
      <c r="AE2477" s="1059">
        <v>717859</v>
      </c>
      <c r="AF2477" s="889" t="s">
        <v>459</v>
      </c>
      <c r="AG2477" s="889" t="s">
        <v>459</v>
      </c>
    </row>
    <row r="2478" spans="26:33" x14ac:dyDescent="0.35">
      <c r="Z2478" s="344">
        <v>6070</v>
      </c>
      <c r="AA2478" s="344" t="s">
        <v>589</v>
      </c>
      <c r="AB2478" s="344">
        <v>1</v>
      </c>
      <c r="AC2478" s="344" t="s">
        <v>457</v>
      </c>
      <c r="AD2478" s="1058" t="s">
        <v>590</v>
      </c>
      <c r="AE2478" s="1059">
        <v>653066</v>
      </c>
      <c r="AF2478" s="889" t="s">
        <v>459</v>
      </c>
      <c r="AG2478" s="889" t="s">
        <v>459</v>
      </c>
    </row>
    <row r="2479" spans="26:33" x14ac:dyDescent="0.35">
      <c r="Z2479" s="344">
        <v>6071</v>
      </c>
      <c r="AA2479" s="344" t="s">
        <v>589</v>
      </c>
      <c r="AB2479" s="344">
        <v>1</v>
      </c>
      <c r="AC2479" s="344" t="s">
        <v>457</v>
      </c>
      <c r="AD2479" s="1058" t="s">
        <v>590</v>
      </c>
      <c r="AE2479" s="1059">
        <v>739244</v>
      </c>
      <c r="AF2479" s="889" t="s">
        <v>459</v>
      </c>
      <c r="AG2479" s="889" t="s">
        <v>459</v>
      </c>
    </row>
    <row r="2480" spans="26:33" x14ac:dyDescent="0.35">
      <c r="Z2480" s="344">
        <v>6072</v>
      </c>
      <c r="AA2480" s="344" t="s">
        <v>589</v>
      </c>
      <c r="AB2480" s="344">
        <v>1</v>
      </c>
      <c r="AC2480" s="344" t="s">
        <v>457</v>
      </c>
      <c r="AD2480" s="1058" t="s">
        <v>590</v>
      </c>
      <c r="AE2480" s="1059">
        <v>566859</v>
      </c>
      <c r="AF2480" s="889" t="s">
        <v>459</v>
      </c>
      <c r="AG2480" s="889" t="s">
        <v>459</v>
      </c>
    </row>
    <row r="2481" spans="26:33" x14ac:dyDescent="0.35">
      <c r="Z2481" s="344">
        <v>6073</v>
      </c>
      <c r="AA2481" s="344" t="s">
        <v>589</v>
      </c>
      <c r="AB2481" s="344">
        <v>1</v>
      </c>
      <c r="AC2481" s="344" t="s">
        <v>457</v>
      </c>
      <c r="AD2481" s="1058" t="s">
        <v>590</v>
      </c>
      <c r="AE2481" s="1059">
        <v>602784</v>
      </c>
      <c r="AF2481" s="889" t="s">
        <v>459</v>
      </c>
      <c r="AG2481" s="889" t="s">
        <v>459</v>
      </c>
    </row>
    <row r="2482" spans="26:33" x14ac:dyDescent="0.35">
      <c r="Z2482" s="344">
        <v>6074</v>
      </c>
      <c r="AA2482" s="344" t="s">
        <v>589</v>
      </c>
      <c r="AB2482" s="344">
        <v>1</v>
      </c>
      <c r="AC2482" s="344" t="s">
        <v>457</v>
      </c>
      <c r="AD2482" s="1058" t="s">
        <v>590</v>
      </c>
      <c r="AE2482" s="1059">
        <v>590541</v>
      </c>
      <c r="AF2482" s="889" t="s">
        <v>459</v>
      </c>
      <c r="AG2482" s="889" t="s">
        <v>459</v>
      </c>
    </row>
    <row r="2483" spans="26:33" x14ac:dyDescent="0.35">
      <c r="Z2483" s="344">
        <v>6075</v>
      </c>
      <c r="AA2483" s="344" t="s">
        <v>589</v>
      </c>
      <c r="AB2483" s="344">
        <v>1</v>
      </c>
      <c r="AC2483" s="344" t="e">
        <v>#N/A</v>
      </c>
      <c r="AD2483" s="1058" t="s">
        <v>590</v>
      </c>
      <c r="AE2483" s="1059" t="e">
        <v>#N/A</v>
      </c>
      <c r="AF2483" s="889" t="s">
        <v>459</v>
      </c>
      <c r="AG2483" s="889" t="s">
        <v>459</v>
      </c>
    </row>
    <row r="2484" spans="26:33" x14ac:dyDescent="0.35">
      <c r="Z2484" s="344">
        <v>6076</v>
      </c>
      <c r="AA2484" s="344" t="s">
        <v>589</v>
      </c>
      <c r="AB2484" s="344">
        <v>1</v>
      </c>
      <c r="AC2484" s="344" t="s">
        <v>457</v>
      </c>
      <c r="AD2484" s="1058" t="s">
        <v>590</v>
      </c>
      <c r="AE2484" s="1059">
        <v>701222</v>
      </c>
      <c r="AF2484" s="889" t="s">
        <v>459</v>
      </c>
      <c r="AG2484" s="889" t="s">
        <v>459</v>
      </c>
    </row>
    <row r="2485" spans="26:33" x14ac:dyDescent="0.35">
      <c r="Z2485" s="344">
        <v>6077</v>
      </c>
      <c r="AA2485" s="344" t="s">
        <v>589</v>
      </c>
      <c r="AB2485" s="344">
        <v>1</v>
      </c>
      <c r="AC2485" s="344" t="s">
        <v>482</v>
      </c>
      <c r="AD2485" s="1058" t="s">
        <v>590</v>
      </c>
      <c r="AE2485" s="1059">
        <v>1157530</v>
      </c>
      <c r="AF2485" s="889" t="s">
        <v>459</v>
      </c>
      <c r="AG2485" s="889" t="s">
        <v>459</v>
      </c>
    </row>
    <row r="2486" spans="26:33" x14ac:dyDescent="0.35">
      <c r="Z2486" s="344">
        <v>6078</v>
      </c>
      <c r="AA2486" s="344" t="s">
        <v>589</v>
      </c>
      <c r="AB2486" s="344">
        <v>1</v>
      </c>
      <c r="AC2486" s="344" t="s">
        <v>482</v>
      </c>
      <c r="AD2486" s="1058" t="s">
        <v>590</v>
      </c>
      <c r="AE2486" s="1059">
        <v>1120563</v>
      </c>
      <c r="AF2486" s="889" t="s">
        <v>459</v>
      </c>
      <c r="AG2486" s="889" t="s">
        <v>459</v>
      </c>
    </row>
    <row r="2487" spans="26:33" x14ac:dyDescent="0.35">
      <c r="Z2487" s="344">
        <v>6079</v>
      </c>
      <c r="AA2487" s="344" t="s">
        <v>589</v>
      </c>
      <c r="AB2487" s="344">
        <v>1</v>
      </c>
      <c r="AC2487" s="344" t="e">
        <v>#N/A</v>
      </c>
      <c r="AD2487" s="1058" t="s">
        <v>590</v>
      </c>
      <c r="AE2487" s="1059" t="e">
        <v>#N/A</v>
      </c>
      <c r="AF2487" s="889" t="s">
        <v>459</v>
      </c>
      <c r="AG2487" s="889" t="s">
        <v>459</v>
      </c>
    </row>
    <row r="2488" spans="26:33" x14ac:dyDescent="0.35">
      <c r="Z2488" s="344">
        <v>6080</v>
      </c>
      <c r="AA2488" s="344" t="s">
        <v>589</v>
      </c>
      <c r="AB2488" s="344">
        <v>1</v>
      </c>
      <c r="AC2488" s="344" t="e">
        <v>#N/A</v>
      </c>
      <c r="AD2488" s="1058" t="s">
        <v>590</v>
      </c>
      <c r="AE2488" s="1059" t="e">
        <v>#N/A</v>
      </c>
      <c r="AF2488" s="889" t="s">
        <v>459</v>
      </c>
      <c r="AG2488" s="889" t="s">
        <v>459</v>
      </c>
    </row>
    <row r="2489" spans="26:33" x14ac:dyDescent="0.35">
      <c r="Z2489" s="344">
        <v>6081</v>
      </c>
      <c r="AA2489" s="344" t="s">
        <v>589</v>
      </c>
      <c r="AB2489" s="344">
        <v>1</v>
      </c>
      <c r="AC2489" s="344" t="s">
        <v>457</v>
      </c>
      <c r="AD2489" s="1058" t="s">
        <v>590</v>
      </c>
      <c r="AE2489" s="1059">
        <v>543152</v>
      </c>
      <c r="AF2489" s="889" t="s">
        <v>459</v>
      </c>
      <c r="AG2489" s="889" t="s">
        <v>459</v>
      </c>
    </row>
    <row r="2490" spans="26:33" x14ac:dyDescent="0.35">
      <c r="Z2490" s="344">
        <v>6082</v>
      </c>
      <c r="AA2490" s="344" t="s">
        <v>589</v>
      </c>
      <c r="AB2490" s="344">
        <v>1</v>
      </c>
      <c r="AC2490" s="344" t="s">
        <v>457</v>
      </c>
      <c r="AD2490" s="1058" t="s">
        <v>590</v>
      </c>
      <c r="AE2490" s="1059">
        <v>530155</v>
      </c>
      <c r="AF2490" s="889" t="s">
        <v>459</v>
      </c>
      <c r="AG2490" s="889" t="s">
        <v>459</v>
      </c>
    </row>
    <row r="2491" spans="26:33" x14ac:dyDescent="0.35">
      <c r="Z2491" s="344">
        <v>6083</v>
      </c>
      <c r="AA2491" s="344" t="s">
        <v>589</v>
      </c>
      <c r="AB2491" s="344">
        <v>1</v>
      </c>
      <c r="AC2491" s="344" t="s">
        <v>479</v>
      </c>
      <c r="AD2491" s="1058" t="s">
        <v>590</v>
      </c>
      <c r="AE2491" s="1059">
        <v>887556</v>
      </c>
      <c r="AF2491" s="889" t="s">
        <v>460</v>
      </c>
      <c r="AG2491" s="889" t="s">
        <v>459</v>
      </c>
    </row>
    <row r="2492" spans="26:33" x14ac:dyDescent="0.35">
      <c r="Z2492" s="344">
        <v>6084</v>
      </c>
      <c r="AA2492" s="344" t="s">
        <v>589</v>
      </c>
      <c r="AB2492" s="344">
        <v>1</v>
      </c>
      <c r="AC2492" s="344" t="s">
        <v>457</v>
      </c>
      <c r="AD2492" s="1058" t="s">
        <v>590</v>
      </c>
      <c r="AE2492" s="1059">
        <v>569760</v>
      </c>
      <c r="AF2492" s="889" t="s">
        <v>460</v>
      </c>
      <c r="AG2492" s="889" t="s">
        <v>459</v>
      </c>
    </row>
    <row r="2493" spans="26:33" x14ac:dyDescent="0.35">
      <c r="Z2493" s="344">
        <v>6085</v>
      </c>
      <c r="AA2493" s="344" t="s">
        <v>589</v>
      </c>
      <c r="AB2493" s="344">
        <v>1</v>
      </c>
      <c r="AC2493" s="344" t="e">
        <v>#N/A</v>
      </c>
      <c r="AD2493" s="1058" t="s">
        <v>590</v>
      </c>
      <c r="AE2493" s="1059" t="e">
        <v>#N/A</v>
      </c>
      <c r="AF2493" s="889" t="s">
        <v>459</v>
      </c>
      <c r="AG2493" s="889" t="s">
        <v>459</v>
      </c>
    </row>
    <row r="2494" spans="26:33" x14ac:dyDescent="0.35">
      <c r="Z2494" s="344">
        <v>6086</v>
      </c>
      <c r="AA2494" s="344" t="s">
        <v>589</v>
      </c>
      <c r="AB2494" s="344">
        <v>1</v>
      </c>
      <c r="AC2494" s="344" t="e">
        <v>#N/A</v>
      </c>
      <c r="AD2494" s="1058" t="s">
        <v>590</v>
      </c>
      <c r="AE2494" s="1059" t="e">
        <v>#N/A</v>
      </c>
      <c r="AF2494" s="889" t="s">
        <v>459</v>
      </c>
      <c r="AG2494" s="889" t="s">
        <v>459</v>
      </c>
    </row>
    <row r="2495" spans="26:33" x14ac:dyDescent="0.35">
      <c r="Z2495" s="344">
        <v>6087</v>
      </c>
      <c r="AA2495" s="344" t="s">
        <v>589</v>
      </c>
      <c r="AB2495" s="344">
        <v>1</v>
      </c>
      <c r="AC2495" s="344" t="e">
        <v>#N/A</v>
      </c>
      <c r="AD2495" s="1058" t="s">
        <v>590</v>
      </c>
      <c r="AE2495" s="1059" t="e">
        <v>#N/A</v>
      </c>
      <c r="AF2495" s="889" t="s">
        <v>459</v>
      </c>
      <c r="AG2495" s="889" t="s">
        <v>459</v>
      </c>
    </row>
    <row r="2496" spans="26:33" x14ac:dyDescent="0.35">
      <c r="Z2496" s="344">
        <v>6088</v>
      </c>
      <c r="AA2496" s="344" t="s">
        <v>589</v>
      </c>
      <c r="AB2496" s="344">
        <v>1</v>
      </c>
      <c r="AC2496" s="344" t="e">
        <v>#N/A</v>
      </c>
      <c r="AD2496" s="1058" t="s">
        <v>590</v>
      </c>
      <c r="AE2496" s="1059" t="e">
        <v>#N/A</v>
      </c>
      <c r="AF2496" s="889" t="s">
        <v>459</v>
      </c>
      <c r="AG2496" s="889" t="s">
        <v>459</v>
      </c>
    </row>
    <row r="2497" spans="26:33" x14ac:dyDescent="0.35">
      <c r="Z2497" s="344">
        <v>6089</v>
      </c>
      <c r="AA2497" s="344" t="s">
        <v>589</v>
      </c>
      <c r="AB2497" s="344">
        <v>1</v>
      </c>
      <c r="AC2497" s="344" t="e">
        <v>#N/A</v>
      </c>
      <c r="AD2497" s="1058" t="s">
        <v>590</v>
      </c>
      <c r="AE2497" s="1059" t="e">
        <v>#N/A</v>
      </c>
      <c r="AF2497" s="889" t="s">
        <v>459</v>
      </c>
      <c r="AG2497" s="889" t="s">
        <v>459</v>
      </c>
    </row>
    <row r="2498" spans="26:33" x14ac:dyDescent="0.35">
      <c r="Z2498" s="344">
        <v>6090</v>
      </c>
      <c r="AA2498" s="344" t="s">
        <v>589</v>
      </c>
      <c r="AB2498" s="344">
        <v>1</v>
      </c>
      <c r="AC2498" s="344" t="e">
        <v>#N/A</v>
      </c>
      <c r="AD2498" s="1058" t="s">
        <v>590</v>
      </c>
      <c r="AE2498" s="1059" t="e">
        <v>#N/A</v>
      </c>
      <c r="AF2498" s="889" t="s">
        <v>459</v>
      </c>
      <c r="AG2498" s="889" t="s">
        <v>459</v>
      </c>
    </row>
    <row r="2499" spans="26:33" x14ac:dyDescent="0.35">
      <c r="Z2499" s="344">
        <v>6091</v>
      </c>
      <c r="AA2499" s="344" t="s">
        <v>589</v>
      </c>
      <c r="AB2499" s="344">
        <v>1</v>
      </c>
      <c r="AC2499" s="344" t="e">
        <v>#N/A</v>
      </c>
      <c r="AD2499" s="1058" t="s">
        <v>590</v>
      </c>
      <c r="AE2499" s="1059" t="e">
        <v>#N/A</v>
      </c>
      <c r="AF2499" s="889" t="s">
        <v>459</v>
      </c>
      <c r="AG2499" s="889" t="s">
        <v>459</v>
      </c>
    </row>
    <row r="2500" spans="26:33" x14ac:dyDescent="0.35">
      <c r="Z2500" s="344">
        <v>6092</v>
      </c>
      <c r="AA2500" s="344" t="s">
        <v>589</v>
      </c>
      <c r="AB2500" s="344">
        <v>1</v>
      </c>
      <c r="AC2500" s="344" t="e">
        <v>#N/A</v>
      </c>
      <c r="AD2500" s="1058" t="s">
        <v>590</v>
      </c>
      <c r="AE2500" s="1059" t="e">
        <v>#N/A</v>
      </c>
      <c r="AF2500" s="889" t="s">
        <v>459</v>
      </c>
      <c r="AG2500" s="889" t="s">
        <v>459</v>
      </c>
    </row>
    <row r="2501" spans="26:33" x14ac:dyDescent="0.35">
      <c r="Z2501" s="344">
        <v>6093</v>
      </c>
      <c r="AA2501" s="344" t="s">
        <v>589</v>
      </c>
      <c r="AB2501" s="344">
        <v>1</v>
      </c>
      <c r="AC2501" s="344" t="e">
        <v>#N/A</v>
      </c>
      <c r="AD2501" s="1058" t="s">
        <v>590</v>
      </c>
      <c r="AE2501" s="1059" t="e">
        <v>#N/A</v>
      </c>
      <c r="AF2501" s="889" t="s">
        <v>459</v>
      </c>
      <c r="AG2501" s="889" t="s">
        <v>459</v>
      </c>
    </row>
    <row r="2502" spans="26:33" x14ac:dyDescent="0.35">
      <c r="Z2502" s="344">
        <v>6094</v>
      </c>
      <c r="AA2502" s="344" t="s">
        <v>589</v>
      </c>
      <c r="AB2502" s="344">
        <v>1</v>
      </c>
      <c r="AC2502" s="344" t="e">
        <v>#N/A</v>
      </c>
      <c r="AD2502" s="1058" t="s">
        <v>590</v>
      </c>
      <c r="AE2502" s="1059" t="e">
        <v>#N/A</v>
      </c>
      <c r="AF2502" s="889" t="s">
        <v>459</v>
      </c>
      <c r="AG2502" s="889" t="s">
        <v>459</v>
      </c>
    </row>
    <row r="2503" spans="26:33" x14ac:dyDescent="0.35">
      <c r="Z2503" s="344">
        <v>6095</v>
      </c>
      <c r="AA2503" s="344" t="s">
        <v>589</v>
      </c>
      <c r="AB2503" s="344">
        <v>1</v>
      </c>
      <c r="AC2503" s="344" t="e">
        <v>#N/A</v>
      </c>
      <c r="AD2503" s="1058" t="s">
        <v>590</v>
      </c>
      <c r="AE2503" s="1059" t="e">
        <v>#N/A</v>
      </c>
      <c r="AF2503" s="889" t="s">
        <v>459</v>
      </c>
      <c r="AG2503" s="889" t="s">
        <v>459</v>
      </c>
    </row>
    <row r="2504" spans="26:33" x14ac:dyDescent="0.35">
      <c r="Z2504" s="344">
        <v>6096</v>
      </c>
      <c r="AA2504" s="344" t="s">
        <v>589</v>
      </c>
      <c r="AB2504" s="344">
        <v>1</v>
      </c>
      <c r="AC2504" s="344" t="e">
        <v>#N/A</v>
      </c>
      <c r="AD2504" s="1058" t="s">
        <v>590</v>
      </c>
      <c r="AE2504" s="1059" t="e">
        <v>#N/A</v>
      </c>
      <c r="AF2504" s="889" t="s">
        <v>459</v>
      </c>
      <c r="AG2504" s="889" t="s">
        <v>459</v>
      </c>
    </row>
    <row r="2505" spans="26:33" x14ac:dyDescent="0.35">
      <c r="Z2505" s="344">
        <v>6097</v>
      </c>
      <c r="AA2505" s="344" t="s">
        <v>589</v>
      </c>
      <c r="AB2505" s="344">
        <v>1</v>
      </c>
      <c r="AC2505" s="344" t="e">
        <v>#N/A</v>
      </c>
      <c r="AD2505" s="1058" t="s">
        <v>590</v>
      </c>
      <c r="AE2505" s="1059" t="e">
        <v>#N/A</v>
      </c>
      <c r="AF2505" s="889" t="s">
        <v>459</v>
      </c>
      <c r="AG2505" s="889" t="s">
        <v>459</v>
      </c>
    </row>
    <row r="2506" spans="26:33" x14ac:dyDescent="0.35">
      <c r="Z2506" s="344">
        <v>6098</v>
      </c>
      <c r="AA2506" s="344" t="s">
        <v>589</v>
      </c>
      <c r="AB2506" s="344">
        <v>1</v>
      </c>
      <c r="AC2506" s="344" t="e">
        <v>#N/A</v>
      </c>
      <c r="AD2506" s="1058" t="s">
        <v>590</v>
      </c>
      <c r="AE2506" s="1059" t="e">
        <v>#N/A</v>
      </c>
      <c r="AF2506" s="889" t="s">
        <v>459</v>
      </c>
      <c r="AG2506" s="889" t="s">
        <v>459</v>
      </c>
    </row>
    <row r="2507" spans="26:33" x14ac:dyDescent="0.35">
      <c r="Z2507" s="344">
        <v>6099</v>
      </c>
      <c r="AA2507" s="344" t="s">
        <v>589</v>
      </c>
      <c r="AB2507" s="344">
        <v>1</v>
      </c>
      <c r="AC2507" s="344" t="e">
        <v>#N/A</v>
      </c>
      <c r="AD2507" s="1058" t="s">
        <v>590</v>
      </c>
      <c r="AE2507" s="1059" t="e">
        <v>#N/A</v>
      </c>
      <c r="AF2507" s="889" t="s">
        <v>459</v>
      </c>
      <c r="AG2507" s="889" t="s">
        <v>459</v>
      </c>
    </row>
    <row r="2508" spans="26:33" x14ac:dyDescent="0.35">
      <c r="Z2508" s="344">
        <v>6100</v>
      </c>
      <c r="AA2508" s="344" t="s">
        <v>589</v>
      </c>
      <c r="AB2508" s="344">
        <v>1</v>
      </c>
      <c r="AC2508" s="344" t="s">
        <v>457</v>
      </c>
      <c r="AD2508" s="1058" t="s">
        <v>590</v>
      </c>
      <c r="AE2508" s="1059">
        <v>722158</v>
      </c>
      <c r="AF2508" s="889" t="s">
        <v>459</v>
      </c>
      <c r="AG2508" s="889" t="s">
        <v>459</v>
      </c>
    </row>
    <row r="2509" spans="26:33" x14ac:dyDescent="0.35">
      <c r="Z2509" s="344">
        <v>6101</v>
      </c>
      <c r="AA2509" s="344" t="s">
        <v>589</v>
      </c>
      <c r="AB2509" s="344">
        <v>1</v>
      </c>
      <c r="AC2509" s="344" t="s">
        <v>457</v>
      </c>
      <c r="AD2509" s="1058" t="s">
        <v>590</v>
      </c>
      <c r="AE2509" s="1059">
        <v>642509</v>
      </c>
      <c r="AF2509" s="889" t="s">
        <v>459</v>
      </c>
      <c r="AG2509" s="889" t="s">
        <v>459</v>
      </c>
    </row>
    <row r="2510" spans="26:33" x14ac:dyDescent="0.35">
      <c r="Z2510" s="344">
        <v>6102</v>
      </c>
      <c r="AA2510" s="344" t="s">
        <v>589</v>
      </c>
      <c r="AB2510" s="344">
        <v>1</v>
      </c>
      <c r="AC2510" s="344" t="s">
        <v>457</v>
      </c>
      <c r="AD2510" s="1058" t="s">
        <v>590</v>
      </c>
      <c r="AE2510" s="1059">
        <v>568755</v>
      </c>
      <c r="AF2510" s="889" t="s">
        <v>459</v>
      </c>
      <c r="AG2510" s="889" t="s">
        <v>459</v>
      </c>
    </row>
    <row r="2511" spans="26:33" x14ac:dyDescent="0.35">
      <c r="Z2511" s="344">
        <v>6103</v>
      </c>
      <c r="AA2511" s="344" t="s">
        <v>589</v>
      </c>
      <c r="AB2511" s="344">
        <v>1</v>
      </c>
      <c r="AC2511" s="344" t="s">
        <v>457</v>
      </c>
      <c r="AD2511" s="1058" t="s">
        <v>590</v>
      </c>
      <c r="AE2511" s="1059">
        <v>607778</v>
      </c>
      <c r="AF2511" s="889" t="s">
        <v>269</v>
      </c>
      <c r="AG2511" s="889" t="s">
        <v>460</v>
      </c>
    </row>
    <row r="2512" spans="26:33" x14ac:dyDescent="0.35">
      <c r="Z2512" s="344">
        <v>6104</v>
      </c>
      <c r="AA2512" s="344" t="s">
        <v>589</v>
      </c>
      <c r="AB2512" s="344">
        <v>1</v>
      </c>
      <c r="AC2512" s="344" t="s">
        <v>457</v>
      </c>
      <c r="AD2512" s="1058" t="s">
        <v>590</v>
      </c>
      <c r="AE2512" s="1059">
        <v>604698</v>
      </c>
      <c r="AF2512" s="889" t="s">
        <v>459</v>
      </c>
      <c r="AG2512" s="889" t="s">
        <v>459</v>
      </c>
    </row>
    <row r="2513" spans="26:33" x14ac:dyDescent="0.35">
      <c r="Z2513" s="344">
        <v>6105</v>
      </c>
      <c r="AA2513" s="344" t="s">
        <v>589</v>
      </c>
      <c r="AB2513" s="344">
        <v>1</v>
      </c>
      <c r="AC2513" s="344" t="s">
        <v>457</v>
      </c>
      <c r="AD2513" s="1058" t="s">
        <v>590</v>
      </c>
      <c r="AE2513" s="1059">
        <v>554424</v>
      </c>
      <c r="AF2513" s="889" t="s">
        <v>460</v>
      </c>
      <c r="AG2513" s="889" t="s">
        <v>459</v>
      </c>
    </row>
    <row r="2514" spans="26:33" x14ac:dyDescent="0.35">
      <c r="Z2514" s="344">
        <v>6106</v>
      </c>
      <c r="AA2514" s="344" t="s">
        <v>589</v>
      </c>
      <c r="AB2514" s="344">
        <v>1</v>
      </c>
      <c r="AC2514" s="344" t="e">
        <v>#N/A</v>
      </c>
      <c r="AD2514" s="1058" t="s">
        <v>590</v>
      </c>
      <c r="AE2514" s="1059" t="e">
        <v>#N/A</v>
      </c>
      <c r="AF2514" s="889" t="s">
        <v>459</v>
      </c>
      <c r="AG2514" s="889" t="s">
        <v>459</v>
      </c>
    </row>
    <row r="2515" spans="26:33" x14ac:dyDescent="0.35">
      <c r="Z2515" s="344">
        <v>6107</v>
      </c>
      <c r="AA2515" s="344" t="s">
        <v>589</v>
      </c>
      <c r="AB2515" s="344">
        <v>1</v>
      </c>
      <c r="AC2515" s="344" t="s">
        <v>457</v>
      </c>
      <c r="AD2515" s="1058" t="s">
        <v>590</v>
      </c>
      <c r="AE2515" s="1059">
        <v>515379</v>
      </c>
      <c r="AF2515" s="889" t="s">
        <v>460</v>
      </c>
      <c r="AG2515" s="889" t="s">
        <v>459</v>
      </c>
    </row>
    <row r="2516" spans="26:33" x14ac:dyDescent="0.35">
      <c r="Z2516" s="344">
        <v>6108</v>
      </c>
      <c r="AA2516" s="344" t="s">
        <v>589</v>
      </c>
      <c r="AB2516" s="344">
        <v>1</v>
      </c>
      <c r="AC2516" s="344" t="s">
        <v>457</v>
      </c>
      <c r="AD2516" s="1058" t="s">
        <v>590</v>
      </c>
      <c r="AE2516" s="1059">
        <v>460495</v>
      </c>
      <c r="AF2516" s="889" t="s">
        <v>460</v>
      </c>
      <c r="AG2516" s="889" t="s">
        <v>459</v>
      </c>
    </row>
    <row r="2517" spans="26:33" x14ac:dyDescent="0.35">
      <c r="Z2517" s="344">
        <v>6109</v>
      </c>
      <c r="AA2517" s="344" t="s">
        <v>589</v>
      </c>
      <c r="AB2517" s="344">
        <v>1</v>
      </c>
      <c r="AC2517" s="344" t="s">
        <v>457</v>
      </c>
      <c r="AD2517" s="1058" t="s">
        <v>590</v>
      </c>
      <c r="AE2517" s="1059">
        <v>666137</v>
      </c>
      <c r="AF2517" s="889" t="s">
        <v>460</v>
      </c>
      <c r="AG2517" s="889" t="s">
        <v>459</v>
      </c>
    </row>
    <row r="2518" spans="26:33" x14ac:dyDescent="0.35">
      <c r="Z2518" s="344">
        <v>6110</v>
      </c>
      <c r="AA2518" s="344" t="s">
        <v>589</v>
      </c>
      <c r="AB2518" s="344">
        <v>1</v>
      </c>
      <c r="AC2518" s="344" t="s">
        <v>457</v>
      </c>
      <c r="AD2518" s="1058" t="s">
        <v>590</v>
      </c>
      <c r="AE2518" s="1059">
        <v>524540</v>
      </c>
      <c r="AF2518" s="889" t="s">
        <v>460</v>
      </c>
      <c r="AG2518" s="889" t="s">
        <v>459</v>
      </c>
    </row>
    <row r="2519" spans="26:33" x14ac:dyDescent="0.35">
      <c r="Z2519" s="344">
        <v>6111</v>
      </c>
      <c r="AA2519" s="344" t="s">
        <v>589</v>
      </c>
      <c r="AB2519" s="344">
        <v>1</v>
      </c>
      <c r="AC2519" s="344" t="s">
        <v>457</v>
      </c>
      <c r="AD2519" s="1058" t="s">
        <v>590</v>
      </c>
      <c r="AE2519" s="1059">
        <v>484148</v>
      </c>
      <c r="AF2519" s="889" t="s">
        <v>459</v>
      </c>
      <c r="AG2519" s="889" t="s">
        <v>459</v>
      </c>
    </row>
    <row r="2520" spans="26:33" x14ac:dyDescent="0.35">
      <c r="Z2520" s="344">
        <v>6112</v>
      </c>
      <c r="AA2520" s="344" t="s">
        <v>589</v>
      </c>
      <c r="AB2520" s="344">
        <v>1</v>
      </c>
      <c r="AC2520" s="344" t="s">
        <v>457</v>
      </c>
      <c r="AD2520" s="1058" t="s">
        <v>590</v>
      </c>
      <c r="AE2520" s="1059">
        <v>512903</v>
      </c>
      <c r="AF2520" s="889" t="s">
        <v>459</v>
      </c>
      <c r="AG2520" s="889" t="s">
        <v>459</v>
      </c>
    </row>
    <row r="2521" spans="26:33" x14ac:dyDescent="0.35">
      <c r="Z2521" s="344">
        <v>6113</v>
      </c>
      <c r="AA2521" s="344" t="s">
        <v>589</v>
      </c>
      <c r="AB2521" s="344">
        <v>1</v>
      </c>
      <c r="AC2521" s="344" t="e">
        <v>#N/A</v>
      </c>
      <c r="AD2521" s="1058" t="s">
        <v>590</v>
      </c>
      <c r="AE2521" s="1059" t="e">
        <v>#N/A</v>
      </c>
      <c r="AF2521" s="889" t="s">
        <v>459</v>
      </c>
      <c r="AG2521" s="889" t="s">
        <v>459</v>
      </c>
    </row>
    <row r="2522" spans="26:33" x14ac:dyDescent="0.35">
      <c r="Z2522" s="344">
        <v>6114</v>
      </c>
      <c r="AA2522" s="344" t="s">
        <v>589</v>
      </c>
      <c r="AB2522" s="344">
        <v>1</v>
      </c>
      <c r="AC2522" s="344" t="e">
        <v>#N/A</v>
      </c>
      <c r="AD2522" s="1058" t="s">
        <v>590</v>
      </c>
      <c r="AE2522" s="1059" t="e">
        <v>#N/A</v>
      </c>
      <c r="AF2522" s="889" t="s">
        <v>459</v>
      </c>
      <c r="AG2522" s="889" t="s">
        <v>459</v>
      </c>
    </row>
    <row r="2523" spans="26:33" x14ac:dyDescent="0.35">
      <c r="Z2523" s="344">
        <v>6115</v>
      </c>
      <c r="AA2523" s="344" t="s">
        <v>589</v>
      </c>
      <c r="AB2523" s="344">
        <v>1</v>
      </c>
      <c r="AC2523" s="344" t="e">
        <v>#N/A</v>
      </c>
      <c r="AD2523" s="1058" t="s">
        <v>590</v>
      </c>
      <c r="AE2523" s="1059" t="e">
        <v>#N/A</v>
      </c>
      <c r="AF2523" s="889" t="s">
        <v>459</v>
      </c>
      <c r="AG2523" s="889" t="s">
        <v>459</v>
      </c>
    </row>
    <row r="2524" spans="26:33" x14ac:dyDescent="0.35">
      <c r="Z2524" s="344">
        <v>6116</v>
      </c>
      <c r="AA2524" s="344" t="s">
        <v>589</v>
      </c>
      <c r="AB2524" s="344">
        <v>1</v>
      </c>
      <c r="AC2524" s="344" t="e">
        <v>#N/A</v>
      </c>
      <c r="AD2524" s="1058" t="s">
        <v>590</v>
      </c>
      <c r="AE2524" s="1059" t="e">
        <v>#N/A</v>
      </c>
      <c r="AF2524" s="889" t="s">
        <v>459</v>
      </c>
      <c r="AG2524" s="889" t="s">
        <v>459</v>
      </c>
    </row>
    <row r="2525" spans="26:33" x14ac:dyDescent="0.35">
      <c r="Z2525" s="344">
        <v>6117</v>
      </c>
      <c r="AA2525" s="344" t="s">
        <v>589</v>
      </c>
      <c r="AB2525" s="344">
        <v>1</v>
      </c>
      <c r="AC2525" s="344" t="e">
        <v>#N/A</v>
      </c>
      <c r="AD2525" s="1058" t="s">
        <v>590</v>
      </c>
      <c r="AE2525" s="1059" t="e">
        <v>#N/A</v>
      </c>
      <c r="AF2525" s="889" t="s">
        <v>459</v>
      </c>
      <c r="AG2525" s="889" t="s">
        <v>459</v>
      </c>
    </row>
    <row r="2526" spans="26:33" x14ac:dyDescent="0.35">
      <c r="Z2526" s="344">
        <v>6118</v>
      </c>
      <c r="AA2526" s="344" t="s">
        <v>589</v>
      </c>
      <c r="AB2526" s="344">
        <v>1</v>
      </c>
      <c r="AC2526" s="344" t="e">
        <v>#N/A</v>
      </c>
      <c r="AD2526" s="1058" t="s">
        <v>590</v>
      </c>
      <c r="AE2526" s="1059" t="e">
        <v>#N/A</v>
      </c>
      <c r="AF2526" s="889" t="s">
        <v>459</v>
      </c>
      <c r="AG2526" s="889" t="s">
        <v>459</v>
      </c>
    </row>
    <row r="2527" spans="26:33" x14ac:dyDescent="0.35">
      <c r="Z2527" s="344">
        <v>6119</v>
      </c>
      <c r="AA2527" s="344" t="s">
        <v>589</v>
      </c>
      <c r="AB2527" s="344">
        <v>1</v>
      </c>
      <c r="AC2527" s="344" t="e">
        <v>#N/A</v>
      </c>
      <c r="AD2527" s="1058" t="s">
        <v>590</v>
      </c>
      <c r="AE2527" s="1059" t="e">
        <v>#N/A</v>
      </c>
      <c r="AF2527" s="889" t="s">
        <v>459</v>
      </c>
      <c r="AG2527" s="889" t="s">
        <v>459</v>
      </c>
    </row>
    <row r="2528" spans="26:33" x14ac:dyDescent="0.35">
      <c r="Z2528" s="344">
        <v>6120</v>
      </c>
      <c r="AA2528" s="344" t="s">
        <v>589</v>
      </c>
      <c r="AB2528" s="344">
        <v>1</v>
      </c>
      <c r="AC2528" s="344" t="e">
        <v>#N/A</v>
      </c>
      <c r="AD2528" s="1058" t="s">
        <v>590</v>
      </c>
      <c r="AE2528" s="1059" t="e">
        <v>#N/A</v>
      </c>
      <c r="AF2528" s="889" t="s">
        <v>459</v>
      </c>
      <c r="AG2528" s="889" t="s">
        <v>459</v>
      </c>
    </row>
    <row r="2529" spans="26:33" x14ac:dyDescent="0.35">
      <c r="Z2529" s="344">
        <v>6121</v>
      </c>
      <c r="AA2529" s="344" t="s">
        <v>589</v>
      </c>
      <c r="AB2529" s="344">
        <v>1</v>
      </c>
      <c r="AC2529" s="344" t="s">
        <v>482</v>
      </c>
      <c r="AD2529" s="1058" t="s">
        <v>590</v>
      </c>
      <c r="AE2529" s="1059">
        <v>992727</v>
      </c>
      <c r="AF2529" s="889" t="s">
        <v>459</v>
      </c>
      <c r="AG2529" s="889" t="s">
        <v>459</v>
      </c>
    </row>
    <row r="2530" spans="26:33" x14ac:dyDescent="0.35">
      <c r="Z2530" s="344">
        <v>6122</v>
      </c>
      <c r="AA2530" s="344" t="s">
        <v>589</v>
      </c>
      <c r="AB2530" s="344">
        <v>1</v>
      </c>
      <c r="AC2530" s="344" t="s">
        <v>457</v>
      </c>
      <c r="AD2530" s="1058" t="s">
        <v>590</v>
      </c>
      <c r="AE2530" s="1059">
        <v>730950</v>
      </c>
      <c r="AF2530" s="889" t="s">
        <v>459</v>
      </c>
      <c r="AG2530" s="889" t="s">
        <v>459</v>
      </c>
    </row>
    <row r="2531" spans="26:33" x14ac:dyDescent="0.35">
      <c r="Z2531" s="344">
        <v>6123</v>
      </c>
      <c r="AA2531" s="344" t="s">
        <v>589</v>
      </c>
      <c r="AB2531" s="344">
        <v>1</v>
      </c>
      <c r="AC2531" s="344" t="s">
        <v>457</v>
      </c>
      <c r="AD2531" s="1058" t="s">
        <v>590</v>
      </c>
      <c r="AE2531" s="1059">
        <v>454535</v>
      </c>
      <c r="AF2531" s="889" t="s">
        <v>459</v>
      </c>
      <c r="AG2531" s="889" t="s">
        <v>459</v>
      </c>
    </row>
    <row r="2532" spans="26:33" x14ac:dyDescent="0.35">
      <c r="Z2532" s="344">
        <v>6124</v>
      </c>
      <c r="AA2532" s="344" t="s">
        <v>589</v>
      </c>
      <c r="AB2532" s="344">
        <v>1</v>
      </c>
      <c r="AC2532" s="344" t="s">
        <v>457</v>
      </c>
      <c r="AD2532" s="1058" t="s">
        <v>590</v>
      </c>
      <c r="AE2532" s="1059">
        <v>505877</v>
      </c>
      <c r="AF2532" s="889" t="s">
        <v>459</v>
      </c>
      <c r="AG2532" s="889" t="s">
        <v>459</v>
      </c>
    </row>
    <row r="2533" spans="26:33" x14ac:dyDescent="0.35">
      <c r="Z2533" s="344">
        <v>6125</v>
      </c>
      <c r="AA2533" s="344" t="s">
        <v>589</v>
      </c>
      <c r="AB2533" s="344">
        <v>1</v>
      </c>
      <c r="AC2533" s="344" t="s">
        <v>457</v>
      </c>
      <c r="AD2533" s="1058" t="s">
        <v>590</v>
      </c>
      <c r="AE2533" s="1059">
        <v>662858</v>
      </c>
      <c r="AF2533" s="889" t="s">
        <v>459</v>
      </c>
      <c r="AG2533" s="889" t="s">
        <v>459</v>
      </c>
    </row>
    <row r="2534" spans="26:33" x14ac:dyDescent="0.35">
      <c r="Z2534" s="344">
        <v>6126</v>
      </c>
      <c r="AA2534" s="344" t="s">
        <v>589</v>
      </c>
      <c r="AB2534" s="344">
        <v>1</v>
      </c>
      <c r="AC2534" s="344" t="e">
        <v>#N/A</v>
      </c>
      <c r="AD2534" s="1058" t="s">
        <v>590</v>
      </c>
      <c r="AE2534" s="1059" t="e">
        <v>#N/A</v>
      </c>
      <c r="AF2534" s="889" t="s">
        <v>459</v>
      </c>
      <c r="AG2534" s="889" t="s">
        <v>459</v>
      </c>
    </row>
    <row r="2535" spans="26:33" x14ac:dyDescent="0.35">
      <c r="Z2535" s="344">
        <v>6127</v>
      </c>
      <c r="AA2535" s="344" t="s">
        <v>589</v>
      </c>
      <c r="AB2535" s="344">
        <v>1</v>
      </c>
      <c r="AC2535" s="344" t="e">
        <v>#N/A</v>
      </c>
      <c r="AD2535" s="1058" t="s">
        <v>590</v>
      </c>
      <c r="AE2535" s="1059" t="e">
        <v>#N/A</v>
      </c>
      <c r="AF2535" s="889" t="s">
        <v>459</v>
      </c>
      <c r="AG2535" s="889" t="s">
        <v>459</v>
      </c>
    </row>
    <row r="2536" spans="26:33" x14ac:dyDescent="0.35">
      <c r="Z2536" s="344">
        <v>6128</v>
      </c>
      <c r="AA2536" s="344" t="s">
        <v>589</v>
      </c>
      <c r="AB2536" s="344">
        <v>1</v>
      </c>
      <c r="AC2536" s="344" t="e">
        <v>#N/A</v>
      </c>
      <c r="AD2536" s="1058" t="s">
        <v>590</v>
      </c>
      <c r="AE2536" s="1059" t="e">
        <v>#N/A</v>
      </c>
      <c r="AF2536" s="889" t="s">
        <v>459</v>
      </c>
      <c r="AG2536" s="889" t="s">
        <v>459</v>
      </c>
    </row>
    <row r="2537" spans="26:33" x14ac:dyDescent="0.35">
      <c r="Z2537" s="344">
        <v>6129</v>
      </c>
      <c r="AA2537" s="344" t="s">
        <v>589</v>
      </c>
      <c r="AB2537" s="344">
        <v>1</v>
      </c>
      <c r="AC2537" s="344" t="e">
        <v>#N/A</v>
      </c>
      <c r="AD2537" s="1058" t="s">
        <v>590</v>
      </c>
      <c r="AE2537" s="1059" t="e">
        <v>#N/A</v>
      </c>
      <c r="AF2537" s="889" t="s">
        <v>459</v>
      </c>
      <c r="AG2537" s="889" t="s">
        <v>459</v>
      </c>
    </row>
    <row r="2538" spans="26:33" x14ac:dyDescent="0.35">
      <c r="Z2538" s="344">
        <v>6130</v>
      </c>
      <c r="AA2538" s="344" t="s">
        <v>589</v>
      </c>
      <c r="AB2538" s="344">
        <v>1</v>
      </c>
      <c r="AC2538" s="344" t="e">
        <v>#N/A</v>
      </c>
      <c r="AD2538" s="1058" t="s">
        <v>590</v>
      </c>
      <c r="AE2538" s="1059" t="e">
        <v>#N/A</v>
      </c>
      <c r="AF2538" s="889" t="s">
        <v>459</v>
      </c>
      <c r="AG2538" s="889" t="s">
        <v>459</v>
      </c>
    </row>
    <row r="2539" spans="26:33" x14ac:dyDescent="0.35">
      <c r="Z2539" s="344">
        <v>6131</v>
      </c>
      <c r="AA2539" s="344" t="s">
        <v>589</v>
      </c>
      <c r="AB2539" s="344">
        <v>1</v>
      </c>
      <c r="AC2539" s="344" t="e">
        <v>#N/A</v>
      </c>
      <c r="AD2539" s="1058" t="s">
        <v>590</v>
      </c>
      <c r="AE2539" s="1059" t="e">
        <v>#N/A</v>
      </c>
      <c r="AF2539" s="889" t="s">
        <v>459</v>
      </c>
      <c r="AG2539" s="889" t="s">
        <v>459</v>
      </c>
    </row>
    <row r="2540" spans="26:33" x14ac:dyDescent="0.35">
      <c r="Z2540" s="344">
        <v>6132</v>
      </c>
      <c r="AA2540" s="344" t="s">
        <v>589</v>
      </c>
      <c r="AB2540" s="344">
        <v>1</v>
      </c>
      <c r="AC2540" s="344" t="e">
        <v>#N/A</v>
      </c>
      <c r="AD2540" s="1058" t="s">
        <v>590</v>
      </c>
      <c r="AE2540" s="1059" t="e">
        <v>#N/A</v>
      </c>
      <c r="AF2540" s="889" t="s">
        <v>459</v>
      </c>
      <c r="AG2540" s="889" t="s">
        <v>459</v>
      </c>
    </row>
    <row r="2541" spans="26:33" x14ac:dyDescent="0.35">
      <c r="Z2541" s="344">
        <v>6133</v>
      </c>
      <c r="AA2541" s="344" t="s">
        <v>589</v>
      </c>
      <c r="AB2541" s="344">
        <v>1</v>
      </c>
      <c r="AC2541" s="344" t="e">
        <v>#N/A</v>
      </c>
      <c r="AD2541" s="1058" t="s">
        <v>590</v>
      </c>
      <c r="AE2541" s="1059" t="e">
        <v>#N/A</v>
      </c>
      <c r="AF2541" s="889" t="s">
        <v>459</v>
      </c>
      <c r="AG2541" s="889" t="s">
        <v>459</v>
      </c>
    </row>
    <row r="2542" spans="26:33" x14ac:dyDescent="0.35">
      <c r="Z2542" s="344">
        <v>6134</v>
      </c>
      <c r="AA2542" s="344" t="s">
        <v>589</v>
      </c>
      <c r="AB2542" s="344">
        <v>1</v>
      </c>
      <c r="AC2542" s="344" t="e">
        <v>#N/A</v>
      </c>
      <c r="AD2542" s="1058" t="s">
        <v>590</v>
      </c>
      <c r="AE2542" s="1059" t="e">
        <v>#N/A</v>
      </c>
      <c r="AF2542" s="889" t="s">
        <v>459</v>
      </c>
      <c r="AG2542" s="889" t="s">
        <v>459</v>
      </c>
    </row>
    <row r="2543" spans="26:33" x14ac:dyDescent="0.35">
      <c r="Z2543" s="344">
        <v>6135</v>
      </c>
      <c r="AA2543" s="344" t="s">
        <v>589</v>
      </c>
      <c r="AB2543" s="344">
        <v>1</v>
      </c>
      <c r="AC2543" s="344" t="e">
        <v>#N/A</v>
      </c>
      <c r="AD2543" s="1058" t="s">
        <v>590</v>
      </c>
      <c r="AE2543" s="1059" t="e">
        <v>#N/A</v>
      </c>
      <c r="AF2543" s="889" t="s">
        <v>459</v>
      </c>
      <c r="AG2543" s="889" t="s">
        <v>459</v>
      </c>
    </row>
    <row r="2544" spans="26:33" x14ac:dyDescent="0.35">
      <c r="Z2544" s="344">
        <v>6136</v>
      </c>
      <c r="AA2544" s="344" t="s">
        <v>589</v>
      </c>
      <c r="AB2544" s="344">
        <v>1</v>
      </c>
      <c r="AC2544" s="344" t="e">
        <v>#N/A</v>
      </c>
      <c r="AD2544" s="1058" t="s">
        <v>590</v>
      </c>
      <c r="AE2544" s="1059" t="e">
        <v>#N/A</v>
      </c>
      <c r="AF2544" s="889" t="s">
        <v>459</v>
      </c>
      <c r="AG2544" s="889" t="s">
        <v>459</v>
      </c>
    </row>
    <row r="2545" spans="26:33" x14ac:dyDescent="0.35">
      <c r="Z2545" s="344">
        <v>6137</v>
      </c>
      <c r="AA2545" s="344" t="s">
        <v>589</v>
      </c>
      <c r="AB2545" s="344">
        <v>1</v>
      </c>
      <c r="AC2545" s="344" t="e">
        <v>#N/A</v>
      </c>
      <c r="AD2545" s="1058" t="s">
        <v>590</v>
      </c>
      <c r="AE2545" s="1059" t="e">
        <v>#N/A</v>
      </c>
      <c r="AF2545" s="889" t="s">
        <v>459</v>
      </c>
      <c r="AG2545" s="889" t="s">
        <v>459</v>
      </c>
    </row>
    <row r="2546" spans="26:33" x14ac:dyDescent="0.35">
      <c r="Z2546" s="344">
        <v>6138</v>
      </c>
      <c r="AA2546" s="344" t="s">
        <v>589</v>
      </c>
      <c r="AB2546" s="344">
        <v>1</v>
      </c>
      <c r="AC2546" s="344" t="e">
        <v>#N/A</v>
      </c>
      <c r="AD2546" s="1058" t="s">
        <v>590</v>
      </c>
      <c r="AE2546" s="1059" t="e">
        <v>#N/A</v>
      </c>
      <c r="AF2546" s="889" t="s">
        <v>459</v>
      </c>
      <c r="AG2546" s="889" t="s">
        <v>459</v>
      </c>
    </row>
    <row r="2547" spans="26:33" x14ac:dyDescent="0.35">
      <c r="Z2547" s="344">
        <v>6139</v>
      </c>
      <c r="AA2547" s="344" t="s">
        <v>589</v>
      </c>
      <c r="AB2547" s="344">
        <v>1</v>
      </c>
      <c r="AC2547" s="344" t="e">
        <v>#N/A</v>
      </c>
      <c r="AD2547" s="1058" t="s">
        <v>590</v>
      </c>
      <c r="AE2547" s="1059" t="e">
        <v>#N/A</v>
      </c>
      <c r="AF2547" s="889" t="s">
        <v>459</v>
      </c>
      <c r="AG2547" s="889" t="s">
        <v>459</v>
      </c>
    </row>
    <row r="2548" spans="26:33" x14ac:dyDescent="0.35">
      <c r="Z2548" s="344">
        <v>6140</v>
      </c>
      <c r="AA2548" s="344" t="s">
        <v>589</v>
      </c>
      <c r="AB2548" s="344">
        <v>1</v>
      </c>
      <c r="AC2548" s="344" t="e">
        <v>#N/A</v>
      </c>
      <c r="AD2548" s="1058" t="s">
        <v>590</v>
      </c>
      <c r="AE2548" s="1059" t="e">
        <v>#N/A</v>
      </c>
      <c r="AF2548" s="889" t="s">
        <v>459</v>
      </c>
      <c r="AG2548" s="889" t="s">
        <v>459</v>
      </c>
    </row>
    <row r="2549" spans="26:33" x14ac:dyDescent="0.35">
      <c r="Z2549" s="344">
        <v>6141</v>
      </c>
      <c r="AA2549" s="344" t="s">
        <v>589</v>
      </c>
      <c r="AB2549" s="344">
        <v>1</v>
      </c>
      <c r="AC2549" s="344" t="e">
        <v>#N/A</v>
      </c>
      <c r="AD2549" s="1058" t="s">
        <v>590</v>
      </c>
      <c r="AE2549" s="1059" t="e">
        <v>#N/A</v>
      </c>
      <c r="AF2549" s="889" t="s">
        <v>459</v>
      </c>
      <c r="AG2549" s="889" t="s">
        <v>459</v>
      </c>
    </row>
    <row r="2550" spans="26:33" x14ac:dyDescent="0.35">
      <c r="Z2550" s="344">
        <v>6142</v>
      </c>
      <c r="AA2550" s="344" t="s">
        <v>589</v>
      </c>
      <c r="AB2550" s="344">
        <v>1</v>
      </c>
      <c r="AC2550" s="344" t="e">
        <v>#N/A</v>
      </c>
      <c r="AD2550" s="1058" t="s">
        <v>590</v>
      </c>
      <c r="AE2550" s="1059" t="e">
        <v>#N/A</v>
      </c>
      <c r="AF2550" s="889" t="s">
        <v>459</v>
      </c>
      <c r="AG2550" s="889" t="s">
        <v>459</v>
      </c>
    </row>
    <row r="2551" spans="26:33" x14ac:dyDescent="0.35">
      <c r="Z2551" s="344">
        <v>6143</v>
      </c>
      <c r="AA2551" s="344" t="s">
        <v>589</v>
      </c>
      <c r="AB2551" s="344">
        <v>1</v>
      </c>
      <c r="AC2551" s="344" t="e">
        <v>#N/A</v>
      </c>
      <c r="AD2551" s="1058" t="s">
        <v>590</v>
      </c>
      <c r="AE2551" s="1059" t="e">
        <v>#N/A</v>
      </c>
      <c r="AF2551" s="889" t="s">
        <v>459</v>
      </c>
      <c r="AG2551" s="889" t="s">
        <v>459</v>
      </c>
    </row>
    <row r="2552" spans="26:33" x14ac:dyDescent="0.35">
      <c r="Z2552" s="344">
        <v>6144</v>
      </c>
      <c r="AA2552" s="344" t="s">
        <v>589</v>
      </c>
      <c r="AB2552" s="344">
        <v>1</v>
      </c>
      <c r="AC2552" s="344" t="e">
        <v>#N/A</v>
      </c>
      <c r="AD2552" s="1058" t="s">
        <v>590</v>
      </c>
      <c r="AE2552" s="1059" t="e">
        <v>#N/A</v>
      </c>
      <c r="AF2552" s="889" t="s">
        <v>459</v>
      </c>
      <c r="AG2552" s="889" t="s">
        <v>459</v>
      </c>
    </row>
    <row r="2553" spans="26:33" x14ac:dyDescent="0.35">
      <c r="Z2553" s="344">
        <v>6145</v>
      </c>
      <c r="AA2553" s="344" t="s">
        <v>589</v>
      </c>
      <c r="AB2553" s="344">
        <v>1</v>
      </c>
      <c r="AC2553" s="344" t="e">
        <v>#N/A</v>
      </c>
      <c r="AD2553" s="1058" t="s">
        <v>590</v>
      </c>
      <c r="AE2553" s="1059" t="e">
        <v>#N/A</v>
      </c>
      <c r="AF2553" s="889" t="s">
        <v>459</v>
      </c>
      <c r="AG2553" s="889" t="s">
        <v>459</v>
      </c>
    </row>
    <row r="2554" spans="26:33" x14ac:dyDescent="0.35">
      <c r="Z2554" s="344">
        <v>6146</v>
      </c>
      <c r="AA2554" s="344" t="s">
        <v>589</v>
      </c>
      <c r="AB2554" s="344">
        <v>1</v>
      </c>
      <c r="AC2554" s="344" t="e">
        <v>#N/A</v>
      </c>
      <c r="AD2554" s="1058" t="s">
        <v>590</v>
      </c>
      <c r="AE2554" s="1059" t="e">
        <v>#N/A</v>
      </c>
      <c r="AF2554" s="889" t="s">
        <v>459</v>
      </c>
      <c r="AG2554" s="889" t="s">
        <v>459</v>
      </c>
    </row>
    <row r="2555" spans="26:33" x14ac:dyDescent="0.35">
      <c r="Z2555" s="344">
        <v>6147</v>
      </c>
      <c r="AA2555" s="344" t="s">
        <v>589</v>
      </c>
      <c r="AB2555" s="344">
        <v>1</v>
      </c>
      <c r="AC2555" s="344" t="s">
        <v>457</v>
      </c>
      <c r="AD2555" s="1058" t="s">
        <v>590</v>
      </c>
      <c r="AE2555" s="1059">
        <v>473618</v>
      </c>
      <c r="AF2555" s="889" t="s">
        <v>459</v>
      </c>
      <c r="AG2555" s="889" t="s">
        <v>459</v>
      </c>
    </row>
    <row r="2556" spans="26:33" x14ac:dyDescent="0.35">
      <c r="Z2556" s="344">
        <v>6148</v>
      </c>
      <c r="AA2556" s="344" t="s">
        <v>589</v>
      </c>
      <c r="AB2556" s="344">
        <v>1</v>
      </c>
      <c r="AC2556" s="344" t="s">
        <v>479</v>
      </c>
      <c r="AD2556" s="1058" t="s">
        <v>590</v>
      </c>
      <c r="AE2556" s="1059">
        <v>892992</v>
      </c>
      <c r="AF2556" s="889" t="s">
        <v>459</v>
      </c>
      <c r="AG2556" s="889" t="s">
        <v>459</v>
      </c>
    </row>
    <row r="2557" spans="26:33" x14ac:dyDescent="0.35">
      <c r="Z2557" s="344">
        <v>6149</v>
      </c>
      <c r="AA2557" s="344" t="s">
        <v>589</v>
      </c>
      <c r="AB2557" s="344">
        <v>1</v>
      </c>
      <c r="AC2557" s="344" t="s">
        <v>479</v>
      </c>
      <c r="AD2557" s="1058" t="s">
        <v>590</v>
      </c>
      <c r="AE2557" s="1059">
        <v>763623</v>
      </c>
      <c r="AF2557" s="889" t="s">
        <v>459</v>
      </c>
      <c r="AG2557" s="889" t="s">
        <v>459</v>
      </c>
    </row>
    <row r="2558" spans="26:33" x14ac:dyDescent="0.35">
      <c r="Z2558" s="344">
        <v>6150</v>
      </c>
      <c r="AA2558" s="344" t="s">
        <v>589</v>
      </c>
      <c r="AB2558" s="344">
        <v>1</v>
      </c>
      <c r="AC2558" s="344" t="s">
        <v>479</v>
      </c>
      <c r="AD2558" s="1058" t="s">
        <v>590</v>
      </c>
      <c r="AE2558" s="1059">
        <v>829268</v>
      </c>
      <c r="AF2558" s="889" t="s">
        <v>459</v>
      </c>
      <c r="AG2558" s="889" t="s">
        <v>459</v>
      </c>
    </row>
    <row r="2559" spans="26:33" x14ac:dyDescent="0.35">
      <c r="Z2559" s="344">
        <v>6151</v>
      </c>
      <c r="AA2559" s="344" t="s">
        <v>589</v>
      </c>
      <c r="AB2559" s="344">
        <v>1</v>
      </c>
      <c r="AC2559" s="344" t="s">
        <v>482</v>
      </c>
      <c r="AD2559" s="1058" t="s">
        <v>590</v>
      </c>
      <c r="AE2559" s="1059">
        <v>977957</v>
      </c>
      <c r="AF2559" s="889" t="s">
        <v>459</v>
      </c>
      <c r="AG2559" s="889" t="s">
        <v>460</v>
      </c>
    </row>
    <row r="2560" spans="26:33" x14ac:dyDescent="0.35">
      <c r="Z2560" s="344">
        <v>6152</v>
      </c>
      <c r="AA2560" s="344" t="s">
        <v>589</v>
      </c>
      <c r="AB2560" s="344">
        <v>1</v>
      </c>
      <c r="AC2560" s="344" t="s">
        <v>482</v>
      </c>
      <c r="AD2560" s="1058" t="s">
        <v>590</v>
      </c>
      <c r="AE2560" s="1059">
        <v>908464</v>
      </c>
      <c r="AF2560" s="889" t="s">
        <v>459</v>
      </c>
      <c r="AG2560" s="889" t="s">
        <v>459</v>
      </c>
    </row>
    <row r="2561" spans="26:33" x14ac:dyDescent="0.35">
      <c r="Z2561" s="344">
        <v>6153</v>
      </c>
      <c r="AA2561" s="344" t="s">
        <v>589</v>
      </c>
      <c r="AB2561" s="344">
        <v>1</v>
      </c>
      <c r="AC2561" s="344" t="s">
        <v>482</v>
      </c>
      <c r="AD2561" s="1058" t="s">
        <v>590</v>
      </c>
      <c r="AE2561" s="1059">
        <v>1025846</v>
      </c>
      <c r="AF2561" s="889" t="s">
        <v>459</v>
      </c>
      <c r="AG2561" s="889" t="s">
        <v>459</v>
      </c>
    </row>
    <row r="2562" spans="26:33" x14ac:dyDescent="0.35">
      <c r="Z2562" s="344">
        <v>6154</v>
      </c>
      <c r="AA2562" s="344" t="s">
        <v>589</v>
      </c>
      <c r="AB2562" s="344">
        <v>1</v>
      </c>
      <c r="AC2562" s="344" t="s">
        <v>479</v>
      </c>
      <c r="AD2562" s="1058" t="s">
        <v>590</v>
      </c>
      <c r="AE2562" s="1059">
        <v>802257</v>
      </c>
      <c r="AF2562" s="889" t="s">
        <v>459</v>
      </c>
      <c r="AG2562" s="889" t="s">
        <v>459</v>
      </c>
    </row>
    <row r="2563" spans="26:33" x14ac:dyDescent="0.35">
      <c r="Z2563" s="344">
        <v>6155</v>
      </c>
      <c r="AA2563" s="344" t="s">
        <v>589</v>
      </c>
      <c r="AB2563" s="344">
        <v>1</v>
      </c>
      <c r="AC2563" s="344" t="s">
        <v>457</v>
      </c>
      <c r="AD2563" s="1058" t="s">
        <v>590</v>
      </c>
      <c r="AE2563" s="1059">
        <v>680368</v>
      </c>
      <c r="AF2563" s="889" t="s">
        <v>459</v>
      </c>
      <c r="AG2563" s="889" t="s">
        <v>459</v>
      </c>
    </row>
    <row r="2564" spans="26:33" x14ac:dyDescent="0.35">
      <c r="Z2564" s="344">
        <v>6156</v>
      </c>
      <c r="AA2564" s="344" t="s">
        <v>589</v>
      </c>
      <c r="AB2564" s="344">
        <v>1</v>
      </c>
      <c r="AC2564" s="344" t="s">
        <v>479</v>
      </c>
      <c r="AD2564" s="1058" t="s">
        <v>590</v>
      </c>
      <c r="AE2564" s="1059">
        <v>883361</v>
      </c>
      <c r="AF2564" s="889" t="s">
        <v>459</v>
      </c>
      <c r="AG2564" s="889" t="s">
        <v>459</v>
      </c>
    </row>
    <row r="2565" spans="26:33" x14ac:dyDescent="0.35">
      <c r="Z2565" s="344">
        <v>6157</v>
      </c>
      <c r="AA2565" s="344" t="s">
        <v>589</v>
      </c>
      <c r="AB2565" s="344">
        <v>1</v>
      </c>
      <c r="AC2565" s="344" t="s">
        <v>479</v>
      </c>
      <c r="AD2565" s="1058" t="s">
        <v>590</v>
      </c>
      <c r="AE2565" s="1059">
        <v>895009</v>
      </c>
      <c r="AF2565" s="889" t="s">
        <v>459</v>
      </c>
      <c r="AG2565" s="889" t="s">
        <v>459</v>
      </c>
    </row>
    <row r="2566" spans="26:33" x14ac:dyDescent="0.35">
      <c r="Z2566" s="344">
        <v>6158</v>
      </c>
      <c r="AA2566" s="344" t="s">
        <v>589</v>
      </c>
      <c r="AB2566" s="344">
        <v>1</v>
      </c>
      <c r="AC2566" s="344" t="s">
        <v>482</v>
      </c>
      <c r="AD2566" s="1058" t="s">
        <v>590</v>
      </c>
      <c r="AE2566" s="1059">
        <v>1294073</v>
      </c>
      <c r="AF2566" s="889" t="s">
        <v>459</v>
      </c>
      <c r="AG2566" s="889" t="s">
        <v>459</v>
      </c>
    </row>
    <row r="2567" spans="26:33" x14ac:dyDescent="0.35">
      <c r="Z2567" s="344">
        <v>6159</v>
      </c>
      <c r="AA2567" s="344" t="s">
        <v>589</v>
      </c>
      <c r="AB2567" s="344">
        <v>1</v>
      </c>
      <c r="AC2567" s="344" t="s">
        <v>482</v>
      </c>
      <c r="AD2567" s="1058" t="s">
        <v>590</v>
      </c>
      <c r="AE2567" s="1059">
        <v>1186002</v>
      </c>
      <c r="AF2567" s="889" t="s">
        <v>459</v>
      </c>
      <c r="AG2567" s="889" t="s">
        <v>459</v>
      </c>
    </row>
    <row r="2568" spans="26:33" x14ac:dyDescent="0.35">
      <c r="Z2568" s="344">
        <v>6160</v>
      </c>
      <c r="AA2568" s="344" t="s">
        <v>589</v>
      </c>
      <c r="AB2568" s="344">
        <v>1</v>
      </c>
      <c r="AC2568" s="344" t="s">
        <v>479</v>
      </c>
      <c r="AD2568" s="1058" t="s">
        <v>590</v>
      </c>
      <c r="AE2568" s="1059">
        <v>856732</v>
      </c>
      <c r="AF2568" s="889" t="s">
        <v>459</v>
      </c>
      <c r="AG2568" s="889" t="s">
        <v>459</v>
      </c>
    </row>
    <row r="2569" spans="26:33" x14ac:dyDescent="0.35">
      <c r="Z2569" s="344">
        <v>6161</v>
      </c>
      <c r="AA2569" s="344" t="s">
        <v>589</v>
      </c>
      <c r="AB2569" s="344">
        <v>4</v>
      </c>
      <c r="AC2569" s="344" t="e">
        <v>#N/A</v>
      </c>
      <c r="AD2569" s="1058" t="s">
        <v>591</v>
      </c>
      <c r="AE2569" s="1059" t="e">
        <v>#N/A</v>
      </c>
      <c r="AF2569" s="889" t="s">
        <v>459</v>
      </c>
      <c r="AG2569" s="889" t="s">
        <v>459</v>
      </c>
    </row>
    <row r="2570" spans="26:33" x14ac:dyDescent="0.35">
      <c r="Z2570" s="344">
        <v>6162</v>
      </c>
      <c r="AA2570" s="344" t="s">
        <v>589</v>
      </c>
      <c r="AB2570" s="344">
        <v>1</v>
      </c>
      <c r="AC2570" s="344" t="s">
        <v>479</v>
      </c>
      <c r="AD2570" s="1058" t="s">
        <v>590</v>
      </c>
      <c r="AE2570" s="1059">
        <v>849739</v>
      </c>
      <c r="AF2570" s="889" t="s">
        <v>459</v>
      </c>
      <c r="AG2570" s="889" t="s">
        <v>459</v>
      </c>
    </row>
    <row r="2571" spans="26:33" x14ac:dyDescent="0.35">
      <c r="Z2571" s="344">
        <v>6163</v>
      </c>
      <c r="AA2571" s="344" t="s">
        <v>589</v>
      </c>
      <c r="AB2571" s="344">
        <v>1</v>
      </c>
      <c r="AC2571" s="344" t="s">
        <v>457</v>
      </c>
      <c r="AD2571" s="1058" t="s">
        <v>590</v>
      </c>
      <c r="AE2571" s="1059">
        <v>670694</v>
      </c>
      <c r="AF2571" s="889" t="s">
        <v>459</v>
      </c>
      <c r="AG2571" s="889" t="s">
        <v>459</v>
      </c>
    </row>
    <row r="2572" spans="26:33" x14ac:dyDescent="0.35">
      <c r="Z2572" s="344">
        <v>6164</v>
      </c>
      <c r="AA2572" s="344" t="s">
        <v>589</v>
      </c>
      <c r="AB2572" s="344">
        <v>1</v>
      </c>
      <c r="AC2572" s="344" t="s">
        <v>457</v>
      </c>
      <c r="AD2572" s="1058" t="s">
        <v>590</v>
      </c>
      <c r="AE2572" s="1059">
        <v>638763</v>
      </c>
      <c r="AF2572" s="889" t="s">
        <v>459</v>
      </c>
      <c r="AG2572" s="889" t="s">
        <v>460</v>
      </c>
    </row>
    <row r="2573" spans="26:33" x14ac:dyDescent="0.35">
      <c r="Z2573" s="344">
        <v>6165</v>
      </c>
      <c r="AA2573" s="344" t="s">
        <v>589</v>
      </c>
      <c r="AB2573" s="344">
        <v>4</v>
      </c>
      <c r="AC2573" s="344" t="e">
        <v>#N/A</v>
      </c>
      <c r="AD2573" s="1058" t="s">
        <v>591</v>
      </c>
      <c r="AE2573" s="1059" t="e">
        <v>#N/A</v>
      </c>
      <c r="AF2573" s="889" t="s">
        <v>459</v>
      </c>
      <c r="AG2573" s="889" t="s">
        <v>459</v>
      </c>
    </row>
    <row r="2574" spans="26:33" x14ac:dyDescent="0.35">
      <c r="Z2574" s="344">
        <v>6166</v>
      </c>
      <c r="AA2574" s="344" t="s">
        <v>589</v>
      </c>
      <c r="AB2574" s="344">
        <v>1</v>
      </c>
      <c r="AC2574" s="344" t="s">
        <v>457</v>
      </c>
      <c r="AD2574" s="1058" t="s">
        <v>590</v>
      </c>
      <c r="AE2574" s="1059">
        <v>724092</v>
      </c>
      <c r="AF2574" s="889" t="s">
        <v>459</v>
      </c>
      <c r="AG2574" s="889" t="s">
        <v>459</v>
      </c>
    </row>
    <row r="2575" spans="26:33" x14ac:dyDescent="0.35">
      <c r="Z2575" s="344">
        <v>6167</v>
      </c>
      <c r="AA2575" s="344" t="s">
        <v>589</v>
      </c>
      <c r="AB2575" s="344">
        <v>1</v>
      </c>
      <c r="AC2575" s="344" t="s">
        <v>471</v>
      </c>
      <c r="AD2575" s="1058" t="s">
        <v>590</v>
      </c>
      <c r="AE2575" s="1059">
        <v>429315</v>
      </c>
      <c r="AF2575" s="889" t="s">
        <v>459</v>
      </c>
      <c r="AG2575" s="889" t="s">
        <v>459</v>
      </c>
    </row>
    <row r="2576" spans="26:33" x14ac:dyDescent="0.35">
      <c r="Z2576" s="344">
        <v>6168</v>
      </c>
      <c r="AA2576" s="344" t="s">
        <v>589</v>
      </c>
      <c r="AB2576" s="344">
        <v>1</v>
      </c>
      <c r="AC2576" s="344" t="s">
        <v>471</v>
      </c>
      <c r="AD2576" s="1058" t="s">
        <v>590</v>
      </c>
      <c r="AE2576" s="1059">
        <v>358433</v>
      </c>
      <c r="AF2576" s="889" t="s">
        <v>460</v>
      </c>
      <c r="AG2576" s="889" t="s">
        <v>460</v>
      </c>
    </row>
    <row r="2577" spans="26:33" x14ac:dyDescent="0.35">
      <c r="Z2577" s="344">
        <v>6169</v>
      </c>
      <c r="AA2577" s="344" t="s">
        <v>589</v>
      </c>
      <c r="AB2577" s="344">
        <v>1</v>
      </c>
      <c r="AC2577" s="344" t="s">
        <v>471</v>
      </c>
      <c r="AD2577" s="1058" t="s">
        <v>590</v>
      </c>
      <c r="AE2577" s="1059">
        <v>437891</v>
      </c>
      <c r="AF2577" s="889" t="s">
        <v>460</v>
      </c>
      <c r="AG2577" s="889" t="s">
        <v>459</v>
      </c>
    </row>
    <row r="2578" spans="26:33" x14ac:dyDescent="0.35">
      <c r="Z2578" s="344">
        <v>6170</v>
      </c>
      <c r="AA2578" s="344" t="s">
        <v>589</v>
      </c>
      <c r="AB2578" s="344">
        <v>1</v>
      </c>
      <c r="AC2578" s="344" t="s">
        <v>471</v>
      </c>
      <c r="AD2578" s="1058" t="s">
        <v>590</v>
      </c>
      <c r="AE2578" s="1059">
        <v>386439</v>
      </c>
      <c r="AF2578" s="889" t="s">
        <v>459</v>
      </c>
      <c r="AG2578" s="889" t="s">
        <v>459</v>
      </c>
    </row>
    <row r="2579" spans="26:33" x14ac:dyDescent="0.35">
      <c r="Z2579" s="344">
        <v>6171</v>
      </c>
      <c r="AA2579" s="344" t="s">
        <v>589</v>
      </c>
      <c r="AB2579" s="344">
        <v>1</v>
      </c>
      <c r="AC2579" s="344" t="s">
        <v>457</v>
      </c>
      <c r="AD2579" s="1058" t="s">
        <v>590</v>
      </c>
      <c r="AE2579" s="1059">
        <v>463860</v>
      </c>
      <c r="AF2579" s="889" t="s">
        <v>459</v>
      </c>
      <c r="AG2579" s="889" t="s">
        <v>459</v>
      </c>
    </row>
    <row r="2580" spans="26:33" x14ac:dyDescent="0.35">
      <c r="Z2580" s="344">
        <v>6172</v>
      </c>
      <c r="AA2580" s="344" t="s">
        <v>589</v>
      </c>
      <c r="AB2580" s="344">
        <v>1</v>
      </c>
      <c r="AC2580" s="344" t="s">
        <v>471</v>
      </c>
      <c r="AD2580" s="1058" t="s">
        <v>590</v>
      </c>
      <c r="AE2580" s="1059">
        <v>414212</v>
      </c>
      <c r="AF2580" s="889" t="s">
        <v>459</v>
      </c>
      <c r="AG2580" s="889" t="s">
        <v>459</v>
      </c>
    </row>
    <row r="2581" spans="26:33" x14ac:dyDescent="0.35">
      <c r="Z2581" s="344">
        <v>6173</v>
      </c>
      <c r="AA2581" s="344" t="s">
        <v>589</v>
      </c>
      <c r="AB2581" s="344">
        <v>1</v>
      </c>
      <c r="AC2581" s="344" t="s">
        <v>457</v>
      </c>
      <c r="AD2581" s="1058" t="s">
        <v>590</v>
      </c>
      <c r="AE2581" s="1059">
        <v>514735</v>
      </c>
      <c r="AF2581" s="889" t="s">
        <v>459</v>
      </c>
      <c r="AG2581" s="889" t="s">
        <v>459</v>
      </c>
    </row>
    <row r="2582" spans="26:33" x14ac:dyDescent="0.35">
      <c r="Z2582" s="344">
        <v>6174</v>
      </c>
      <c r="AA2582" s="344" t="s">
        <v>589</v>
      </c>
      <c r="AB2582" s="344">
        <v>1</v>
      </c>
      <c r="AC2582" s="344" t="s">
        <v>471</v>
      </c>
      <c r="AD2582" s="1058" t="s">
        <v>590</v>
      </c>
      <c r="AE2582" s="1059">
        <v>419814</v>
      </c>
      <c r="AF2582" s="889" t="s">
        <v>460</v>
      </c>
      <c r="AG2582" s="889" t="s">
        <v>459</v>
      </c>
    </row>
    <row r="2583" spans="26:33" x14ac:dyDescent="0.35">
      <c r="Z2583" s="344">
        <v>6175</v>
      </c>
      <c r="AA2583" s="344" t="s">
        <v>589</v>
      </c>
      <c r="AB2583" s="344">
        <v>1</v>
      </c>
      <c r="AC2583" s="344" t="s">
        <v>457</v>
      </c>
      <c r="AD2583" s="1058" t="s">
        <v>590</v>
      </c>
      <c r="AE2583" s="1059">
        <v>498152</v>
      </c>
      <c r="AF2583" s="889" t="s">
        <v>459</v>
      </c>
      <c r="AG2583" s="889" t="s">
        <v>459</v>
      </c>
    </row>
    <row r="2584" spans="26:33" x14ac:dyDescent="0.35">
      <c r="Z2584" s="344">
        <v>6176</v>
      </c>
      <c r="AA2584" s="344" t="s">
        <v>589</v>
      </c>
      <c r="AB2584" s="344">
        <v>1</v>
      </c>
      <c r="AC2584" s="344" t="s">
        <v>482</v>
      </c>
      <c r="AD2584" s="1058" t="s">
        <v>590</v>
      </c>
      <c r="AE2584" s="1059">
        <v>929437</v>
      </c>
      <c r="AF2584" s="889" t="s">
        <v>459</v>
      </c>
      <c r="AG2584" s="889" t="s">
        <v>459</v>
      </c>
    </row>
    <row r="2585" spans="26:33" x14ac:dyDescent="0.35">
      <c r="Z2585" s="344">
        <v>6177</v>
      </c>
      <c r="AA2585" s="344" t="s">
        <v>589</v>
      </c>
      <c r="AB2585" s="344">
        <v>1</v>
      </c>
      <c r="AC2585" s="344" t="e">
        <v>#N/A</v>
      </c>
      <c r="AD2585" s="1058" t="s">
        <v>590</v>
      </c>
      <c r="AE2585" s="1059" t="e">
        <v>#N/A</v>
      </c>
      <c r="AF2585" s="889" t="s">
        <v>459</v>
      </c>
      <c r="AG2585" s="889" t="s">
        <v>459</v>
      </c>
    </row>
    <row r="2586" spans="26:33" x14ac:dyDescent="0.35">
      <c r="Z2586" s="344">
        <v>6178</v>
      </c>
      <c r="AA2586" s="344" t="s">
        <v>589</v>
      </c>
      <c r="AB2586" s="344">
        <v>1</v>
      </c>
      <c r="AC2586" s="344" t="e">
        <v>#N/A</v>
      </c>
      <c r="AD2586" s="1058" t="s">
        <v>590</v>
      </c>
      <c r="AE2586" s="1059" t="e">
        <v>#N/A</v>
      </c>
      <c r="AF2586" s="889" t="s">
        <v>459</v>
      </c>
      <c r="AG2586" s="889" t="s">
        <v>459</v>
      </c>
    </row>
    <row r="2587" spans="26:33" x14ac:dyDescent="0.35">
      <c r="Z2587" s="344">
        <v>6179</v>
      </c>
      <c r="AA2587" s="344" t="s">
        <v>589</v>
      </c>
      <c r="AB2587" s="344">
        <v>1</v>
      </c>
      <c r="AC2587" s="344" t="e">
        <v>#N/A</v>
      </c>
      <c r="AD2587" s="1058" t="s">
        <v>590</v>
      </c>
      <c r="AE2587" s="1059" t="e">
        <v>#N/A</v>
      </c>
      <c r="AF2587" s="889" t="s">
        <v>459</v>
      </c>
      <c r="AG2587" s="889" t="s">
        <v>459</v>
      </c>
    </row>
    <row r="2588" spans="26:33" x14ac:dyDescent="0.35">
      <c r="Z2588" s="344">
        <v>6180</v>
      </c>
      <c r="AA2588" s="344" t="s">
        <v>589</v>
      </c>
      <c r="AB2588" s="344">
        <v>1</v>
      </c>
      <c r="AC2588" s="344" t="s">
        <v>457</v>
      </c>
      <c r="AD2588" s="1058" t="s">
        <v>590</v>
      </c>
      <c r="AE2588" s="1059">
        <v>586492</v>
      </c>
      <c r="AF2588" s="889" t="s">
        <v>459</v>
      </c>
      <c r="AG2588" s="889" t="s">
        <v>459</v>
      </c>
    </row>
    <row r="2589" spans="26:33" x14ac:dyDescent="0.35">
      <c r="Z2589" s="344">
        <v>6181</v>
      </c>
      <c r="AA2589" s="344" t="s">
        <v>589</v>
      </c>
      <c r="AB2589" s="344">
        <v>1</v>
      </c>
      <c r="AC2589" s="344" t="e">
        <v>#N/A</v>
      </c>
      <c r="AD2589" s="1058" t="s">
        <v>590</v>
      </c>
      <c r="AE2589" s="1059" t="e">
        <v>#N/A</v>
      </c>
      <c r="AF2589" s="889" t="s">
        <v>459</v>
      </c>
      <c r="AG2589" s="889" t="s">
        <v>459</v>
      </c>
    </row>
    <row r="2590" spans="26:33" x14ac:dyDescent="0.35">
      <c r="Z2590" s="344">
        <v>6182</v>
      </c>
      <c r="AA2590" s="344" t="s">
        <v>589</v>
      </c>
      <c r="AB2590" s="344">
        <v>4</v>
      </c>
      <c r="AC2590" s="344" t="e">
        <v>#N/A</v>
      </c>
      <c r="AD2590" s="1058" t="s">
        <v>591</v>
      </c>
      <c r="AE2590" s="1059" t="e">
        <v>#N/A</v>
      </c>
      <c r="AF2590" s="889" t="s">
        <v>459</v>
      </c>
      <c r="AG2590" s="889" t="s">
        <v>459</v>
      </c>
    </row>
    <row r="2591" spans="26:33" x14ac:dyDescent="0.35">
      <c r="Z2591" s="344">
        <v>6183</v>
      </c>
      <c r="AA2591" s="344" t="s">
        <v>589</v>
      </c>
      <c r="AB2591" s="344">
        <v>1</v>
      </c>
      <c r="AC2591" s="344" t="e">
        <v>#N/A</v>
      </c>
      <c r="AD2591" s="1058" t="s">
        <v>590</v>
      </c>
      <c r="AE2591" s="1059" t="e">
        <v>#N/A</v>
      </c>
      <c r="AF2591" s="889" t="s">
        <v>459</v>
      </c>
      <c r="AG2591" s="889" t="s">
        <v>459</v>
      </c>
    </row>
    <row r="2592" spans="26:33" x14ac:dyDescent="0.35">
      <c r="Z2592" s="344">
        <v>6184</v>
      </c>
      <c r="AA2592" s="344" t="s">
        <v>589</v>
      </c>
      <c r="AB2592" s="344">
        <v>1</v>
      </c>
      <c r="AC2592" s="344" t="e">
        <v>#N/A</v>
      </c>
      <c r="AD2592" s="1058" t="s">
        <v>590</v>
      </c>
      <c r="AE2592" s="1059" t="e">
        <v>#N/A</v>
      </c>
      <c r="AF2592" s="889" t="s">
        <v>459</v>
      </c>
      <c r="AG2592" s="889" t="s">
        <v>459</v>
      </c>
    </row>
    <row r="2593" spans="26:33" x14ac:dyDescent="0.35">
      <c r="Z2593" s="344">
        <v>6185</v>
      </c>
      <c r="AA2593" s="344" t="s">
        <v>589</v>
      </c>
      <c r="AB2593" s="344">
        <v>1</v>
      </c>
      <c r="AC2593" s="344" t="e">
        <v>#N/A</v>
      </c>
      <c r="AD2593" s="1058" t="s">
        <v>590</v>
      </c>
      <c r="AE2593" s="1059" t="e">
        <v>#N/A</v>
      </c>
      <c r="AF2593" s="889" t="s">
        <v>459</v>
      </c>
      <c r="AG2593" s="889" t="s">
        <v>459</v>
      </c>
    </row>
    <row r="2594" spans="26:33" x14ac:dyDescent="0.35">
      <c r="Z2594" s="344">
        <v>6186</v>
      </c>
      <c r="AA2594" s="344" t="s">
        <v>589</v>
      </c>
      <c r="AB2594" s="344">
        <v>1</v>
      </c>
      <c r="AC2594" s="344" t="e">
        <v>#N/A</v>
      </c>
      <c r="AD2594" s="1058" t="s">
        <v>590</v>
      </c>
      <c r="AE2594" s="1059" t="e">
        <v>#N/A</v>
      </c>
      <c r="AF2594" s="889" t="s">
        <v>459</v>
      </c>
      <c r="AG2594" s="889" t="s">
        <v>459</v>
      </c>
    </row>
    <row r="2595" spans="26:33" x14ac:dyDescent="0.35">
      <c r="Z2595" s="344">
        <v>6187</v>
      </c>
      <c r="AA2595" s="344" t="s">
        <v>589</v>
      </c>
      <c r="AB2595" s="344">
        <v>1</v>
      </c>
      <c r="AC2595" s="344" t="e">
        <v>#N/A</v>
      </c>
      <c r="AD2595" s="1058" t="s">
        <v>590</v>
      </c>
      <c r="AE2595" s="1059" t="e">
        <v>#N/A</v>
      </c>
      <c r="AF2595" s="889" t="s">
        <v>459</v>
      </c>
      <c r="AG2595" s="889" t="s">
        <v>459</v>
      </c>
    </row>
    <row r="2596" spans="26:33" x14ac:dyDescent="0.35">
      <c r="Z2596" s="344">
        <v>6188</v>
      </c>
      <c r="AA2596" s="344" t="s">
        <v>589</v>
      </c>
      <c r="AB2596" s="344">
        <v>1</v>
      </c>
      <c r="AC2596" s="344" t="e">
        <v>#N/A</v>
      </c>
      <c r="AD2596" s="1058" t="s">
        <v>590</v>
      </c>
      <c r="AE2596" s="1059" t="e">
        <v>#N/A</v>
      </c>
      <c r="AF2596" s="889" t="s">
        <v>459</v>
      </c>
      <c r="AG2596" s="889" t="s">
        <v>459</v>
      </c>
    </row>
    <row r="2597" spans="26:33" x14ac:dyDescent="0.35">
      <c r="Z2597" s="344">
        <v>6189</v>
      </c>
      <c r="AA2597" s="344" t="s">
        <v>589</v>
      </c>
      <c r="AB2597" s="344">
        <v>1</v>
      </c>
      <c r="AC2597" s="344" t="e">
        <v>#N/A</v>
      </c>
      <c r="AD2597" s="1058" t="s">
        <v>590</v>
      </c>
      <c r="AE2597" s="1059" t="e">
        <v>#N/A</v>
      </c>
      <c r="AF2597" s="889" t="s">
        <v>459</v>
      </c>
      <c r="AG2597" s="889" t="s">
        <v>459</v>
      </c>
    </row>
    <row r="2598" spans="26:33" x14ac:dyDescent="0.35">
      <c r="Z2598" s="344">
        <v>6190</v>
      </c>
      <c r="AA2598" s="344" t="s">
        <v>589</v>
      </c>
      <c r="AB2598" s="344">
        <v>1</v>
      </c>
      <c r="AC2598" s="344" t="e">
        <v>#N/A</v>
      </c>
      <c r="AD2598" s="1058" t="s">
        <v>590</v>
      </c>
      <c r="AE2598" s="1059" t="e">
        <v>#N/A</v>
      </c>
      <c r="AF2598" s="889" t="s">
        <v>459</v>
      </c>
      <c r="AG2598" s="889" t="s">
        <v>459</v>
      </c>
    </row>
    <row r="2599" spans="26:33" x14ac:dyDescent="0.35">
      <c r="Z2599" s="344">
        <v>6191</v>
      </c>
      <c r="AA2599" s="344" t="s">
        <v>589</v>
      </c>
      <c r="AB2599" s="344">
        <v>1</v>
      </c>
      <c r="AC2599" s="344" t="e">
        <v>#N/A</v>
      </c>
      <c r="AD2599" s="1058" t="s">
        <v>590</v>
      </c>
      <c r="AE2599" s="1059" t="e">
        <v>#N/A</v>
      </c>
      <c r="AF2599" s="889" t="s">
        <v>459</v>
      </c>
      <c r="AG2599" s="889" t="s">
        <v>459</v>
      </c>
    </row>
    <row r="2600" spans="26:33" x14ac:dyDescent="0.35">
      <c r="Z2600" s="344">
        <v>6192</v>
      </c>
      <c r="AA2600" s="344" t="s">
        <v>589</v>
      </c>
      <c r="AB2600" s="344">
        <v>1</v>
      </c>
      <c r="AC2600" s="344" t="e">
        <v>#N/A</v>
      </c>
      <c r="AD2600" s="1058" t="s">
        <v>590</v>
      </c>
      <c r="AE2600" s="1059" t="e">
        <v>#N/A</v>
      </c>
      <c r="AF2600" s="889" t="s">
        <v>459</v>
      </c>
      <c r="AG2600" s="889" t="s">
        <v>459</v>
      </c>
    </row>
    <row r="2601" spans="26:33" x14ac:dyDescent="0.35">
      <c r="Z2601" s="344">
        <v>6193</v>
      </c>
      <c r="AA2601" s="344" t="s">
        <v>589</v>
      </c>
      <c r="AB2601" s="344">
        <v>1</v>
      </c>
      <c r="AC2601" s="344" t="e">
        <v>#N/A</v>
      </c>
      <c r="AD2601" s="1058" t="s">
        <v>590</v>
      </c>
      <c r="AE2601" s="1059" t="e">
        <v>#N/A</v>
      </c>
      <c r="AF2601" s="889" t="s">
        <v>459</v>
      </c>
      <c r="AG2601" s="889" t="s">
        <v>459</v>
      </c>
    </row>
    <row r="2602" spans="26:33" x14ac:dyDescent="0.35">
      <c r="Z2602" s="344">
        <v>6194</v>
      </c>
      <c r="AA2602" s="344" t="s">
        <v>589</v>
      </c>
      <c r="AB2602" s="344">
        <v>1</v>
      </c>
      <c r="AC2602" s="344" t="e">
        <v>#N/A</v>
      </c>
      <c r="AD2602" s="1058" t="s">
        <v>590</v>
      </c>
      <c r="AE2602" s="1059" t="e">
        <v>#N/A</v>
      </c>
      <c r="AF2602" s="889" t="s">
        <v>459</v>
      </c>
      <c r="AG2602" s="889" t="s">
        <v>459</v>
      </c>
    </row>
    <row r="2603" spans="26:33" x14ac:dyDescent="0.35">
      <c r="Z2603" s="344">
        <v>6195</v>
      </c>
      <c r="AA2603" s="344" t="s">
        <v>589</v>
      </c>
      <c r="AB2603" s="344">
        <v>1</v>
      </c>
      <c r="AC2603" s="344" t="e">
        <v>#N/A</v>
      </c>
      <c r="AD2603" s="1058" t="s">
        <v>590</v>
      </c>
      <c r="AE2603" s="1059" t="e">
        <v>#N/A</v>
      </c>
      <c r="AF2603" s="889" t="s">
        <v>459</v>
      </c>
      <c r="AG2603" s="889" t="s">
        <v>459</v>
      </c>
    </row>
    <row r="2604" spans="26:33" x14ac:dyDescent="0.35">
      <c r="Z2604" s="344">
        <v>6196</v>
      </c>
      <c r="AA2604" s="344" t="s">
        <v>589</v>
      </c>
      <c r="AB2604" s="344">
        <v>1</v>
      </c>
      <c r="AC2604" s="344" t="e">
        <v>#N/A</v>
      </c>
      <c r="AD2604" s="1058" t="s">
        <v>590</v>
      </c>
      <c r="AE2604" s="1059" t="e">
        <v>#N/A</v>
      </c>
      <c r="AF2604" s="889" t="s">
        <v>459</v>
      </c>
      <c r="AG2604" s="889" t="s">
        <v>459</v>
      </c>
    </row>
    <row r="2605" spans="26:33" x14ac:dyDescent="0.35">
      <c r="Z2605" s="344">
        <v>6197</v>
      </c>
      <c r="AA2605" s="344" t="s">
        <v>589</v>
      </c>
      <c r="AB2605" s="344">
        <v>1</v>
      </c>
      <c r="AC2605" s="344" t="e">
        <v>#N/A</v>
      </c>
      <c r="AD2605" s="1058" t="s">
        <v>590</v>
      </c>
      <c r="AE2605" s="1059" t="e">
        <v>#N/A</v>
      </c>
      <c r="AF2605" s="889" t="s">
        <v>459</v>
      </c>
      <c r="AG2605" s="889" t="s">
        <v>459</v>
      </c>
    </row>
    <row r="2606" spans="26:33" x14ac:dyDescent="0.35">
      <c r="Z2606" s="344">
        <v>6198</v>
      </c>
      <c r="AA2606" s="344" t="s">
        <v>589</v>
      </c>
      <c r="AB2606" s="344">
        <v>1</v>
      </c>
      <c r="AC2606" s="344" t="e">
        <v>#N/A</v>
      </c>
      <c r="AD2606" s="1058" t="s">
        <v>590</v>
      </c>
      <c r="AE2606" s="1059" t="e">
        <v>#N/A</v>
      </c>
      <c r="AF2606" s="889" t="s">
        <v>459</v>
      </c>
      <c r="AG2606" s="889" t="s">
        <v>459</v>
      </c>
    </row>
    <row r="2607" spans="26:33" x14ac:dyDescent="0.35">
      <c r="Z2607" s="344">
        <v>6199</v>
      </c>
      <c r="AA2607" s="344" t="s">
        <v>589</v>
      </c>
      <c r="AB2607" s="344">
        <v>1</v>
      </c>
      <c r="AC2607" s="344" t="e">
        <v>#N/A</v>
      </c>
      <c r="AD2607" s="1058" t="s">
        <v>590</v>
      </c>
      <c r="AE2607" s="1059" t="e">
        <v>#N/A</v>
      </c>
      <c r="AF2607" s="889" t="s">
        <v>459</v>
      </c>
      <c r="AG2607" s="889" t="s">
        <v>459</v>
      </c>
    </row>
    <row r="2608" spans="26:33" x14ac:dyDescent="0.35">
      <c r="Z2608" s="344">
        <v>6200</v>
      </c>
      <c r="AA2608" s="344" t="s">
        <v>589</v>
      </c>
      <c r="AB2608" s="344">
        <v>1</v>
      </c>
      <c r="AC2608" s="344" t="e">
        <v>#N/A</v>
      </c>
      <c r="AD2608" s="1058" t="s">
        <v>590</v>
      </c>
      <c r="AE2608" s="1059" t="e">
        <v>#N/A</v>
      </c>
      <c r="AF2608" s="889" t="s">
        <v>459</v>
      </c>
      <c r="AG2608" s="889" t="s">
        <v>459</v>
      </c>
    </row>
    <row r="2609" spans="26:33" x14ac:dyDescent="0.35">
      <c r="Z2609" s="344">
        <v>6201</v>
      </c>
      <c r="AA2609" s="344" t="s">
        <v>589</v>
      </c>
      <c r="AB2609" s="344">
        <v>1</v>
      </c>
      <c r="AC2609" s="344" t="e">
        <v>#N/A</v>
      </c>
      <c r="AD2609" s="1058" t="s">
        <v>590</v>
      </c>
      <c r="AE2609" s="1059" t="e">
        <v>#N/A</v>
      </c>
      <c r="AF2609" s="889" t="s">
        <v>459</v>
      </c>
      <c r="AG2609" s="889" t="s">
        <v>459</v>
      </c>
    </row>
    <row r="2610" spans="26:33" x14ac:dyDescent="0.35">
      <c r="Z2610" s="344">
        <v>6202</v>
      </c>
      <c r="AA2610" s="344" t="s">
        <v>589</v>
      </c>
      <c r="AB2610" s="344">
        <v>1</v>
      </c>
      <c r="AC2610" s="344" t="e">
        <v>#N/A</v>
      </c>
      <c r="AD2610" s="1058" t="s">
        <v>590</v>
      </c>
      <c r="AE2610" s="1059" t="e">
        <v>#N/A</v>
      </c>
      <c r="AF2610" s="889" t="s">
        <v>459</v>
      </c>
      <c r="AG2610" s="889" t="s">
        <v>459</v>
      </c>
    </row>
    <row r="2611" spans="26:33" x14ac:dyDescent="0.35">
      <c r="Z2611" s="344">
        <v>6203</v>
      </c>
      <c r="AA2611" s="344" t="s">
        <v>589</v>
      </c>
      <c r="AB2611" s="344">
        <v>1</v>
      </c>
      <c r="AC2611" s="344" t="e">
        <v>#N/A</v>
      </c>
      <c r="AD2611" s="1058" t="s">
        <v>590</v>
      </c>
      <c r="AE2611" s="1059" t="e">
        <v>#N/A</v>
      </c>
      <c r="AF2611" s="889" t="s">
        <v>459</v>
      </c>
      <c r="AG2611" s="889" t="s">
        <v>459</v>
      </c>
    </row>
    <row r="2612" spans="26:33" x14ac:dyDescent="0.35">
      <c r="Z2612" s="344">
        <v>6204</v>
      </c>
      <c r="AA2612" s="344" t="s">
        <v>589</v>
      </c>
      <c r="AB2612" s="344">
        <v>1</v>
      </c>
      <c r="AC2612" s="344" t="e">
        <v>#N/A</v>
      </c>
      <c r="AD2612" s="1058" t="s">
        <v>590</v>
      </c>
      <c r="AE2612" s="1059" t="e">
        <v>#N/A</v>
      </c>
      <c r="AF2612" s="889" t="s">
        <v>459</v>
      </c>
      <c r="AG2612" s="889" t="s">
        <v>459</v>
      </c>
    </row>
    <row r="2613" spans="26:33" x14ac:dyDescent="0.35">
      <c r="Z2613" s="344">
        <v>6205</v>
      </c>
      <c r="AA2613" s="344" t="s">
        <v>589</v>
      </c>
      <c r="AB2613" s="344">
        <v>1</v>
      </c>
      <c r="AC2613" s="344" t="e">
        <v>#N/A</v>
      </c>
      <c r="AD2613" s="1058" t="s">
        <v>590</v>
      </c>
      <c r="AE2613" s="1059" t="e">
        <v>#N/A</v>
      </c>
      <c r="AF2613" s="889" t="s">
        <v>459</v>
      </c>
      <c r="AG2613" s="889" t="s">
        <v>459</v>
      </c>
    </row>
    <row r="2614" spans="26:33" x14ac:dyDescent="0.35">
      <c r="Z2614" s="344">
        <v>6206</v>
      </c>
      <c r="AA2614" s="344" t="s">
        <v>589</v>
      </c>
      <c r="AB2614" s="344">
        <v>1</v>
      </c>
      <c r="AC2614" s="344" t="e">
        <v>#N/A</v>
      </c>
      <c r="AD2614" s="1058" t="s">
        <v>590</v>
      </c>
      <c r="AE2614" s="1059" t="e">
        <v>#N/A</v>
      </c>
      <c r="AF2614" s="889" t="s">
        <v>459</v>
      </c>
      <c r="AG2614" s="889" t="s">
        <v>459</v>
      </c>
    </row>
    <row r="2615" spans="26:33" x14ac:dyDescent="0.35">
      <c r="Z2615" s="344">
        <v>6207</v>
      </c>
      <c r="AA2615" s="344" t="s">
        <v>589</v>
      </c>
      <c r="AB2615" s="344">
        <v>1</v>
      </c>
      <c r="AC2615" s="344" t="s">
        <v>471</v>
      </c>
      <c r="AD2615" s="1058" t="s">
        <v>590</v>
      </c>
      <c r="AE2615" s="1059">
        <v>339003</v>
      </c>
      <c r="AF2615" s="889" t="s">
        <v>459</v>
      </c>
      <c r="AG2615" s="889" t="s">
        <v>459</v>
      </c>
    </row>
    <row r="2616" spans="26:33" x14ac:dyDescent="0.35">
      <c r="Z2616" s="344">
        <v>6208</v>
      </c>
      <c r="AA2616" s="344" t="s">
        <v>589</v>
      </c>
      <c r="AB2616" s="344">
        <v>1</v>
      </c>
      <c r="AC2616" s="344" t="s">
        <v>471</v>
      </c>
      <c r="AD2616" s="1058" t="s">
        <v>590</v>
      </c>
      <c r="AE2616" s="1059">
        <v>441455</v>
      </c>
      <c r="AF2616" s="889" t="s">
        <v>460</v>
      </c>
      <c r="AG2616" s="889" t="s">
        <v>459</v>
      </c>
    </row>
    <row r="2617" spans="26:33" x14ac:dyDescent="0.35">
      <c r="Z2617" s="344">
        <v>6209</v>
      </c>
      <c r="AA2617" s="344" t="s">
        <v>589</v>
      </c>
      <c r="AB2617" s="344">
        <v>1</v>
      </c>
      <c r="AC2617" s="344" t="s">
        <v>457</v>
      </c>
      <c r="AD2617" s="1058" t="s">
        <v>590</v>
      </c>
      <c r="AE2617" s="1059">
        <v>582024</v>
      </c>
      <c r="AF2617" s="889" t="s">
        <v>460</v>
      </c>
      <c r="AG2617" s="889" t="s">
        <v>459</v>
      </c>
    </row>
    <row r="2618" spans="26:33" x14ac:dyDescent="0.35">
      <c r="Z2618" s="344">
        <v>6210</v>
      </c>
      <c r="AA2618" s="344" t="s">
        <v>589</v>
      </c>
      <c r="AB2618" s="344">
        <v>1</v>
      </c>
      <c r="AC2618" s="344" t="s">
        <v>471</v>
      </c>
      <c r="AD2618" s="1058" t="s">
        <v>590</v>
      </c>
      <c r="AE2618" s="1059">
        <v>418648</v>
      </c>
      <c r="AF2618" s="889" t="s">
        <v>460</v>
      </c>
      <c r="AG2618" s="889" t="s">
        <v>269</v>
      </c>
    </row>
    <row r="2619" spans="26:33" x14ac:dyDescent="0.35">
      <c r="Z2619" s="344">
        <v>6211</v>
      </c>
      <c r="AA2619" s="344" t="s">
        <v>589</v>
      </c>
      <c r="AB2619" s="344">
        <v>1</v>
      </c>
      <c r="AC2619" s="344" t="s">
        <v>457</v>
      </c>
      <c r="AD2619" s="1058" t="s">
        <v>590</v>
      </c>
      <c r="AE2619" s="1059">
        <v>517569</v>
      </c>
      <c r="AF2619" s="889" t="s">
        <v>459</v>
      </c>
      <c r="AG2619" s="889" t="s">
        <v>459</v>
      </c>
    </row>
    <row r="2620" spans="26:33" x14ac:dyDescent="0.35">
      <c r="Z2620" s="344">
        <v>6212</v>
      </c>
      <c r="AA2620" s="344" t="s">
        <v>589</v>
      </c>
      <c r="AB2620" s="344">
        <v>1</v>
      </c>
      <c r="AC2620" s="344" t="e">
        <v>#N/A</v>
      </c>
      <c r="AD2620" s="1058" t="s">
        <v>590</v>
      </c>
      <c r="AE2620" s="1059" t="e">
        <v>#N/A</v>
      </c>
      <c r="AF2620" s="889" t="s">
        <v>459</v>
      </c>
      <c r="AG2620" s="889" t="s">
        <v>459</v>
      </c>
    </row>
    <row r="2621" spans="26:33" x14ac:dyDescent="0.35">
      <c r="Z2621" s="344">
        <v>6213</v>
      </c>
      <c r="AA2621" s="344" t="s">
        <v>589</v>
      </c>
      <c r="AB2621" s="344">
        <v>3</v>
      </c>
      <c r="AC2621" s="344" t="s">
        <v>471</v>
      </c>
      <c r="AD2621" s="1058" t="s">
        <v>592</v>
      </c>
      <c r="AE2621" s="1059">
        <v>326158</v>
      </c>
      <c r="AF2621" s="889" t="s">
        <v>459</v>
      </c>
      <c r="AG2621" s="889" t="s">
        <v>459</v>
      </c>
    </row>
    <row r="2622" spans="26:33" x14ac:dyDescent="0.35">
      <c r="Z2622" s="344">
        <v>6214</v>
      </c>
      <c r="AA2622" s="344" t="s">
        <v>589</v>
      </c>
      <c r="AB2622" s="344">
        <v>1</v>
      </c>
      <c r="AC2622" s="344" t="e">
        <v>#N/A</v>
      </c>
      <c r="AD2622" s="1058" t="s">
        <v>590</v>
      </c>
      <c r="AE2622" s="1059" t="e">
        <v>#N/A</v>
      </c>
      <c r="AF2622" s="889" t="s">
        <v>459</v>
      </c>
      <c r="AG2622" s="889" t="s">
        <v>459</v>
      </c>
    </row>
    <row r="2623" spans="26:33" x14ac:dyDescent="0.35">
      <c r="Z2623" s="344">
        <v>6215</v>
      </c>
      <c r="AA2623" s="344" t="s">
        <v>589</v>
      </c>
      <c r="AB2623" s="344">
        <v>2</v>
      </c>
      <c r="AC2623" s="344" t="s">
        <v>471</v>
      </c>
      <c r="AD2623" s="1058" t="s">
        <v>593</v>
      </c>
      <c r="AE2623" s="1059">
        <v>349099</v>
      </c>
      <c r="AF2623" s="889" t="s">
        <v>459</v>
      </c>
      <c r="AG2623" s="889" t="s">
        <v>459</v>
      </c>
    </row>
    <row r="2624" spans="26:33" x14ac:dyDescent="0.35">
      <c r="Z2624" s="344">
        <v>6218</v>
      </c>
      <c r="AA2624" s="344" t="s">
        <v>589</v>
      </c>
      <c r="AB2624" s="344">
        <v>4</v>
      </c>
      <c r="AC2624" s="344" t="s">
        <v>464</v>
      </c>
      <c r="AD2624" s="1058" t="s">
        <v>591</v>
      </c>
      <c r="AE2624" s="1059">
        <v>210601</v>
      </c>
      <c r="AF2624" s="889" t="s">
        <v>459</v>
      </c>
      <c r="AG2624" s="889" t="s">
        <v>459</v>
      </c>
    </row>
    <row r="2625" spans="26:33" x14ac:dyDescent="0.35">
      <c r="Z2625" s="344">
        <v>6220</v>
      </c>
      <c r="AA2625" s="344" t="s">
        <v>589</v>
      </c>
      <c r="AB2625" s="344">
        <v>2</v>
      </c>
      <c r="AC2625" s="344" t="s">
        <v>471</v>
      </c>
      <c r="AD2625" s="1058" t="s">
        <v>593</v>
      </c>
      <c r="AE2625" s="1059">
        <v>362021</v>
      </c>
      <c r="AF2625" s="889" t="s">
        <v>459</v>
      </c>
      <c r="AG2625" s="889" t="s">
        <v>459</v>
      </c>
    </row>
    <row r="2626" spans="26:33" x14ac:dyDescent="0.35">
      <c r="Z2626" s="344">
        <v>6221</v>
      </c>
      <c r="AA2626" s="344" t="s">
        <v>589</v>
      </c>
      <c r="AB2626" s="344">
        <v>4</v>
      </c>
      <c r="AC2626" s="344" t="e">
        <v>#N/A</v>
      </c>
      <c r="AD2626" s="1058" t="s">
        <v>591</v>
      </c>
      <c r="AE2626" s="1059" t="e">
        <v>#N/A</v>
      </c>
      <c r="AF2626" s="889" t="s">
        <v>459</v>
      </c>
      <c r="AG2626" s="889" t="s">
        <v>459</v>
      </c>
    </row>
    <row r="2627" spans="26:33" x14ac:dyDescent="0.35">
      <c r="Z2627" s="344">
        <v>6223</v>
      </c>
      <c r="AA2627" s="344" t="s">
        <v>589</v>
      </c>
      <c r="AB2627" s="344">
        <v>4</v>
      </c>
      <c r="AC2627" s="344" t="e">
        <v>#N/A</v>
      </c>
      <c r="AD2627" s="1058" t="s">
        <v>591</v>
      </c>
      <c r="AE2627" s="1059" t="e">
        <v>#N/A</v>
      </c>
      <c r="AF2627" s="889" t="s">
        <v>459</v>
      </c>
      <c r="AG2627" s="889" t="s">
        <v>459</v>
      </c>
    </row>
    <row r="2628" spans="26:33" x14ac:dyDescent="0.35">
      <c r="Z2628" s="344">
        <v>6224</v>
      </c>
      <c r="AA2628" s="344" t="s">
        <v>589</v>
      </c>
      <c r="AB2628" s="344">
        <v>4</v>
      </c>
      <c r="AC2628" s="344" t="s">
        <v>464</v>
      </c>
      <c r="AD2628" s="1058" t="s">
        <v>591</v>
      </c>
      <c r="AE2628" s="1059">
        <v>261125</v>
      </c>
      <c r="AF2628" s="889" t="s">
        <v>459</v>
      </c>
      <c r="AG2628" s="889" t="s">
        <v>459</v>
      </c>
    </row>
    <row r="2629" spans="26:33" x14ac:dyDescent="0.35">
      <c r="Z2629" s="344">
        <v>6225</v>
      </c>
      <c r="AA2629" s="344" t="s">
        <v>589</v>
      </c>
      <c r="AB2629" s="344">
        <v>3</v>
      </c>
      <c r="AC2629" s="344" t="s">
        <v>471</v>
      </c>
      <c r="AD2629" s="1058" t="s">
        <v>592</v>
      </c>
      <c r="AE2629" s="1059">
        <v>314146</v>
      </c>
      <c r="AF2629" s="889" t="s">
        <v>460</v>
      </c>
      <c r="AG2629" s="889" t="s">
        <v>459</v>
      </c>
    </row>
    <row r="2630" spans="26:33" x14ac:dyDescent="0.35">
      <c r="Z2630" s="344">
        <v>6226</v>
      </c>
      <c r="AA2630" s="344" t="s">
        <v>589</v>
      </c>
      <c r="AB2630" s="344">
        <v>2</v>
      </c>
      <c r="AC2630" s="344" t="s">
        <v>457</v>
      </c>
      <c r="AD2630" s="1058" t="s">
        <v>593</v>
      </c>
      <c r="AE2630" s="1059">
        <v>553588</v>
      </c>
      <c r="AF2630" s="889" t="s">
        <v>459</v>
      </c>
      <c r="AG2630" s="889" t="s">
        <v>459</v>
      </c>
    </row>
    <row r="2631" spans="26:33" x14ac:dyDescent="0.35">
      <c r="Z2631" s="344">
        <v>6227</v>
      </c>
      <c r="AA2631" s="344" t="s">
        <v>589</v>
      </c>
      <c r="AB2631" s="344">
        <v>2</v>
      </c>
      <c r="AC2631" s="344" t="s">
        <v>471</v>
      </c>
      <c r="AD2631" s="1058" t="s">
        <v>593</v>
      </c>
      <c r="AE2631" s="1059">
        <v>359591</v>
      </c>
      <c r="AF2631" s="889" t="s">
        <v>459</v>
      </c>
      <c r="AG2631" s="889" t="s">
        <v>459</v>
      </c>
    </row>
    <row r="2632" spans="26:33" x14ac:dyDescent="0.35">
      <c r="Z2632" s="344">
        <v>6228</v>
      </c>
      <c r="AA2632" s="344" t="s">
        <v>589</v>
      </c>
      <c r="AB2632" s="344">
        <v>4</v>
      </c>
      <c r="AC2632" s="344" t="e">
        <v>#N/A</v>
      </c>
      <c r="AD2632" s="1058" t="s">
        <v>591</v>
      </c>
      <c r="AE2632" s="1059" t="e">
        <v>#N/A</v>
      </c>
      <c r="AF2632" s="889" t="s">
        <v>459</v>
      </c>
      <c r="AG2632" s="889" t="s">
        <v>459</v>
      </c>
    </row>
    <row r="2633" spans="26:33" x14ac:dyDescent="0.35">
      <c r="Z2633" s="344">
        <v>6229</v>
      </c>
      <c r="AA2633" s="344" t="s">
        <v>589</v>
      </c>
      <c r="AB2633" s="344">
        <v>2</v>
      </c>
      <c r="AC2633" s="344" t="e">
        <v>#N/A</v>
      </c>
      <c r="AD2633" s="1058" t="s">
        <v>593</v>
      </c>
      <c r="AE2633" s="1059" t="e">
        <v>#N/A</v>
      </c>
      <c r="AF2633" s="889" t="s">
        <v>459</v>
      </c>
      <c r="AG2633" s="889" t="s">
        <v>459</v>
      </c>
    </row>
    <row r="2634" spans="26:33" x14ac:dyDescent="0.35">
      <c r="Z2634" s="344">
        <v>6230</v>
      </c>
      <c r="AA2634" s="344" t="s">
        <v>589</v>
      </c>
      <c r="AB2634" s="344">
        <v>1</v>
      </c>
      <c r="AC2634" s="344" t="s">
        <v>471</v>
      </c>
      <c r="AD2634" s="1058" t="s">
        <v>590</v>
      </c>
      <c r="AE2634" s="1059">
        <v>415306</v>
      </c>
      <c r="AF2634" s="889" t="s">
        <v>459</v>
      </c>
      <c r="AG2634" s="889" t="s">
        <v>459</v>
      </c>
    </row>
    <row r="2635" spans="26:33" x14ac:dyDescent="0.35">
      <c r="Z2635" s="344">
        <v>6231</v>
      </c>
      <c r="AA2635" s="344" t="s">
        <v>589</v>
      </c>
      <c r="AB2635" s="344">
        <v>4</v>
      </c>
      <c r="AC2635" s="344" t="e">
        <v>#N/A</v>
      </c>
      <c r="AD2635" s="1058" t="s">
        <v>591</v>
      </c>
      <c r="AE2635" s="1059" t="e">
        <v>#N/A</v>
      </c>
      <c r="AF2635" s="889" t="s">
        <v>459</v>
      </c>
      <c r="AG2635" s="889" t="s">
        <v>459</v>
      </c>
    </row>
    <row r="2636" spans="26:33" x14ac:dyDescent="0.35">
      <c r="Z2636" s="344">
        <v>6232</v>
      </c>
      <c r="AA2636" s="344" t="s">
        <v>589</v>
      </c>
      <c r="AB2636" s="344">
        <v>1</v>
      </c>
      <c r="AC2636" s="344" t="s">
        <v>471</v>
      </c>
      <c r="AD2636" s="1058" t="s">
        <v>590</v>
      </c>
      <c r="AE2636" s="1059">
        <v>413891</v>
      </c>
      <c r="AF2636" s="889" t="s">
        <v>459</v>
      </c>
      <c r="AG2636" s="889" t="s">
        <v>459</v>
      </c>
    </row>
    <row r="2637" spans="26:33" x14ac:dyDescent="0.35">
      <c r="Z2637" s="344">
        <v>6233</v>
      </c>
      <c r="AA2637" s="344" t="s">
        <v>589</v>
      </c>
      <c r="AB2637" s="344">
        <v>1</v>
      </c>
      <c r="AC2637" s="344" t="s">
        <v>457</v>
      </c>
      <c r="AD2637" s="1058" t="s">
        <v>590</v>
      </c>
      <c r="AE2637" s="1059">
        <v>466136</v>
      </c>
      <c r="AF2637" s="889" t="s">
        <v>459</v>
      </c>
      <c r="AG2637" s="889" t="s">
        <v>459</v>
      </c>
    </row>
    <row r="2638" spans="26:33" x14ac:dyDescent="0.35">
      <c r="Z2638" s="344">
        <v>6236</v>
      </c>
      <c r="AA2638" s="344" t="s">
        <v>589</v>
      </c>
      <c r="AB2638" s="344">
        <v>4</v>
      </c>
      <c r="AC2638" s="344" t="s">
        <v>471</v>
      </c>
      <c r="AD2638" s="1058" t="s">
        <v>591</v>
      </c>
      <c r="AE2638" s="1059">
        <v>409139</v>
      </c>
      <c r="AF2638" s="889" t="s">
        <v>459</v>
      </c>
      <c r="AG2638" s="889" t="s">
        <v>459</v>
      </c>
    </row>
    <row r="2639" spans="26:33" x14ac:dyDescent="0.35">
      <c r="Z2639" s="344">
        <v>6237</v>
      </c>
      <c r="AA2639" s="344" t="s">
        <v>589</v>
      </c>
      <c r="AB2639" s="344">
        <v>2</v>
      </c>
      <c r="AC2639" s="344" t="s">
        <v>471</v>
      </c>
      <c r="AD2639" s="1058" t="s">
        <v>593</v>
      </c>
      <c r="AE2639" s="1059">
        <v>426040</v>
      </c>
      <c r="AF2639" s="889" t="s">
        <v>459</v>
      </c>
      <c r="AG2639" s="889" t="s">
        <v>459</v>
      </c>
    </row>
    <row r="2640" spans="26:33" x14ac:dyDescent="0.35">
      <c r="Z2640" s="344">
        <v>6239</v>
      </c>
      <c r="AA2640" s="344" t="s">
        <v>589</v>
      </c>
      <c r="AB2640" s="344">
        <v>4</v>
      </c>
      <c r="AC2640" s="344" t="s">
        <v>471</v>
      </c>
      <c r="AD2640" s="1058" t="s">
        <v>591</v>
      </c>
      <c r="AE2640" s="1059">
        <v>343551</v>
      </c>
      <c r="AF2640" s="889" t="s">
        <v>459</v>
      </c>
      <c r="AG2640" s="889" t="s">
        <v>459</v>
      </c>
    </row>
    <row r="2641" spans="26:33" x14ac:dyDescent="0.35">
      <c r="Z2641" s="344">
        <v>6240</v>
      </c>
      <c r="AA2641" s="344" t="s">
        <v>589</v>
      </c>
      <c r="AB2641" s="344">
        <v>4</v>
      </c>
      <c r="AC2641" s="344" t="e">
        <v>#N/A</v>
      </c>
      <c r="AD2641" s="1058" t="s">
        <v>591</v>
      </c>
      <c r="AE2641" s="1059" t="e">
        <v>#N/A</v>
      </c>
      <c r="AF2641" s="889" t="s">
        <v>459</v>
      </c>
      <c r="AG2641" s="889" t="s">
        <v>459</v>
      </c>
    </row>
    <row r="2642" spans="26:33" x14ac:dyDescent="0.35">
      <c r="Z2642" s="344">
        <v>6243</v>
      </c>
      <c r="AA2642" s="344" t="s">
        <v>589</v>
      </c>
      <c r="AB2642" s="344">
        <v>4</v>
      </c>
      <c r="AC2642" s="344" t="e">
        <v>#N/A</v>
      </c>
      <c r="AD2642" s="1058" t="s">
        <v>591</v>
      </c>
      <c r="AE2642" s="1059" t="e">
        <v>#N/A</v>
      </c>
      <c r="AF2642" s="889" t="s">
        <v>459</v>
      </c>
      <c r="AG2642" s="889" t="s">
        <v>459</v>
      </c>
    </row>
    <row r="2643" spans="26:33" x14ac:dyDescent="0.35">
      <c r="Z2643" s="344">
        <v>6244</v>
      </c>
      <c r="AA2643" s="344" t="s">
        <v>589</v>
      </c>
      <c r="AB2643" s="344">
        <v>4</v>
      </c>
      <c r="AC2643" s="344" t="s">
        <v>464</v>
      </c>
      <c r="AD2643" s="1058" t="s">
        <v>591</v>
      </c>
      <c r="AE2643" s="1059">
        <v>230847</v>
      </c>
      <c r="AF2643" s="889" t="s">
        <v>459</v>
      </c>
      <c r="AG2643" s="889" t="s">
        <v>459</v>
      </c>
    </row>
    <row r="2644" spans="26:33" x14ac:dyDescent="0.35">
      <c r="Z2644" s="344">
        <v>6251</v>
      </c>
      <c r="AA2644" s="344" t="s">
        <v>589</v>
      </c>
      <c r="AB2644" s="344">
        <v>4</v>
      </c>
      <c r="AC2644" s="344" t="e">
        <v>#N/A</v>
      </c>
      <c r="AD2644" s="1058" t="s">
        <v>591</v>
      </c>
      <c r="AE2644" s="1059" t="e">
        <v>#N/A</v>
      </c>
      <c r="AF2644" s="889" t="s">
        <v>459</v>
      </c>
      <c r="AG2644" s="889" t="s">
        <v>459</v>
      </c>
    </row>
    <row r="2645" spans="26:33" x14ac:dyDescent="0.35">
      <c r="Z2645" s="344">
        <v>6252</v>
      </c>
      <c r="AA2645" s="344" t="s">
        <v>589</v>
      </c>
      <c r="AB2645" s="344">
        <v>4</v>
      </c>
      <c r="AC2645" s="344" t="e">
        <v>#N/A</v>
      </c>
      <c r="AD2645" s="1058" t="s">
        <v>591</v>
      </c>
      <c r="AE2645" s="1059" t="e">
        <v>#N/A</v>
      </c>
      <c r="AF2645" s="889" t="s">
        <v>459</v>
      </c>
      <c r="AG2645" s="889" t="s">
        <v>459</v>
      </c>
    </row>
    <row r="2646" spans="26:33" x14ac:dyDescent="0.35">
      <c r="Z2646" s="344">
        <v>6253</v>
      </c>
      <c r="AA2646" s="344" t="s">
        <v>589</v>
      </c>
      <c r="AB2646" s="344">
        <v>4</v>
      </c>
      <c r="AC2646" s="344" t="s">
        <v>471</v>
      </c>
      <c r="AD2646" s="1058" t="s">
        <v>591</v>
      </c>
      <c r="AE2646" s="1059">
        <v>367603</v>
      </c>
      <c r="AF2646" s="889" t="s">
        <v>459</v>
      </c>
      <c r="AG2646" s="889" t="s">
        <v>459</v>
      </c>
    </row>
    <row r="2647" spans="26:33" x14ac:dyDescent="0.35">
      <c r="Z2647" s="344">
        <v>6254</v>
      </c>
      <c r="AA2647" s="344" t="s">
        <v>589</v>
      </c>
      <c r="AB2647" s="344">
        <v>4</v>
      </c>
      <c r="AC2647" s="344" t="s">
        <v>464</v>
      </c>
      <c r="AD2647" s="1058" t="s">
        <v>591</v>
      </c>
      <c r="AE2647" s="1059">
        <v>193900</v>
      </c>
      <c r="AF2647" s="889" t="s">
        <v>459</v>
      </c>
      <c r="AG2647" s="889" t="s">
        <v>459</v>
      </c>
    </row>
    <row r="2648" spans="26:33" x14ac:dyDescent="0.35">
      <c r="Z2648" s="344">
        <v>6255</v>
      </c>
      <c r="AA2648" s="344" t="s">
        <v>589</v>
      </c>
      <c r="AB2648" s="344">
        <v>3</v>
      </c>
      <c r="AC2648" s="344" t="s">
        <v>471</v>
      </c>
      <c r="AD2648" s="1058" t="s">
        <v>592</v>
      </c>
      <c r="AE2648" s="1059">
        <v>365832</v>
      </c>
      <c r="AF2648" s="889" t="s">
        <v>459</v>
      </c>
      <c r="AG2648" s="889" t="s">
        <v>459</v>
      </c>
    </row>
    <row r="2649" spans="26:33" x14ac:dyDescent="0.35">
      <c r="Z2649" s="344">
        <v>6256</v>
      </c>
      <c r="AA2649" s="344" t="s">
        <v>589</v>
      </c>
      <c r="AB2649" s="344">
        <v>4</v>
      </c>
      <c r="AC2649" s="344" t="e">
        <v>#N/A</v>
      </c>
      <c r="AD2649" s="1058" t="s">
        <v>591</v>
      </c>
      <c r="AE2649" s="1059" t="e">
        <v>#N/A</v>
      </c>
      <c r="AF2649" s="889" t="s">
        <v>459</v>
      </c>
      <c r="AG2649" s="889" t="s">
        <v>459</v>
      </c>
    </row>
    <row r="2650" spans="26:33" x14ac:dyDescent="0.35">
      <c r="Z2650" s="344">
        <v>6258</v>
      </c>
      <c r="AA2650" s="344" t="s">
        <v>589</v>
      </c>
      <c r="AB2650" s="344">
        <v>3</v>
      </c>
      <c r="AC2650" s="344" t="s">
        <v>464</v>
      </c>
      <c r="AD2650" s="1058" t="s">
        <v>592</v>
      </c>
      <c r="AE2650" s="1059">
        <v>263437</v>
      </c>
      <c r="AF2650" s="889" t="s">
        <v>459</v>
      </c>
      <c r="AG2650" s="889" t="s">
        <v>459</v>
      </c>
    </row>
    <row r="2651" spans="26:33" x14ac:dyDescent="0.35">
      <c r="Z2651" s="344">
        <v>6260</v>
      </c>
      <c r="AA2651" s="344" t="s">
        <v>589</v>
      </c>
      <c r="AB2651" s="344">
        <v>4</v>
      </c>
      <c r="AC2651" s="344" t="s">
        <v>464</v>
      </c>
      <c r="AD2651" s="1058" t="s">
        <v>591</v>
      </c>
      <c r="AE2651" s="1059">
        <v>252017</v>
      </c>
      <c r="AF2651" s="889" t="s">
        <v>459</v>
      </c>
      <c r="AG2651" s="889" t="s">
        <v>459</v>
      </c>
    </row>
    <row r="2652" spans="26:33" x14ac:dyDescent="0.35">
      <c r="Z2652" s="344">
        <v>6262</v>
      </c>
      <c r="AA2652" s="344" t="s">
        <v>589</v>
      </c>
      <c r="AB2652" s="344">
        <v>4</v>
      </c>
      <c r="AC2652" s="344" t="s">
        <v>464</v>
      </c>
      <c r="AD2652" s="1058" t="s">
        <v>591</v>
      </c>
      <c r="AE2652" s="1059">
        <v>209347</v>
      </c>
      <c r="AF2652" s="889" t="s">
        <v>459</v>
      </c>
      <c r="AG2652" s="889" t="s">
        <v>459</v>
      </c>
    </row>
    <row r="2653" spans="26:33" x14ac:dyDescent="0.35">
      <c r="Z2653" s="344">
        <v>6271</v>
      </c>
      <c r="AA2653" s="344" t="s">
        <v>589</v>
      </c>
      <c r="AB2653" s="344">
        <v>2</v>
      </c>
      <c r="AC2653" s="344" t="s">
        <v>457</v>
      </c>
      <c r="AD2653" s="1058" t="s">
        <v>593</v>
      </c>
      <c r="AE2653" s="1059">
        <v>528151</v>
      </c>
      <c r="AF2653" s="889" t="s">
        <v>459</v>
      </c>
      <c r="AG2653" s="889" t="s">
        <v>459</v>
      </c>
    </row>
    <row r="2654" spans="26:33" x14ac:dyDescent="0.35">
      <c r="Z2654" s="344">
        <v>6275</v>
      </c>
      <c r="AA2654" s="344" t="s">
        <v>589</v>
      </c>
      <c r="AB2654" s="344">
        <v>4</v>
      </c>
      <c r="AC2654" s="344" t="s">
        <v>471</v>
      </c>
      <c r="AD2654" s="1058" t="s">
        <v>591</v>
      </c>
      <c r="AE2654" s="1059">
        <v>361838</v>
      </c>
      <c r="AF2654" s="889" t="s">
        <v>459</v>
      </c>
      <c r="AG2654" s="889" t="s">
        <v>459</v>
      </c>
    </row>
    <row r="2655" spans="26:33" x14ac:dyDescent="0.35">
      <c r="Z2655" s="344">
        <v>6280</v>
      </c>
      <c r="AA2655" s="344" t="s">
        <v>589</v>
      </c>
      <c r="AB2655" s="344">
        <v>1</v>
      </c>
      <c r="AC2655" s="344" t="s">
        <v>457</v>
      </c>
      <c r="AD2655" s="1058" t="s">
        <v>590</v>
      </c>
      <c r="AE2655" s="1059">
        <v>509562</v>
      </c>
      <c r="AF2655" s="889" t="s">
        <v>459</v>
      </c>
      <c r="AG2655" s="889" t="s">
        <v>459</v>
      </c>
    </row>
    <row r="2656" spans="26:33" x14ac:dyDescent="0.35">
      <c r="Z2656" s="344">
        <v>6281</v>
      </c>
      <c r="AA2656" s="344" t="s">
        <v>589</v>
      </c>
      <c r="AB2656" s="344">
        <v>1</v>
      </c>
      <c r="AC2656" s="344" t="s">
        <v>482</v>
      </c>
      <c r="AD2656" s="1058" t="s">
        <v>590</v>
      </c>
      <c r="AE2656" s="1059">
        <v>1095488</v>
      </c>
      <c r="AF2656" s="889" t="s">
        <v>459</v>
      </c>
      <c r="AG2656" s="889" t="s">
        <v>459</v>
      </c>
    </row>
    <row r="2657" spans="26:33" x14ac:dyDescent="0.35">
      <c r="Z2657" s="344">
        <v>6282</v>
      </c>
      <c r="AA2657" s="344" t="s">
        <v>589</v>
      </c>
      <c r="AB2657" s="344">
        <v>1</v>
      </c>
      <c r="AC2657" s="344" t="s">
        <v>482</v>
      </c>
      <c r="AD2657" s="1058" t="s">
        <v>590</v>
      </c>
      <c r="AE2657" s="1059">
        <v>1700895</v>
      </c>
      <c r="AF2657" s="889" t="s">
        <v>459</v>
      </c>
      <c r="AG2657" s="889" t="s">
        <v>459</v>
      </c>
    </row>
    <row r="2658" spans="26:33" x14ac:dyDescent="0.35">
      <c r="Z2658" s="344">
        <v>6284</v>
      </c>
      <c r="AA2658" s="344" t="s">
        <v>589</v>
      </c>
      <c r="AB2658" s="344">
        <v>1</v>
      </c>
      <c r="AC2658" s="344" t="s">
        <v>482</v>
      </c>
      <c r="AD2658" s="1058" t="s">
        <v>590</v>
      </c>
      <c r="AE2658" s="1059">
        <v>979787</v>
      </c>
      <c r="AF2658" s="889" t="s">
        <v>459</v>
      </c>
      <c r="AG2658" s="889" t="s">
        <v>459</v>
      </c>
    </row>
    <row r="2659" spans="26:33" x14ac:dyDescent="0.35">
      <c r="Z2659" s="344">
        <v>6285</v>
      </c>
      <c r="AA2659" s="344" t="s">
        <v>589</v>
      </c>
      <c r="AB2659" s="344">
        <v>1</v>
      </c>
      <c r="AC2659" s="344" t="s">
        <v>479</v>
      </c>
      <c r="AD2659" s="1058" t="s">
        <v>590</v>
      </c>
      <c r="AE2659" s="1059">
        <v>780277</v>
      </c>
      <c r="AF2659" s="889" t="s">
        <v>459</v>
      </c>
      <c r="AG2659" s="889" t="s">
        <v>459</v>
      </c>
    </row>
    <row r="2660" spans="26:33" x14ac:dyDescent="0.35">
      <c r="Z2660" s="344">
        <v>6286</v>
      </c>
      <c r="AA2660" s="344" t="s">
        <v>589</v>
      </c>
      <c r="AB2660" s="344">
        <v>4</v>
      </c>
      <c r="AC2660" s="344" t="e">
        <v>#N/A</v>
      </c>
      <c r="AD2660" s="1058" t="s">
        <v>591</v>
      </c>
      <c r="AE2660" s="1059" t="e">
        <v>#N/A</v>
      </c>
      <c r="AF2660" s="889" t="s">
        <v>459</v>
      </c>
      <c r="AG2660" s="889" t="s">
        <v>459</v>
      </c>
    </row>
    <row r="2661" spans="26:33" x14ac:dyDescent="0.35">
      <c r="Z2661" s="344">
        <v>6288</v>
      </c>
      <c r="AA2661" s="344" t="s">
        <v>589</v>
      </c>
      <c r="AB2661" s="344">
        <v>4</v>
      </c>
      <c r="AC2661" s="344" t="e">
        <v>#N/A</v>
      </c>
      <c r="AD2661" s="1058" t="s">
        <v>591</v>
      </c>
      <c r="AE2661" s="1059" t="e">
        <v>#N/A</v>
      </c>
      <c r="AF2661" s="889" t="s">
        <v>459</v>
      </c>
      <c r="AG2661" s="889" t="s">
        <v>459</v>
      </c>
    </row>
    <row r="2662" spans="26:33" x14ac:dyDescent="0.35">
      <c r="Z2662" s="344">
        <v>6290</v>
      </c>
      <c r="AA2662" s="344" t="s">
        <v>589</v>
      </c>
      <c r="AB2662" s="344">
        <v>2</v>
      </c>
      <c r="AC2662" s="344" t="s">
        <v>457</v>
      </c>
      <c r="AD2662" s="1058" t="s">
        <v>593</v>
      </c>
      <c r="AE2662" s="1059">
        <v>501627</v>
      </c>
      <c r="AF2662" s="889" t="s">
        <v>459</v>
      </c>
      <c r="AG2662" s="889" t="s">
        <v>459</v>
      </c>
    </row>
    <row r="2663" spans="26:33" x14ac:dyDescent="0.35">
      <c r="Z2663" s="344">
        <v>6302</v>
      </c>
      <c r="AA2663" s="344" t="s">
        <v>589</v>
      </c>
      <c r="AB2663" s="344">
        <v>4</v>
      </c>
      <c r="AC2663" s="344" t="s">
        <v>471</v>
      </c>
      <c r="AD2663" s="1058" t="s">
        <v>591</v>
      </c>
      <c r="AE2663" s="1059">
        <v>335994</v>
      </c>
      <c r="AF2663" s="889" t="s">
        <v>459</v>
      </c>
      <c r="AG2663" s="889" t="s">
        <v>459</v>
      </c>
    </row>
    <row r="2664" spans="26:33" x14ac:dyDescent="0.35">
      <c r="Z2664" s="344">
        <v>6304</v>
      </c>
      <c r="AA2664" s="344" t="s">
        <v>589</v>
      </c>
      <c r="AB2664" s="344">
        <v>4</v>
      </c>
      <c r="AC2664" s="344" t="s">
        <v>464</v>
      </c>
      <c r="AD2664" s="1058" t="s">
        <v>591</v>
      </c>
      <c r="AE2664" s="1059">
        <v>278456</v>
      </c>
      <c r="AF2664" s="889" t="s">
        <v>459</v>
      </c>
      <c r="AG2664" s="889" t="s">
        <v>459</v>
      </c>
    </row>
    <row r="2665" spans="26:33" x14ac:dyDescent="0.35">
      <c r="Z2665" s="344">
        <v>6306</v>
      </c>
      <c r="AA2665" s="344" t="s">
        <v>589</v>
      </c>
      <c r="AB2665" s="344">
        <v>4</v>
      </c>
      <c r="AC2665" s="344" t="s">
        <v>464</v>
      </c>
      <c r="AD2665" s="1058" t="s">
        <v>591</v>
      </c>
      <c r="AE2665" s="1059">
        <v>210059</v>
      </c>
      <c r="AF2665" s="889" t="s">
        <v>459</v>
      </c>
      <c r="AG2665" s="889" t="s">
        <v>459</v>
      </c>
    </row>
    <row r="2666" spans="26:33" x14ac:dyDescent="0.35">
      <c r="Z2666" s="344">
        <v>6308</v>
      </c>
      <c r="AA2666" s="344" t="s">
        <v>589</v>
      </c>
      <c r="AB2666" s="344">
        <v>4</v>
      </c>
      <c r="AC2666" s="344" t="s">
        <v>464</v>
      </c>
      <c r="AD2666" s="1058" t="s">
        <v>591</v>
      </c>
      <c r="AE2666" s="1059">
        <v>223663</v>
      </c>
      <c r="AF2666" s="889" t="s">
        <v>459</v>
      </c>
      <c r="AG2666" s="889" t="s">
        <v>459</v>
      </c>
    </row>
    <row r="2667" spans="26:33" x14ac:dyDescent="0.35">
      <c r="Z2667" s="344">
        <v>6309</v>
      </c>
      <c r="AA2667" s="344" t="s">
        <v>589</v>
      </c>
      <c r="AB2667" s="344">
        <v>4</v>
      </c>
      <c r="AC2667" s="344" t="e">
        <v>#N/A</v>
      </c>
      <c r="AD2667" s="1058" t="s">
        <v>591</v>
      </c>
      <c r="AE2667" s="1059" t="e">
        <v>#N/A</v>
      </c>
      <c r="AF2667" s="889" t="s">
        <v>459</v>
      </c>
      <c r="AG2667" s="889" t="s">
        <v>459</v>
      </c>
    </row>
    <row r="2668" spans="26:33" x14ac:dyDescent="0.35">
      <c r="Z2668" s="344">
        <v>6311</v>
      </c>
      <c r="AA2668" s="344" t="s">
        <v>589</v>
      </c>
      <c r="AB2668" s="344">
        <v>4</v>
      </c>
      <c r="AC2668" s="344" t="s">
        <v>471</v>
      </c>
      <c r="AD2668" s="1058" t="s">
        <v>591</v>
      </c>
      <c r="AE2668" s="1059">
        <v>301822</v>
      </c>
      <c r="AF2668" s="889" t="s">
        <v>459</v>
      </c>
      <c r="AG2668" s="889" t="s">
        <v>459</v>
      </c>
    </row>
    <row r="2669" spans="26:33" x14ac:dyDescent="0.35">
      <c r="Z2669" s="344">
        <v>6312</v>
      </c>
      <c r="AA2669" s="344" t="s">
        <v>589</v>
      </c>
      <c r="AB2669" s="344">
        <v>3</v>
      </c>
      <c r="AC2669" s="344" t="s">
        <v>464</v>
      </c>
      <c r="AD2669" s="1058" t="s">
        <v>592</v>
      </c>
      <c r="AE2669" s="1059">
        <v>260480</v>
      </c>
      <c r="AF2669" s="889" t="s">
        <v>459</v>
      </c>
      <c r="AG2669" s="889" t="s">
        <v>459</v>
      </c>
    </row>
    <row r="2670" spans="26:33" x14ac:dyDescent="0.35">
      <c r="Z2670" s="344">
        <v>6313</v>
      </c>
      <c r="AA2670" s="344" t="s">
        <v>589</v>
      </c>
      <c r="AB2670" s="344">
        <v>4</v>
      </c>
      <c r="AC2670" s="344" t="e">
        <v>#N/A</v>
      </c>
      <c r="AD2670" s="1058" t="s">
        <v>591</v>
      </c>
      <c r="AE2670" s="1059" t="e">
        <v>#N/A</v>
      </c>
      <c r="AF2670" s="889" t="s">
        <v>459</v>
      </c>
      <c r="AG2670" s="889" t="s">
        <v>459</v>
      </c>
    </row>
    <row r="2671" spans="26:33" x14ac:dyDescent="0.35">
      <c r="Z2671" s="344">
        <v>6315</v>
      </c>
      <c r="AA2671" s="344" t="s">
        <v>589</v>
      </c>
      <c r="AB2671" s="344">
        <v>4</v>
      </c>
      <c r="AC2671" s="344" t="s">
        <v>464</v>
      </c>
      <c r="AD2671" s="1058" t="s">
        <v>591</v>
      </c>
      <c r="AE2671" s="1059">
        <v>209916</v>
      </c>
      <c r="AF2671" s="889" t="s">
        <v>459</v>
      </c>
      <c r="AG2671" s="889" t="s">
        <v>459</v>
      </c>
    </row>
    <row r="2672" spans="26:33" x14ac:dyDescent="0.35">
      <c r="Z2672" s="344">
        <v>6316</v>
      </c>
      <c r="AA2672" s="344" t="s">
        <v>589</v>
      </c>
      <c r="AB2672" s="344">
        <v>4</v>
      </c>
      <c r="AC2672" s="344" t="e">
        <v>#N/A</v>
      </c>
      <c r="AD2672" s="1058" t="s">
        <v>591</v>
      </c>
      <c r="AE2672" s="1059" t="e">
        <v>#N/A</v>
      </c>
      <c r="AF2672" s="889" t="s">
        <v>459</v>
      </c>
      <c r="AG2672" s="889" t="s">
        <v>459</v>
      </c>
    </row>
    <row r="2673" spans="26:33" x14ac:dyDescent="0.35">
      <c r="Z2673" s="344">
        <v>6317</v>
      </c>
      <c r="AA2673" s="344" t="s">
        <v>589</v>
      </c>
      <c r="AB2673" s="344">
        <v>4</v>
      </c>
      <c r="AC2673" s="344" t="s">
        <v>464</v>
      </c>
      <c r="AD2673" s="1058" t="s">
        <v>591</v>
      </c>
      <c r="AE2673" s="1059">
        <v>220588</v>
      </c>
      <c r="AF2673" s="889" t="s">
        <v>459</v>
      </c>
      <c r="AG2673" s="889" t="s">
        <v>459</v>
      </c>
    </row>
    <row r="2674" spans="26:33" x14ac:dyDescent="0.35">
      <c r="Z2674" s="344">
        <v>6318</v>
      </c>
      <c r="AA2674" s="344" t="s">
        <v>589</v>
      </c>
      <c r="AB2674" s="344">
        <v>4</v>
      </c>
      <c r="AC2674" s="344" t="s">
        <v>464</v>
      </c>
      <c r="AD2674" s="1058" t="s">
        <v>591</v>
      </c>
      <c r="AE2674" s="1059">
        <v>193405</v>
      </c>
      <c r="AF2674" s="889" t="s">
        <v>459</v>
      </c>
      <c r="AG2674" s="889" t="s">
        <v>459</v>
      </c>
    </row>
    <row r="2675" spans="26:33" x14ac:dyDescent="0.35">
      <c r="Z2675" s="344">
        <v>6320</v>
      </c>
      <c r="AA2675" s="344" t="s">
        <v>589</v>
      </c>
      <c r="AB2675" s="344">
        <v>4</v>
      </c>
      <c r="AC2675" s="344" t="s">
        <v>464</v>
      </c>
      <c r="AD2675" s="1058" t="s">
        <v>591</v>
      </c>
      <c r="AE2675" s="1059">
        <v>143282</v>
      </c>
      <c r="AF2675" s="889" t="s">
        <v>459</v>
      </c>
      <c r="AG2675" s="889" t="s">
        <v>459</v>
      </c>
    </row>
    <row r="2676" spans="26:33" x14ac:dyDescent="0.35">
      <c r="Z2676" s="344">
        <v>6321</v>
      </c>
      <c r="AA2676" s="344" t="s">
        <v>589</v>
      </c>
      <c r="AB2676" s="344">
        <v>4</v>
      </c>
      <c r="AC2676" s="344" t="s">
        <v>464</v>
      </c>
      <c r="AD2676" s="1058" t="s">
        <v>591</v>
      </c>
      <c r="AE2676" s="1059">
        <v>171437</v>
      </c>
      <c r="AF2676" s="889" t="s">
        <v>459</v>
      </c>
      <c r="AG2676" s="889" t="s">
        <v>459</v>
      </c>
    </row>
    <row r="2677" spans="26:33" x14ac:dyDescent="0.35">
      <c r="Z2677" s="344">
        <v>6322</v>
      </c>
      <c r="AA2677" s="344" t="s">
        <v>589</v>
      </c>
      <c r="AB2677" s="344">
        <v>4</v>
      </c>
      <c r="AC2677" s="344" t="e">
        <v>#N/A</v>
      </c>
      <c r="AD2677" s="1058" t="s">
        <v>591</v>
      </c>
      <c r="AE2677" s="1059" t="e">
        <v>#N/A</v>
      </c>
      <c r="AF2677" s="889" t="s">
        <v>459</v>
      </c>
      <c r="AG2677" s="889" t="s">
        <v>459</v>
      </c>
    </row>
    <row r="2678" spans="26:33" x14ac:dyDescent="0.35">
      <c r="Z2678" s="344">
        <v>6323</v>
      </c>
      <c r="AA2678" s="344" t="s">
        <v>589</v>
      </c>
      <c r="AB2678" s="344">
        <v>4</v>
      </c>
      <c r="AC2678" s="344" t="s">
        <v>464</v>
      </c>
      <c r="AD2678" s="1058" t="s">
        <v>591</v>
      </c>
      <c r="AE2678" s="1059">
        <v>268958</v>
      </c>
      <c r="AF2678" s="889" t="s">
        <v>459</v>
      </c>
      <c r="AG2678" s="889" t="s">
        <v>459</v>
      </c>
    </row>
    <row r="2679" spans="26:33" x14ac:dyDescent="0.35">
      <c r="Z2679" s="344">
        <v>6324</v>
      </c>
      <c r="AA2679" s="344" t="s">
        <v>589</v>
      </c>
      <c r="AB2679" s="344">
        <v>4</v>
      </c>
      <c r="AC2679" s="344" t="s">
        <v>464</v>
      </c>
      <c r="AD2679" s="1058" t="s">
        <v>591</v>
      </c>
      <c r="AE2679" s="1059">
        <v>266109</v>
      </c>
      <c r="AF2679" s="889" t="s">
        <v>459</v>
      </c>
      <c r="AG2679" s="889" t="s">
        <v>459</v>
      </c>
    </row>
    <row r="2680" spans="26:33" x14ac:dyDescent="0.35">
      <c r="Z2680" s="344">
        <v>6326</v>
      </c>
      <c r="AA2680" s="344" t="s">
        <v>589</v>
      </c>
      <c r="AB2680" s="344">
        <v>3</v>
      </c>
      <c r="AC2680" s="344" t="e">
        <v>#N/A</v>
      </c>
      <c r="AD2680" s="1058" t="s">
        <v>592</v>
      </c>
      <c r="AE2680" s="1059" t="e">
        <v>#N/A</v>
      </c>
      <c r="AF2680" s="889" t="s">
        <v>459</v>
      </c>
      <c r="AG2680" s="889" t="s">
        <v>459</v>
      </c>
    </row>
    <row r="2681" spans="26:33" x14ac:dyDescent="0.35">
      <c r="Z2681" s="344">
        <v>6327</v>
      </c>
      <c r="AA2681" s="344" t="s">
        <v>589</v>
      </c>
      <c r="AB2681" s="344">
        <v>4</v>
      </c>
      <c r="AC2681" s="344" t="e">
        <v>#N/A</v>
      </c>
      <c r="AD2681" s="1058" t="s">
        <v>591</v>
      </c>
      <c r="AE2681" s="1059" t="e">
        <v>#N/A</v>
      </c>
      <c r="AF2681" s="889" t="s">
        <v>459</v>
      </c>
      <c r="AG2681" s="889" t="s">
        <v>459</v>
      </c>
    </row>
    <row r="2682" spans="26:33" x14ac:dyDescent="0.35">
      <c r="Z2682" s="344">
        <v>6328</v>
      </c>
      <c r="AA2682" s="344" t="s">
        <v>589</v>
      </c>
      <c r="AB2682" s="344">
        <v>4</v>
      </c>
      <c r="AC2682" s="344" t="e">
        <v>#N/A</v>
      </c>
      <c r="AD2682" s="1058" t="s">
        <v>591</v>
      </c>
      <c r="AE2682" s="1059" t="e">
        <v>#N/A</v>
      </c>
      <c r="AF2682" s="889" t="s">
        <v>459</v>
      </c>
      <c r="AG2682" s="889" t="s">
        <v>459</v>
      </c>
    </row>
    <row r="2683" spans="26:33" x14ac:dyDescent="0.35">
      <c r="Z2683" s="344">
        <v>6330</v>
      </c>
      <c r="AA2683" s="344" t="s">
        <v>589</v>
      </c>
      <c r="AB2683" s="344">
        <v>1</v>
      </c>
      <c r="AC2683" s="344" t="s">
        <v>471</v>
      </c>
      <c r="AD2683" s="1058" t="s">
        <v>590</v>
      </c>
      <c r="AE2683" s="1059">
        <v>444505</v>
      </c>
      <c r="AF2683" s="889" t="s">
        <v>459</v>
      </c>
      <c r="AG2683" s="889" t="s">
        <v>459</v>
      </c>
    </row>
    <row r="2684" spans="26:33" x14ac:dyDescent="0.35">
      <c r="Z2684" s="344">
        <v>6332</v>
      </c>
      <c r="AA2684" s="344" t="s">
        <v>589</v>
      </c>
      <c r="AB2684" s="344">
        <v>4</v>
      </c>
      <c r="AC2684" s="344" t="e">
        <v>#N/A</v>
      </c>
      <c r="AD2684" s="1058" t="s">
        <v>591</v>
      </c>
      <c r="AE2684" s="1059" t="e">
        <v>#N/A</v>
      </c>
      <c r="AF2684" s="889" t="s">
        <v>459</v>
      </c>
      <c r="AG2684" s="889" t="s">
        <v>459</v>
      </c>
    </row>
    <row r="2685" spans="26:33" x14ac:dyDescent="0.35">
      <c r="Z2685" s="344">
        <v>6333</v>
      </c>
      <c r="AA2685" s="344" t="s">
        <v>589</v>
      </c>
      <c r="AB2685" s="344">
        <v>3</v>
      </c>
      <c r="AC2685" s="344" t="s">
        <v>457</v>
      </c>
      <c r="AD2685" s="1058" t="s">
        <v>592</v>
      </c>
      <c r="AE2685" s="1059">
        <v>478871</v>
      </c>
      <c r="AF2685" s="889" t="s">
        <v>459</v>
      </c>
      <c r="AG2685" s="889" t="s">
        <v>459</v>
      </c>
    </row>
    <row r="2686" spans="26:33" x14ac:dyDescent="0.35">
      <c r="Z2686" s="344">
        <v>6335</v>
      </c>
      <c r="AA2686" s="344" t="s">
        <v>589</v>
      </c>
      <c r="AB2686" s="344">
        <v>4</v>
      </c>
      <c r="AC2686" s="344" t="s">
        <v>464</v>
      </c>
      <c r="AD2686" s="1058" t="s">
        <v>591</v>
      </c>
      <c r="AE2686" s="1059">
        <v>168992</v>
      </c>
      <c r="AF2686" s="889" t="s">
        <v>459</v>
      </c>
      <c r="AG2686" s="889" t="s">
        <v>459</v>
      </c>
    </row>
    <row r="2687" spans="26:33" x14ac:dyDescent="0.35">
      <c r="Z2687" s="344">
        <v>6336</v>
      </c>
      <c r="AA2687" s="344" t="s">
        <v>589</v>
      </c>
      <c r="AB2687" s="344">
        <v>4</v>
      </c>
      <c r="AC2687" s="344" t="e">
        <v>#N/A</v>
      </c>
      <c r="AD2687" s="1058" t="s">
        <v>591</v>
      </c>
      <c r="AE2687" s="1059" t="e">
        <v>#N/A</v>
      </c>
      <c r="AF2687" s="889" t="s">
        <v>459</v>
      </c>
      <c r="AG2687" s="889" t="s">
        <v>459</v>
      </c>
    </row>
    <row r="2688" spans="26:33" x14ac:dyDescent="0.35">
      <c r="Z2688" s="344">
        <v>6337</v>
      </c>
      <c r="AA2688" s="344" t="s">
        <v>589</v>
      </c>
      <c r="AB2688" s="344">
        <v>4</v>
      </c>
      <c r="AC2688" s="344" t="s">
        <v>464</v>
      </c>
      <c r="AD2688" s="1058" t="s">
        <v>591</v>
      </c>
      <c r="AE2688" s="1059">
        <v>155852</v>
      </c>
      <c r="AF2688" s="889" t="s">
        <v>459</v>
      </c>
      <c r="AG2688" s="889" t="s">
        <v>459</v>
      </c>
    </row>
    <row r="2689" spans="26:33" x14ac:dyDescent="0.35">
      <c r="Z2689" s="344">
        <v>6338</v>
      </c>
      <c r="AA2689" s="344" t="s">
        <v>589</v>
      </c>
      <c r="AB2689" s="344">
        <v>4</v>
      </c>
      <c r="AC2689" s="344" t="s">
        <v>471</v>
      </c>
      <c r="AD2689" s="1058" t="s">
        <v>591</v>
      </c>
      <c r="AE2689" s="1059">
        <v>366674</v>
      </c>
      <c r="AF2689" s="889" t="s">
        <v>459</v>
      </c>
      <c r="AG2689" s="889" t="s">
        <v>459</v>
      </c>
    </row>
    <row r="2690" spans="26:33" x14ac:dyDescent="0.35">
      <c r="Z2690" s="344">
        <v>6341</v>
      </c>
      <c r="AA2690" s="344" t="s">
        <v>589</v>
      </c>
      <c r="AB2690" s="344">
        <v>4</v>
      </c>
      <c r="AC2690" s="344" t="e">
        <v>#N/A</v>
      </c>
      <c r="AD2690" s="1058" t="s">
        <v>591</v>
      </c>
      <c r="AE2690" s="1059" t="e">
        <v>#N/A</v>
      </c>
      <c r="AF2690" s="889" t="s">
        <v>459</v>
      </c>
      <c r="AG2690" s="889" t="s">
        <v>459</v>
      </c>
    </row>
    <row r="2691" spans="26:33" x14ac:dyDescent="0.35">
      <c r="Z2691" s="344">
        <v>6343</v>
      </c>
      <c r="AA2691" s="344" t="s">
        <v>589</v>
      </c>
      <c r="AB2691" s="344">
        <v>4</v>
      </c>
      <c r="AC2691" s="344" t="e">
        <v>#N/A</v>
      </c>
      <c r="AD2691" s="1058" t="s">
        <v>591</v>
      </c>
      <c r="AE2691" s="1059" t="e">
        <v>#N/A</v>
      </c>
      <c r="AF2691" s="889" t="s">
        <v>459</v>
      </c>
      <c r="AG2691" s="889" t="s">
        <v>459</v>
      </c>
    </row>
    <row r="2692" spans="26:33" x14ac:dyDescent="0.35">
      <c r="Z2692" s="344">
        <v>6346</v>
      </c>
      <c r="AA2692" s="344" t="s">
        <v>589</v>
      </c>
      <c r="AB2692" s="344">
        <v>4</v>
      </c>
      <c r="AC2692" s="344" t="s">
        <v>464</v>
      </c>
      <c r="AD2692" s="1058" t="s">
        <v>591</v>
      </c>
      <c r="AE2692" s="1059">
        <v>191828</v>
      </c>
      <c r="AF2692" s="889" t="s">
        <v>459</v>
      </c>
      <c r="AG2692" s="889" t="s">
        <v>459</v>
      </c>
    </row>
    <row r="2693" spans="26:33" x14ac:dyDescent="0.35">
      <c r="Z2693" s="344">
        <v>6348</v>
      </c>
      <c r="AA2693" s="344" t="s">
        <v>589</v>
      </c>
      <c r="AB2693" s="344">
        <v>4</v>
      </c>
      <c r="AC2693" s="344" t="s">
        <v>471</v>
      </c>
      <c r="AD2693" s="1058" t="s">
        <v>591</v>
      </c>
      <c r="AE2693" s="1059">
        <v>343944</v>
      </c>
      <c r="AF2693" s="889" t="s">
        <v>459</v>
      </c>
      <c r="AG2693" s="889" t="s">
        <v>459</v>
      </c>
    </row>
    <row r="2694" spans="26:33" x14ac:dyDescent="0.35">
      <c r="Z2694" s="344">
        <v>6350</v>
      </c>
      <c r="AA2694" s="344" t="s">
        <v>589</v>
      </c>
      <c r="AB2694" s="344">
        <v>4</v>
      </c>
      <c r="AC2694" s="344" t="s">
        <v>464</v>
      </c>
      <c r="AD2694" s="1058" t="s">
        <v>591</v>
      </c>
      <c r="AE2694" s="1059">
        <v>161335</v>
      </c>
      <c r="AF2694" s="889" t="s">
        <v>459</v>
      </c>
      <c r="AG2694" s="889" t="s">
        <v>459</v>
      </c>
    </row>
    <row r="2695" spans="26:33" x14ac:dyDescent="0.35">
      <c r="Z2695" s="344">
        <v>6351</v>
      </c>
      <c r="AA2695" s="344" t="s">
        <v>589</v>
      </c>
      <c r="AB2695" s="344">
        <v>4</v>
      </c>
      <c r="AC2695" s="344" t="e">
        <v>#N/A</v>
      </c>
      <c r="AD2695" s="1058" t="s">
        <v>591</v>
      </c>
      <c r="AE2695" s="1059" t="e">
        <v>#N/A</v>
      </c>
      <c r="AF2695" s="889" t="s">
        <v>459</v>
      </c>
      <c r="AG2695" s="889" t="s">
        <v>459</v>
      </c>
    </row>
    <row r="2696" spans="26:33" x14ac:dyDescent="0.35">
      <c r="Z2696" s="344">
        <v>6352</v>
      </c>
      <c r="AA2696" s="344" t="s">
        <v>589</v>
      </c>
      <c r="AB2696" s="344">
        <v>4</v>
      </c>
      <c r="AC2696" s="344" t="e">
        <v>#N/A</v>
      </c>
      <c r="AD2696" s="1058" t="s">
        <v>591</v>
      </c>
      <c r="AE2696" s="1059" t="e">
        <v>#N/A</v>
      </c>
      <c r="AF2696" s="889" t="s">
        <v>459</v>
      </c>
      <c r="AG2696" s="889" t="s">
        <v>459</v>
      </c>
    </row>
    <row r="2697" spans="26:33" x14ac:dyDescent="0.35">
      <c r="Z2697" s="344">
        <v>6353</v>
      </c>
      <c r="AA2697" s="344" t="s">
        <v>589</v>
      </c>
      <c r="AB2697" s="344">
        <v>4</v>
      </c>
      <c r="AC2697" s="344" t="s">
        <v>464</v>
      </c>
      <c r="AD2697" s="1058" t="s">
        <v>591</v>
      </c>
      <c r="AE2697" s="1059">
        <v>220610</v>
      </c>
      <c r="AF2697" s="889" t="s">
        <v>459</v>
      </c>
      <c r="AG2697" s="889" t="s">
        <v>459</v>
      </c>
    </row>
    <row r="2698" spans="26:33" x14ac:dyDescent="0.35">
      <c r="Z2698" s="344">
        <v>6355</v>
      </c>
      <c r="AA2698" s="344" t="s">
        <v>589</v>
      </c>
      <c r="AB2698" s="344">
        <v>4</v>
      </c>
      <c r="AC2698" s="344" t="e">
        <v>#N/A</v>
      </c>
      <c r="AD2698" s="1058" t="s">
        <v>591</v>
      </c>
      <c r="AE2698" s="1059" t="e">
        <v>#N/A</v>
      </c>
      <c r="AF2698" s="889" t="s">
        <v>459</v>
      </c>
      <c r="AG2698" s="889" t="s">
        <v>459</v>
      </c>
    </row>
    <row r="2699" spans="26:33" x14ac:dyDescent="0.35">
      <c r="Z2699" s="344">
        <v>6356</v>
      </c>
      <c r="AA2699" s="344" t="s">
        <v>589</v>
      </c>
      <c r="AB2699" s="344">
        <v>4</v>
      </c>
      <c r="AC2699" s="344" t="e">
        <v>#N/A</v>
      </c>
      <c r="AD2699" s="1058" t="s">
        <v>591</v>
      </c>
      <c r="AE2699" s="1059" t="e">
        <v>#N/A</v>
      </c>
      <c r="AF2699" s="889" t="s">
        <v>459</v>
      </c>
      <c r="AG2699" s="889" t="s">
        <v>459</v>
      </c>
    </row>
    <row r="2700" spans="26:33" x14ac:dyDescent="0.35">
      <c r="Z2700" s="344">
        <v>6357</v>
      </c>
      <c r="AA2700" s="344" t="s">
        <v>589</v>
      </c>
      <c r="AB2700" s="344">
        <v>4</v>
      </c>
      <c r="AC2700" s="344" t="e">
        <v>#N/A</v>
      </c>
      <c r="AD2700" s="1058" t="s">
        <v>591</v>
      </c>
      <c r="AE2700" s="1059" t="e">
        <v>#N/A</v>
      </c>
      <c r="AF2700" s="889" t="s">
        <v>459</v>
      </c>
      <c r="AG2700" s="889" t="s">
        <v>459</v>
      </c>
    </row>
    <row r="2701" spans="26:33" x14ac:dyDescent="0.35">
      <c r="Z2701" s="344">
        <v>6358</v>
      </c>
      <c r="AA2701" s="344" t="s">
        <v>589</v>
      </c>
      <c r="AB2701" s="344">
        <v>4</v>
      </c>
      <c r="AC2701" s="344" t="e">
        <v>#N/A</v>
      </c>
      <c r="AD2701" s="1058" t="s">
        <v>591</v>
      </c>
      <c r="AE2701" s="1059" t="e">
        <v>#N/A</v>
      </c>
      <c r="AF2701" s="889" t="s">
        <v>459</v>
      </c>
      <c r="AG2701" s="889" t="s">
        <v>459</v>
      </c>
    </row>
    <row r="2702" spans="26:33" x14ac:dyDescent="0.35">
      <c r="Z2702" s="344">
        <v>6359</v>
      </c>
      <c r="AA2702" s="344" t="s">
        <v>589</v>
      </c>
      <c r="AB2702" s="344">
        <v>4</v>
      </c>
      <c r="AC2702" s="344" t="e">
        <v>#N/A</v>
      </c>
      <c r="AD2702" s="1058" t="s">
        <v>591</v>
      </c>
      <c r="AE2702" s="1059" t="e">
        <v>#N/A</v>
      </c>
      <c r="AF2702" s="889" t="s">
        <v>459</v>
      </c>
      <c r="AG2702" s="889" t="s">
        <v>459</v>
      </c>
    </row>
    <row r="2703" spans="26:33" x14ac:dyDescent="0.35">
      <c r="Z2703" s="344">
        <v>6361</v>
      </c>
      <c r="AA2703" s="344" t="s">
        <v>589</v>
      </c>
      <c r="AB2703" s="344">
        <v>4</v>
      </c>
      <c r="AC2703" s="344" t="e">
        <v>#N/A</v>
      </c>
      <c r="AD2703" s="1058" t="s">
        <v>591</v>
      </c>
      <c r="AE2703" s="1059" t="e">
        <v>#N/A</v>
      </c>
      <c r="AF2703" s="889" t="s">
        <v>459</v>
      </c>
      <c r="AG2703" s="889" t="s">
        <v>459</v>
      </c>
    </row>
    <row r="2704" spans="26:33" x14ac:dyDescent="0.35">
      <c r="Z2704" s="344">
        <v>6363</v>
      </c>
      <c r="AA2704" s="344" t="s">
        <v>589</v>
      </c>
      <c r="AB2704" s="344">
        <v>4</v>
      </c>
      <c r="AC2704" s="344" t="e">
        <v>#N/A</v>
      </c>
      <c r="AD2704" s="1058" t="s">
        <v>591</v>
      </c>
      <c r="AE2704" s="1059" t="e">
        <v>#N/A</v>
      </c>
      <c r="AF2704" s="889" t="s">
        <v>459</v>
      </c>
      <c r="AG2704" s="889" t="s">
        <v>459</v>
      </c>
    </row>
    <row r="2705" spans="26:33" x14ac:dyDescent="0.35">
      <c r="Z2705" s="344">
        <v>6365</v>
      </c>
      <c r="AA2705" s="344" t="s">
        <v>589</v>
      </c>
      <c r="AB2705" s="344">
        <v>4</v>
      </c>
      <c r="AC2705" s="344" t="s">
        <v>464</v>
      </c>
      <c r="AD2705" s="1058" t="s">
        <v>591</v>
      </c>
      <c r="AE2705" s="1059">
        <v>158944</v>
      </c>
      <c r="AF2705" s="889" t="s">
        <v>459</v>
      </c>
      <c r="AG2705" s="889" t="s">
        <v>459</v>
      </c>
    </row>
    <row r="2706" spans="26:33" x14ac:dyDescent="0.35">
      <c r="Z2706" s="344">
        <v>6367</v>
      </c>
      <c r="AA2706" s="344" t="s">
        <v>589</v>
      </c>
      <c r="AB2706" s="344">
        <v>4</v>
      </c>
      <c r="AC2706" s="344" t="s">
        <v>464</v>
      </c>
      <c r="AD2706" s="1058" t="s">
        <v>591</v>
      </c>
      <c r="AE2706" s="1059">
        <v>109977</v>
      </c>
      <c r="AF2706" s="889" t="s">
        <v>459</v>
      </c>
      <c r="AG2706" s="889" t="s">
        <v>459</v>
      </c>
    </row>
    <row r="2707" spans="26:33" x14ac:dyDescent="0.35">
      <c r="Z2707" s="344">
        <v>6368</v>
      </c>
      <c r="AA2707" s="344" t="s">
        <v>589</v>
      </c>
      <c r="AB2707" s="344">
        <v>4</v>
      </c>
      <c r="AC2707" s="344" t="e">
        <v>#N/A</v>
      </c>
      <c r="AD2707" s="1058" t="s">
        <v>591</v>
      </c>
      <c r="AE2707" s="1059" t="e">
        <v>#N/A</v>
      </c>
      <c r="AF2707" s="889" t="s">
        <v>459</v>
      </c>
      <c r="AG2707" s="889" t="s">
        <v>459</v>
      </c>
    </row>
    <row r="2708" spans="26:33" x14ac:dyDescent="0.35">
      <c r="Z2708" s="344">
        <v>6369</v>
      </c>
      <c r="AA2708" s="344" t="s">
        <v>589</v>
      </c>
      <c r="AB2708" s="344">
        <v>4</v>
      </c>
      <c r="AC2708" s="344" t="s">
        <v>464</v>
      </c>
      <c r="AD2708" s="1058" t="s">
        <v>591</v>
      </c>
      <c r="AE2708" s="1059">
        <v>124335</v>
      </c>
      <c r="AF2708" s="889" t="s">
        <v>459</v>
      </c>
      <c r="AG2708" s="889" t="s">
        <v>459</v>
      </c>
    </row>
    <row r="2709" spans="26:33" x14ac:dyDescent="0.35">
      <c r="Z2709" s="344">
        <v>6370</v>
      </c>
      <c r="AA2709" s="344" t="s">
        <v>589</v>
      </c>
      <c r="AB2709" s="344">
        <v>4</v>
      </c>
      <c r="AC2709" s="344" t="s">
        <v>464</v>
      </c>
      <c r="AD2709" s="1058" t="s">
        <v>591</v>
      </c>
      <c r="AE2709" s="1059">
        <v>214012</v>
      </c>
      <c r="AF2709" s="889" t="s">
        <v>459</v>
      </c>
      <c r="AG2709" s="889" t="s">
        <v>459</v>
      </c>
    </row>
    <row r="2710" spans="26:33" x14ac:dyDescent="0.35">
      <c r="Z2710" s="344">
        <v>6372</v>
      </c>
      <c r="AA2710" s="344" t="s">
        <v>589</v>
      </c>
      <c r="AB2710" s="344">
        <v>4</v>
      </c>
      <c r="AC2710" s="344" t="e">
        <v>#N/A</v>
      </c>
      <c r="AD2710" s="1058" t="s">
        <v>591</v>
      </c>
      <c r="AE2710" s="1059" t="e">
        <v>#N/A</v>
      </c>
      <c r="AF2710" s="889" t="s">
        <v>459</v>
      </c>
      <c r="AG2710" s="889" t="s">
        <v>459</v>
      </c>
    </row>
    <row r="2711" spans="26:33" x14ac:dyDescent="0.35">
      <c r="Z2711" s="344">
        <v>6373</v>
      </c>
      <c r="AA2711" s="344" t="s">
        <v>589</v>
      </c>
      <c r="AB2711" s="344">
        <v>4</v>
      </c>
      <c r="AC2711" s="344" t="e">
        <v>#N/A</v>
      </c>
      <c r="AD2711" s="1058" t="s">
        <v>591</v>
      </c>
      <c r="AE2711" s="1059" t="e">
        <v>#N/A</v>
      </c>
      <c r="AF2711" s="889" t="s">
        <v>459</v>
      </c>
      <c r="AG2711" s="889" t="s">
        <v>459</v>
      </c>
    </row>
    <row r="2712" spans="26:33" x14ac:dyDescent="0.35">
      <c r="Z2712" s="344">
        <v>6375</v>
      </c>
      <c r="AA2712" s="344" t="s">
        <v>589</v>
      </c>
      <c r="AB2712" s="344">
        <v>4</v>
      </c>
      <c r="AC2712" s="344" t="s">
        <v>464</v>
      </c>
      <c r="AD2712" s="1058" t="s">
        <v>591</v>
      </c>
      <c r="AE2712" s="1059">
        <v>197306</v>
      </c>
      <c r="AF2712" s="889" t="s">
        <v>459</v>
      </c>
      <c r="AG2712" s="889" t="s">
        <v>459</v>
      </c>
    </row>
    <row r="2713" spans="26:33" x14ac:dyDescent="0.35">
      <c r="Z2713" s="344">
        <v>6383</v>
      </c>
      <c r="AA2713" s="344" t="s">
        <v>589</v>
      </c>
      <c r="AB2713" s="344">
        <v>4</v>
      </c>
      <c r="AC2713" s="344" t="s">
        <v>464</v>
      </c>
      <c r="AD2713" s="1058" t="s">
        <v>591</v>
      </c>
      <c r="AE2713" s="1059">
        <v>222620</v>
      </c>
      <c r="AF2713" s="889" t="s">
        <v>459</v>
      </c>
      <c r="AG2713" s="889" t="s">
        <v>459</v>
      </c>
    </row>
    <row r="2714" spans="26:33" x14ac:dyDescent="0.35">
      <c r="Z2714" s="344">
        <v>6384</v>
      </c>
      <c r="AA2714" s="344" t="s">
        <v>589</v>
      </c>
      <c r="AB2714" s="344">
        <v>4</v>
      </c>
      <c r="AC2714" s="344" t="e">
        <v>#N/A</v>
      </c>
      <c r="AD2714" s="1058" t="s">
        <v>591</v>
      </c>
      <c r="AE2714" s="1059" t="e">
        <v>#N/A</v>
      </c>
      <c r="AF2714" s="889" t="s">
        <v>459</v>
      </c>
      <c r="AG2714" s="889" t="s">
        <v>459</v>
      </c>
    </row>
    <row r="2715" spans="26:33" x14ac:dyDescent="0.35">
      <c r="Z2715" s="344">
        <v>6385</v>
      </c>
      <c r="AA2715" s="344" t="s">
        <v>589</v>
      </c>
      <c r="AB2715" s="344">
        <v>4</v>
      </c>
      <c r="AC2715" s="344" t="e">
        <v>#N/A</v>
      </c>
      <c r="AD2715" s="1058" t="s">
        <v>591</v>
      </c>
      <c r="AE2715" s="1059" t="e">
        <v>#N/A</v>
      </c>
      <c r="AF2715" s="889" t="s">
        <v>459</v>
      </c>
      <c r="AG2715" s="889" t="s">
        <v>459</v>
      </c>
    </row>
    <row r="2716" spans="26:33" x14ac:dyDescent="0.35">
      <c r="Z2716" s="344">
        <v>6386</v>
      </c>
      <c r="AA2716" s="344" t="s">
        <v>589</v>
      </c>
      <c r="AB2716" s="344">
        <v>4</v>
      </c>
      <c r="AC2716" s="344" t="e">
        <v>#N/A</v>
      </c>
      <c r="AD2716" s="1058" t="s">
        <v>591</v>
      </c>
      <c r="AE2716" s="1059" t="e">
        <v>#N/A</v>
      </c>
      <c r="AF2716" s="889" t="s">
        <v>459</v>
      </c>
      <c r="AG2716" s="889" t="s">
        <v>459</v>
      </c>
    </row>
    <row r="2717" spans="26:33" x14ac:dyDescent="0.35">
      <c r="Z2717" s="344">
        <v>6390</v>
      </c>
      <c r="AA2717" s="344" t="s">
        <v>589</v>
      </c>
      <c r="AB2717" s="344">
        <v>4</v>
      </c>
      <c r="AC2717" s="344" t="s">
        <v>471</v>
      </c>
      <c r="AD2717" s="1058" t="s">
        <v>591</v>
      </c>
      <c r="AE2717" s="1059">
        <v>397850</v>
      </c>
      <c r="AF2717" s="889" t="s">
        <v>459</v>
      </c>
      <c r="AG2717" s="889" t="s">
        <v>459</v>
      </c>
    </row>
    <row r="2718" spans="26:33" x14ac:dyDescent="0.35">
      <c r="Z2718" s="344">
        <v>6391</v>
      </c>
      <c r="AA2718" s="344" t="s">
        <v>589</v>
      </c>
      <c r="AB2718" s="344">
        <v>4</v>
      </c>
      <c r="AC2718" s="344" t="s">
        <v>464</v>
      </c>
      <c r="AD2718" s="1058" t="s">
        <v>591</v>
      </c>
      <c r="AE2718" s="1059">
        <v>248625</v>
      </c>
      <c r="AF2718" s="889" t="s">
        <v>459</v>
      </c>
      <c r="AG2718" s="889" t="s">
        <v>459</v>
      </c>
    </row>
    <row r="2719" spans="26:33" x14ac:dyDescent="0.35">
      <c r="Z2719" s="344">
        <v>6392</v>
      </c>
      <c r="AA2719" s="344" t="s">
        <v>589</v>
      </c>
      <c r="AB2719" s="344">
        <v>4</v>
      </c>
      <c r="AC2719" s="344" t="s">
        <v>464</v>
      </c>
      <c r="AD2719" s="1058" t="s">
        <v>591</v>
      </c>
      <c r="AE2719" s="1059">
        <v>183318</v>
      </c>
      <c r="AF2719" s="889" t="s">
        <v>459</v>
      </c>
      <c r="AG2719" s="889" t="s">
        <v>459</v>
      </c>
    </row>
    <row r="2720" spans="26:33" x14ac:dyDescent="0.35">
      <c r="Z2720" s="344">
        <v>6393</v>
      </c>
      <c r="AA2720" s="344" t="s">
        <v>589</v>
      </c>
      <c r="AB2720" s="344">
        <v>4</v>
      </c>
      <c r="AC2720" s="344" t="e">
        <v>#N/A</v>
      </c>
      <c r="AD2720" s="1058" t="s">
        <v>591</v>
      </c>
      <c r="AE2720" s="1059" t="e">
        <v>#N/A</v>
      </c>
      <c r="AF2720" s="889" t="s">
        <v>459</v>
      </c>
      <c r="AG2720" s="889" t="s">
        <v>459</v>
      </c>
    </row>
    <row r="2721" spans="26:33" x14ac:dyDescent="0.35">
      <c r="Z2721" s="344">
        <v>6394</v>
      </c>
      <c r="AA2721" s="344" t="s">
        <v>589</v>
      </c>
      <c r="AB2721" s="344">
        <v>4</v>
      </c>
      <c r="AC2721" s="344" t="e">
        <v>#N/A</v>
      </c>
      <c r="AD2721" s="1058" t="s">
        <v>591</v>
      </c>
      <c r="AE2721" s="1059" t="e">
        <v>#N/A</v>
      </c>
      <c r="AF2721" s="889" t="s">
        <v>459</v>
      </c>
      <c r="AG2721" s="889" t="s">
        <v>459</v>
      </c>
    </row>
    <row r="2722" spans="26:33" x14ac:dyDescent="0.35">
      <c r="Z2722" s="344">
        <v>6395</v>
      </c>
      <c r="AA2722" s="344" t="s">
        <v>589</v>
      </c>
      <c r="AB2722" s="344">
        <v>4</v>
      </c>
      <c r="AC2722" s="344" t="s">
        <v>464</v>
      </c>
      <c r="AD2722" s="1058" t="s">
        <v>591</v>
      </c>
      <c r="AE2722" s="1059">
        <v>230270</v>
      </c>
      <c r="AF2722" s="889" t="s">
        <v>459</v>
      </c>
      <c r="AG2722" s="889" t="s">
        <v>459</v>
      </c>
    </row>
    <row r="2723" spans="26:33" x14ac:dyDescent="0.35">
      <c r="Z2723" s="344">
        <v>6396</v>
      </c>
      <c r="AA2723" s="344" t="s">
        <v>589</v>
      </c>
      <c r="AB2723" s="344">
        <v>4</v>
      </c>
      <c r="AC2723" s="344" t="e">
        <v>#N/A</v>
      </c>
      <c r="AD2723" s="1058" t="s">
        <v>591</v>
      </c>
      <c r="AE2723" s="1059" t="e">
        <v>#N/A</v>
      </c>
      <c r="AF2723" s="889" t="s">
        <v>459</v>
      </c>
      <c r="AG2723" s="889" t="s">
        <v>459</v>
      </c>
    </row>
    <row r="2724" spans="26:33" x14ac:dyDescent="0.35">
      <c r="Z2724" s="344">
        <v>6397</v>
      </c>
      <c r="AA2724" s="344" t="s">
        <v>589</v>
      </c>
      <c r="AB2724" s="344">
        <v>4</v>
      </c>
      <c r="AC2724" s="344" t="e">
        <v>#N/A</v>
      </c>
      <c r="AD2724" s="1058" t="s">
        <v>591</v>
      </c>
      <c r="AE2724" s="1059" t="e">
        <v>#N/A</v>
      </c>
      <c r="AF2724" s="889" t="s">
        <v>459</v>
      </c>
      <c r="AG2724" s="889" t="s">
        <v>459</v>
      </c>
    </row>
    <row r="2725" spans="26:33" x14ac:dyDescent="0.35">
      <c r="Z2725" s="344">
        <v>6398</v>
      </c>
      <c r="AA2725" s="344" t="s">
        <v>589</v>
      </c>
      <c r="AB2725" s="344">
        <v>4</v>
      </c>
      <c r="AC2725" s="344" t="s">
        <v>471</v>
      </c>
      <c r="AD2725" s="1058" t="s">
        <v>591</v>
      </c>
      <c r="AE2725" s="1059">
        <v>357154</v>
      </c>
      <c r="AF2725" s="889" t="s">
        <v>459</v>
      </c>
      <c r="AG2725" s="889" t="s">
        <v>459</v>
      </c>
    </row>
    <row r="2726" spans="26:33" x14ac:dyDescent="0.35">
      <c r="Z2726" s="344">
        <v>6401</v>
      </c>
      <c r="AA2726" s="344" t="s">
        <v>589</v>
      </c>
      <c r="AB2726" s="344">
        <v>3</v>
      </c>
      <c r="AC2726" s="344" t="s">
        <v>464</v>
      </c>
      <c r="AD2726" s="1058" t="s">
        <v>592</v>
      </c>
      <c r="AE2726" s="1059">
        <v>286459</v>
      </c>
      <c r="AF2726" s="889" t="s">
        <v>460</v>
      </c>
      <c r="AG2726" s="889" t="s">
        <v>459</v>
      </c>
    </row>
    <row r="2727" spans="26:33" x14ac:dyDescent="0.35">
      <c r="Z2727" s="344">
        <v>6403</v>
      </c>
      <c r="AA2727" s="344" t="s">
        <v>589</v>
      </c>
      <c r="AB2727" s="344">
        <v>4</v>
      </c>
      <c r="AC2727" s="344" t="e">
        <v>#N/A</v>
      </c>
      <c r="AD2727" s="1058" t="s">
        <v>591</v>
      </c>
      <c r="AE2727" s="1059" t="e">
        <v>#N/A</v>
      </c>
      <c r="AF2727" s="889" t="s">
        <v>459</v>
      </c>
      <c r="AG2727" s="889" t="s">
        <v>459</v>
      </c>
    </row>
    <row r="2728" spans="26:33" x14ac:dyDescent="0.35">
      <c r="Z2728" s="344">
        <v>6405</v>
      </c>
      <c r="AA2728" s="344" t="s">
        <v>589</v>
      </c>
      <c r="AB2728" s="344">
        <v>4</v>
      </c>
      <c r="AC2728" s="344" t="e">
        <v>#N/A</v>
      </c>
      <c r="AD2728" s="1058" t="s">
        <v>591</v>
      </c>
      <c r="AE2728" s="1059" t="e">
        <v>#N/A</v>
      </c>
      <c r="AF2728" s="889" t="s">
        <v>459</v>
      </c>
      <c r="AG2728" s="889" t="s">
        <v>459</v>
      </c>
    </row>
    <row r="2729" spans="26:33" x14ac:dyDescent="0.35">
      <c r="Z2729" s="344">
        <v>6407</v>
      </c>
      <c r="AA2729" s="344" t="s">
        <v>589</v>
      </c>
      <c r="AB2729" s="344">
        <v>4</v>
      </c>
      <c r="AC2729" s="344" t="s">
        <v>464</v>
      </c>
      <c r="AD2729" s="1058" t="s">
        <v>591</v>
      </c>
      <c r="AE2729" s="1059">
        <v>206654</v>
      </c>
      <c r="AF2729" s="889" t="s">
        <v>459</v>
      </c>
      <c r="AG2729" s="889" t="s">
        <v>459</v>
      </c>
    </row>
    <row r="2730" spans="26:33" x14ac:dyDescent="0.35">
      <c r="Z2730" s="344">
        <v>6409</v>
      </c>
      <c r="AA2730" s="344" t="s">
        <v>589</v>
      </c>
      <c r="AB2730" s="344">
        <v>4</v>
      </c>
      <c r="AC2730" s="344" t="s">
        <v>464</v>
      </c>
      <c r="AD2730" s="1058" t="s">
        <v>591</v>
      </c>
      <c r="AE2730" s="1059">
        <v>127093</v>
      </c>
      <c r="AF2730" s="889" t="s">
        <v>459</v>
      </c>
      <c r="AG2730" s="889" t="s">
        <v>459</v>
      </c>
    </row>
    <row r="2731" spans="26:33" x14ac:dyDescent="0.35">
      <c r="Z2731" s="344">
        <v>6410</v>
      </c>
      <c r="AA2731" s="344" t="s">
        <v>589</v>
      </c>
      <c r="AB2731" s="344">
        <v>4</v>
      </c>
      <c r="AC2731" s="344" t="s">
        <v>464</v>
      </c>
      <c r="AD2731" s="1058" t="s">
        <v>591</v>
      </c>
      <c r="AE2731" s="1059">
        <v>158824</v>
      </c>
      <c r="AF2731" s="889" t="s">
        <v>459</v>
      </c>
      <c r="AG2731" s="889" t="s">
        <v>459</v>
      </c>
    </row>
    <row r="2732" spans="26:33" x14ac:dyDescent="0.35">
      <c r="Z2732" s="344">
        <v>6411</v>
      </c>
      <c r="AA2732" s="344" t="s">
        <v>589</v>
      </c>
      <c r="AB2732" s="344">
        <v>4</v>
      </c>
      <c r="AC2732" s="344" t="e">
        <v>#N/A</v>
      </c>
      <c r="AD2732" s="1058" t="s">
        <v>591</v>
      </c>
      <c r="AE2732" s="1059" t="e">
        <v>#N/A</v>
      </c>
      <c r="AF2732" s="889" t="s">
        <v>459</v>
      </c>
      <c r="AG2732" s="889" t="s">
        <v>459</v>
      </c>
    </row>
    <row r="2733" spans="26:33" x14ac:dyDescent="0.35">
      <c r="Z2733" s="344">
        <v>6412</v>
      </c>
      <c r="AA2733" s="344" t="s">
        <v>589</v>
      </c>
      <c r="AB2733" s="344">
        <v>4</v>
      </c>
      <c r="AC2733" s="344" t="e">
        <v>#N/A</v>
      </c>
      <c r="AD2733" s="1058" t="s">
        <v>591</v>
      </c>
      <c r="AE2733" s="1059" t="e">
        <v>#N/A</v>
      </c>
      <c r="AF2733" s="889" t="s">
        <v>459</v>
      </c>
      <c r="AG2733" s="889" t="s">
        <v>459</v>
      </c>
    </row>
    <row r="2734" spans="26:33" x14ac:dyDescent="0.35">
      <c r="Z2734" s="344">
        <v>6413</v>
      </c>
      <c r="AA2734" s="344" t="s">
        <v>589</v>
      </c>
      <c r="AB2734" s="344">
        <v>4</v>
      </c>
      <c r="AC2734" s="344" t="e">
        <v>#N/A</v>
      </c>
      <c r="AD2734" s="1058" t="s">
        <v>591</v>
      </c>
      <c r="AE2734" s="1059" t="e">
        <v>#N/A</v>
      </c>
      <c r="AF2734" s="889" t="s">
        <v>459</v>
      </c>
      <c r="AG2734" s="889" t="s">
        <v>459</v>
      </c>
    </row>
    <row r="2735" spans="26:33" x14ac:dyDescent="0.35">
      <c r="Z2735" s="344">
        <v>6414</v>
      </c>
      <c r="AA2735" s="344" t="s">
        <v>589</v>
      </c>
      <c r="AB2735" s="344">
        <v>4</v>
      </c>
      <c r="AC2735" s="344" t="e">
        <v>#N/A</v>
      </c>
      <c r="AD2735" s="1058" t="s">
        <v>591</v>
      </c>
      <c r="AE2735" s="1059" t="e">
        <v>#N/A</v>
      </c>
      <c r="AF2735" s="889" t="s">
        <v>459</v>
      </c>
      <c r="AG2735" s="889" t="s">
        <v>459</v>
      </c>
    </row>
    <row r="2736" spans="26:33" x14ac:dyDescent="0.35">
      <c r="Z2736" s="344">
        <v>6415</v>
      </c>
      <c r="AA2736" s="344" t="s">
        <v>589</v>
      </c>
      <c r="AB2736" s="344">
        <v>4</v>
      </c>
      <c r="AC2736" s="344" t="s">
        <v>464</v>
      </c>
      <c r="AD2736" s="1058" t="s">
        <v>591</v>
      </c>
      <c r="AE2736" s="1059">
        <v>190510</v>
      </c>
      <c r="AF2736" s="889" t="s">
        <v>459</v>
      </c>
      <c r="AG2736" s="889" t="s">
        <v>459</v>
      </c>
    </row>
    <row r="2737" spans="26:33" x14ac:dyDescent="0.35">
      <c r="Z2737" s="344">
        <v>6418</v>
      </c>
      <c r="AA2737" s="344" t="s">
        <v>589</v>
      </c>
      <c r="AB2737" s="344">
        <v>4</v>
      </c>
      <c r="AC2737" s="344" t="s">
        <v>464</v>
      </c>
      <c r="AD2737" s="1058" t="s">
        <v>591</v>
      </c>
      <c r="AE2737" s="1059">
        <v>150943</v>
      </c>
      <c r="AF2737" s="889" t="s">
        <v>459</v>
      </c>
      <c r="AG2737" s="889" t="s">
        <v>459</v>
      </c>
    </row>
    <row r="2738" spans="26:33" x14ac:dyDescent="0.35">
      <c r="Z2738" s="344">
        <v>6419</v>
      </c>
      <c r="AA2738" s="344" t="s">
        <v>589</v>
      </c>
      <c r="AB2738" s="344">
        <v>4</v>
      </c>
      <c r="AC2738" s="344" t="e">
        <v>#N/A</v>
      </c>
      <c r="AD2738" s="1058" t="s">
        <v>591</v>
      </c>
      <c r="AE2738" s="1059" t="e">
        <v>#N/A</v>
      </c>
      <c r="AF2738" s="889" t="s">
        <v>459</v>
      </c>
      <c r="AG2738" s="889" t="s">
        <v>459</v>
      </c>
    </row>
    <row r="2739" spans="26:33" x14ac:dyDescent="0.35">
      <c r="Z2739" s="344">
        <v>6420</v>
      </c>
      <c r="AA2739" s="344" t="s">
        <v>589</v>
      </c>
      <c r="AB2739" s="344">
        <v>4</v>
      </c>
      <c r="AC2739" s="344" t="e">
        <v>#N/A</v>
      </c>
      <c r="AD2739" s="1058" t="s">
        <v>591</v>
      </c>
      <c r="AE2739" s="1059" t="e">
        <v>#N/A</v>
      </c>
      <c r="AF2739" s="889" t="s">
        <v>459</v>
      </c>
      <c r="AG2739" s="889" t="s">
        <v>459</v>
      </c>
    </row>
    <row r="2740" spans="26:33" x14ac:dyDescent="0.35">
      <c r="Z2740" s="344">
        <v>6421</v>
      </c>
      <c r="AA2740" s="344" t="s">
        <v>589</v>
      </c>
      <c r="AB2740" s="344">
        <v>4</v>
      </c>
      <c r="AC2740" s="344" t="e">
        <v>#N/A</v>
      </c>
      <c r="AD2740" s="1058" t="s">
        <v>591</v>
      </c>
      <c r="AE2740" s="1059" t="e">
        <v>#N/A</v>
      </c>
      <c r="AF2740" s="889" t="s">
        <v>459</v>
      </c>
      <c r="AG2740" s="889" t="s">
        <v>459</v>
      </c>
    </row>
    <row r="2741" spans="26:33" x14ac:dyDescent="0.35">
      <c r="Z2741" s="344">
        <v>6422</v>
      </c>
      <c r="AA2741" s="344" t="s">
        <v>589</v>
      </c>
      <c r="AB2741" s="344">
        <v>4</v>
      </c>
      <c r="AC2741" s="344" t="e">
        <v>#N/A</v>
      </c>
      <c r="AD2741" s="1058" t="s">
        <v>591</v>
      </c>
      <c r="AE2741" s="1059" t="e">
        <v>#N/A</v>
      </c>
      <c r="AF2741" s="889" t="s">
        <v>459</v>
      </c>
      <c r="AG2741" s="889" t="s">
        <v>459</v>
      </c>
    </row>
    <row r="2742" spans="26:33" x14ac:dyDescent="0.35">
      <c r="Z2742" s="344">
        <v>6423</v>
      </c>
      <c r="AA2742" s="344" t="s">
        <v>589</v>
      </c>
      <c r="AB2742" s="344">
        <v>4</v>
      </c>
      <c r="AC2742" s="344" t="e">
        <v>#N/A</v>
      </c>
      <c r="AD2742" s="1058" t="s">
        <v>591</v>
      </c>
      <c r="AE2742" s="1059" t="e">
        <v>#N/A</v>
      </c>
      <c r="AF2742" s="889" t="s">
        <v>459</v>
      </c>
      <c r="AG2742" s="889" t="s">
        <v>459</v>
      </c>
    </row>
    <row r="2743" spans="26:33" x14ac:dyDescent="0.35">
      <c r="Z2743" s="344">
        <v>6424</v>
      </c>
      <c r="AA2743" s="344" t="s">
        <v>589</v>
      </c>
      <c r="AB2743" s="344">
        <v>4</v>
      </c>
      <c r="AC2743" s="344" t="e">
        <v>#N/A</v>
      </c>
      <c r="AD2743" s="1058" t="s">
        <v>591</v>
      </c>
      <c r="AE2743" s="1059" t="e">
        <v>#N/A</v>
      </c>
      <c r="AF2743" s="889" t="s">
        <v>459</v>
      </c>
      <c r="AG2743" s="889" t="s">
        <v>459</v>
      </c>
    </row>
    <row r="2744" spans="26:33" x14ac:dyDescent="0.35">
      <c r="Z2744" s="344">
        <v>6425</v>
      </c>
      <c r="AA2744" s="344" t="s">
        <v>589</v>
      </c>
      <c r="AB2744" s="344">
        <v>4</v>
      </c>
      <c r="AC2744" s="344" t="e">
        <v>#N/A</v>
      </c>
      <c r="AD2744" s="1058" t="s">
        <v>591</v>
      </c>
      <c r="AE2744" s="1059" t="e">
        <v>#N/A</v>
      </c>
      <c r="AF2744" s="889" t="s">
        <v>459</v>
      </c>
      <c r="AG2744" s="889" t="s">
        <v>459</v>
      </c>
    </row>
    <row r="2745" spans="26:33" x14ac:dyDescent="0.35">
      <c r="Z2745" s="344">
        <v>6426</v>
      </c>
      <c r="AA2745" s="344" t="s">
        <v>589</v>
      </c>
      <c r="AB2745" s="344">
        <v>4</v>
      </c>
      <c r="AC2745" s="344" t="s">
        <v>464</v>
      </c>
      <c r="AD2745" s="1058" t="s">
        <v>591</v>
      </c>
      <c r="AE2745" s="1059">
        <v>166578</v>
      </c>
      <c r="AF2745" s="889" t="s">
        <v>459</v>
      </c>
      <c r="AG2745" s="889" t="s">
        <v>459</v>
      </c>
    </row>
    <row r="2746" spans="26:33" x14ac:dyDescent="0.35">
      <c r="Z2746" s="344">
        <v>6427</v>
      </c>
      <c r="AA2746" s="344" t="s">
        <v>589</v>
      </c>
      <c r="AB2746" s="344">
        <v>4</v>
      </c>
      <c r="AC2746" s="344" t="e">
        <v>#N/A</v>
      </c>
      <c r="AD2746" s="1058" t="s">
        <v>591</v>
      </c>
      <c r="AE2746" s="1059" t="e">
        <v>#N/A</v>
      </c>
      <c r="AF2746" s="889" t="s">
        <v>459</v>
      </c>
      <c r="AG2746" s="889" t="s">
        <v>459</v>
      </c>
    </row>
    <row r="2747" spans="26:33" x14ac:dyDescent="0.35">
      <c r="Z2747" s="344">
        <v>6428</v>
      </c>
      <c r="AA2747" s="344" t="s">
        <v>589</v>
      </c>
      <c r="AB2747" s="344">
        <v>4</v>
      </c>
      <c r="AC2747" s="344" t="e">
        <v>#N/A</v>
      </c>
      <c r="AD2747" s="1058" t="s">
        <v>591</v>
      </c>
      <c r="AE2747" s="1059" t="e">
        <v>#N/A</v>
      </c>
      <c r="AF2747" s="889" t="s">
        <v>459</v>
      </c>
      <c r="AG2747" s="889" t="s">
        <v>459</v>
      </c>
    </row>
    <row r="2748" spans="26:33" x14ac:dyDescent="0.35">
      <c r="Z2748" s="344">
        <v>6429</v>
      </c>
      <c r="AA2748" s="344" t="s">
        <v>589</v>
      </c>
      <c r="AB2748" s="344">
        <v>4</v>
      </c>
      <c r="AC2748" s="344" t="s">
        <v>464</v>
      </c>
      <c r="AD2748" s="1058" t="s">
        <v>591</v>
      </c>
      <c r="AE2748" s="1059">
        <v>179539</v>
      </c>
      <c r="AF2748" s="889" t="s">
        <v>459</v>
      </c>
      <c r="AG2748" s="889" t="s">
        <v>459</v>
      </c>
    </row>
    <row r="2749" spans="26:33" x14ac:dyDescent="0.35">
      <c r="Z2749" s="344">
        <v>6430</v>
      </c>
      <c r="AA2749" s="344" t="s">
        <v>589</v>
      </c>
      <c r="AB2749" s="344">
        <v>3</v>
      </c>
      <c r="AC2749" s="344" t="s">
        <v>471</v>
      </c>
      <c r="AD2749" s="1058" t="s">
        <v>592</v>
      </c>
      <c r="AE2749" s="1059">
        <v>389187</v>
      </c>
      <c r="AF2749" s="889" t="s">
        <v>460</v>
      </c>
      <c r="AG2749" s="889" t="s">
        <v>459</v>
      </c>
    </row>
    <row r="2750" spans="26:33" x14ac:dyDescent="0.35">
      <c r="Z2750" s="344">
        <v>6431</v>
      </c>
      <c r="AA2750" s="344" t="s">
        <v>589</v>
      </c>
      <c r="AB2750" s="344">
        <v>4</v>
      </c>
      <c r="AC2750" s="344" t="e">
        <v>#N/A</v>
      </c>
      <c r="AD2750" s="1058" t="s">
        <v>591</v>
      </c>
      <c r="AE2750" s="1059" t="e">
        <v>#N/A</v>
      </c>
      <c r="AF2750" s="889" t="s">
        <v>459</v>
      </c>
      <c r="AG2750" s="889" t="s">
        <v>459</v>
      </c>
    </row>
    <row r="2751" spans="26:33" x14ac:dyDescent="0.35">
      <c r="Z2751" s="344">
        <v>6432</v>
      </c>
      <c r="AA2751" s="344" t="s">
        <v>589</v>
      </c>
      <c r="AB2751" s="344">
        <v>3</v>
      </c>
      <c r="AC2751" s="344" t="s">
        <v>464</v>
      </c>
      <c r="AD2751" s="1058" t="s">
        <v>592</v>
      </c>
      <c r="AE2751" s="1059">
        <v>253859</v>
      </c>
      <c r="AF2751" s="889" t="s">
        <v>460</v>
      </c>
      <c r="AG2751" s="889" t="s">
        <v>459</v>
      </c>
    </row>
    <row r="2752" spans="26:33" x14ac:dyDescent="0.35">
      <c r="Z2752" s="344">
        <v>6433</v>
      </c>
      <c r="AA2752" s="344" t="s">
        <v>589</v>
      </c>
      <c r="AB2752" s="344">
        <v>4</v>
      </c>
      <c r="AC2752" s="344" t="e">
        <v>#N/A</v>
      </c>
      <c r="AD2752" s="1058" t="s">
        <v>591</v>
      </c>
      <c r="AE2752" s="1059" t="e">
        <v>#N/A</v>
      </c>
      <c r="AF2752" s="889" t="s">
        <v>459</v>
      </c>
      <c r="AG2752" s="889" t="s">
        <v>459</v>
      </c>
    </row>
    <row r="2753" spans="26:33" x14ac:dyDescent="0.35">
      <c r="Z2753" s="344">
        <v>6434</v>
      </c>
      <c r="AA2753" s="344" t="s">
        <v>589</v>
      </c>
      <c r="AB2753" s="344">
        <v>4</v>
      </c>
      <c r="AC2753" s="344" t="e">
        <v>#N/A</v>
      </c>
      <c r="AD2753" s="1058" t="s">
        <v>591</v>
      </c>
      <c r="AE2753" s="1059" t="e">
        <v>#N/A</v>
      </c>
      <c r="AF2753" s="889" t="s">
        <v>459</v>
      </c>
      <c r="AG2753" s="889" t="s">
        <v>459</v>
      </c>
    </row>
    <row r="2754" spans="26:33" x14ac:dyDescent="0.35">
      <c r="Z2754" s="344">
        <v>6435</v>
      </c>
      <c r="AA2754" s="344" t="s">
        <v>589</v>
      </c>
      <c r="AB2754" s="344">
        <v>4</v>
      </c>
      <c r="AC2754" s="344" t="e">
        <v>#N/A</v>
      </c>
      <c r="AD2754" s="1058" t="s">
        <v>591</v>
      </c>
      <c r="AE2754" s="1059" t="e">
        <v>#N/A</v>
      </c>
      <c r="AF2754" s="889" t="s">
        <v>459</v>
      </c>
      <c r="AG2754" s="889" t="s">
        <v>459</v>
      </c>
    </row>
    <row r="2755" spans="26:33" x14ac:dyDescent="0.35">
      <c r="Z2755" s="344">
        <v>6436</v>
      </c>
      <c r="AA2755" s="344" t="s">
        <v>589</v>
      </c>
      <c r="AB2755" s="344">
        <v>4</v>
      </c>
      <c r="AC2755" s="344" t="e">
        <v>#N/A</v>
      </c>
      <c r="AD2755" s="1058" t="s">
        <v>591</v>
      </c>
      <c r="AE2755" s="1059" t="e">
        <v>#N/A</v>
      </c>
      <c r="AF2755" s="889" t="s">
        <v>459</v>
      </c>
      <c r="AG2755" s="889" t="s">
        <v>459</v>
      </c>
    </row>
    <row r="2756" spans="26:33" x14ac:dyDescent="0.35">
      <c r="Z2756" s="344">
        <v>6437</v>
      </c>
      <c r="AA2756" s="344" t="s">
        <v>589</v>
      </c>
      <c r="AB2756" s="344">
        <v>4</v>
      </c>
      <c r="AC2756" s="344" t="e">
        <v>#N/A</v>
      </c>
      <c r="AD2756" s="1058" t="s">
        <v>591</v>
      </c>
      <c r="AE2756" s="1059" t="e">
        <v>#N/A</v>
      </c>
      <c r="AF2756" s="889" t="s">
        <v>459</v>
      </c>
      <c r="AG2756" s="889" t="s">
        <v>459</v>
      </c>
    </row>
    <row r="2757" spans="26:33" x14ac:dyDescent="0.35">
      <c r="Z2757" s="344">
        <v>6438</v>
      </c>
      <c r="AA2757" s="344" t="s">
        <v>589</v>
      </c>
      <c r="AB2757" s="344">
        <v>4</v>
      </c>
      <c r="AC2757" s="344" t="s">
        <v>464</v>
      </c>
      <c r="AD2757" s="1058" t="s">
        <v>591</v>
      </c>
      <c r="AE2757" s="1059">
        <v>166843</v>
      </c>
      <c r="AF2757" s="889" t="s">
        <v>459</v>
      </c>
      <c r="AG2757" s="889" t="s">
        <v>459</v>
      </c>
    </row>
    <row r="2758" spans="26:33" x14ac:dyDescent="0.35">
      <c r="Z2758" s="344">
        <v>6440</v>
      </c>
      <c r="AA2758" s="344" t="s">
        <v>589</v>
      </c>
      <c r="AB2758" s="344">
        <v>4</v>
      </c>
      <c r="AC2758" s="344" t="s">
        <v>464</v>
      </c>
      <c r="AD2758" s="1058" t="s">
        <v>591</v>
      </c>
      <c r="AE2758" s="1059">
        <v>137474</v>
      </c>
      <c r="AF2758" s="889" t="s">
        <v>459</v>
      </c>
      <c r="AG2758" s="889" t="s">
        <v>459</v>
      </c>
    </row>
    <row r="2759" spans="26:33" x14ac:dyDescent="0.35">
      <c r="Z2759" s="344">
        <v>6442</v>
      </c>
      <c r="AA2759" s="344" t="s">
        <v>589</v>
      </c>
      <c r="AB2759" s="344">
        <v>4</v>
      </c>
      <c r="AC2759" s="344" t="s">
        <v>464</v>
      </c>
      <c r="AD2759" s="1058" t="s">
        <v>591</v>
      </c>
      <c r="AE2759" s="1059">
        <v>159462</v>
      </c>
      <c r="AF2759" s="889" t="s">
        <v>459</v>
      </c>
      <c r="AG2759" s="889" t="s">
        <v>459</v>
      </c>
    </row>
    <row r="2760" spans="26:33" x14ac:dyDescent="0.35">
      <c r="Z2760" s="344">
        <v>6443</v>
      </c>
      <c r="AA2760" s="344" t="s">
        <v>589</v>
      </c>
      <c r="AB2760" s="344">
        <v>4</v>
      </c>
      <c r="AC2760" s="344" t="s">
        <v>464</v>
      </c>
      <c r="AD2760" s="1058" t="s">
        <v>591</v>
      </c>
      <c r="AE2760" s="1059">
        <v>110224</v>
      </c>
      <c r="AF2760" s="889" t="s">
        <v>459</v>
      </c>
      <c r="AG2760" s="889" t="s">
        <v>459</v>
      </c>
    </row>
    <row r="2761" spans="26:33" x14ac:dyDescent="0.35">
      <c r="Z2761" s="344">
        <v>6445</v>
      </c>
      <c r="AA2761" s="344" t="s">
        <v>589</v>
      </c>
      <c r="AB2761" s="344">
        <v>4</v>
      </c>
      <c r="AC2761" s="344" t="e">
        <v>#N/A</v>
      </c>
      <c r="AD2761" s="1058" t="s">
        <v>591</v>
      </c>
      <c r="AE2761" s="1059" t="e">
        <v>#N/A</v>
      </c>
      <c r="AF2761" s="889" t="s">
        <v>459</v>
      </c>
      <c r="AG2761" s="889" t="s">
        <v>459</v>
      </c>
    </row>
    <row r="2762" spans="26:33" x14ac:dyDescent="0.35">
      <c r="Z2762" s="344">
        <v>6446</v>
      </c>
      <c r="AA2762" s="344" t="s">
        <v>589</v>
      </c>
      <c r="AB2762" s="344">
        <v>4</v>
      </c>
      <c r="AC2762" s="344" t="e">
        <v>#N/A</v>
      </c>
      <c r="AD2762" s="1058" t="s">
        <v>591</v>
      </c>
      <c r="AE2762" s="1059" t="e">
        <v>#N/A</v>
      </c>
      <c r="AF2762" s="889" t="s">
        <v>459</v>
      </c>
      <c r="AG2762" s="889" t="s">
        <v>459</v>
      </c>
    </row>
    <row r="2763" spans="26:33" x14ac:dyDescent="0.35">
      <c r="Z2763" s="344">
        <v>6447</v>
      </c>
      <c r="AA2763" s="344" t="s">
        <v>589</v>
      </c>
      <c r="AB2763" s="344">
        <v>4</v>
      </c>
      <c r="AC2763" s="344" t="e">
        <v>#N/A</v>
      </c>
      <c r="AD2763" s="1058" t="s">
        <v>591</v>
      </c>
      <c r="AE2763" s="1059" t="e">
        <v>#N/A</v>
      </c>
      <c r="AF2763" s="889" t="s">
        <v>459</v>
      </c>
      <c r="AG2763" s="889" t="s">
        <v>459</v>
      </c>
    </row>
    <row r="2764" spans="26:33" x14ac:dyDescent="0.35">
      <c r="Z2764" s="344">
        <v>6448</v>
      </c>
      <c r="AA2764" s="344" t="s">
        <v>589</v>
      </c>
      <c r="AB2764" s="344">
        <v>4</v>
      </c>
      <c r="AC2764" s="344" t="e">
        <v>#N/A</v>
      </c>
      <c r="AD2764" s="1058" t="s">
        <v>591</v>
      </c>
      <c r="AE2764" s="1059" t="e">
        <v>#N/A</v>
      </c>
      <c r="AF2764" s="889" t="s">
        <v>459</v>
      </c>
      <c r="AG2764" s="889" t="s">
        <v>459</v>
      </c>
    </row>
    <row r="2765" spans="26:33" x14ac:dyDescent="0.35">
      <c r="Z2765" s="344">
        <v>6450</v>
      </c>
      <c r="AA2765" s="344" t="s">
        <v>589</v>
      </c>
      <c r="AB2765" s="344">
        <v>2</v>
      </c>
      <c r="AC2765" s="344" t="s">
        <v>471</v>
      </c>
      <c r="AD2765" s="1058" t="s">
        <v>593</v>
      </c>
      <c r="AE2765" s="1059">
        <v>354765</v>
      </c>
      <c r="AF2765" s="889" t="s">
        <v>459</v>
      </c>
      <c r="AG2765" s="889" t="s">
        <v>459</v>
      </c>
    </row>
    <row r="2766" spans="26:33" x14ac:dyDescent="0.35">
      <c r="Z2766" s="344">
        <v>6452</v>
      </c>
      <c r="AA2766" s="344" t="s">
        <v>589</v>
      </c>
      <c r="AB2766" s="344">
        <v>4</v>
      </c>
      <c r="AC2766" s="344" t="e">
        <v>#N/A</v>
      </c>
      <c r="AD2766" s="1058" t="s">
        <v>591</v>
      </c>
      <c r="AE2766" s="1059" t="e">
        <v>#N/A</v>
      </c>
      <c r="AF2766" s="889" t="s">
        <v>459</v>
      </c>
      <c r="AG2766" s="889" t="s">
        <v>459</v>
      </c>
    </row>
    <row r="2767" spans="26:33" x14ac:dyDescent="0.35">
      <c r="Z2767" s="344">
        <v>6460</v>
      </c>
      <c r="AA2767" s="344" t="s">
        <v>589</v>
      </c>
      <c r="AB2767" s="344">
        <v>4</v>
      </c>
      <c r="AC2767" s="344" t="s">
        <v>464</v>
      </c>
      <c r="AD2767" s="1058" t="s">
        <v>591</v>
      </c>
      <c r="AE2767" s="1059">
        <v>217786</v>
      </c>
      <c r="AF2767" s="889" t="s">
        <v>459</v>
      </c>
      <c r="AG2767" s="889" t="s">
        <v>459</v>
      </c>
    </row>
    <row r="2768" spans="26:33" x14ac:dyDescent="0.35">
      <c r="Z2768" s="344">
        <v>6461</v>
      </c>
      <c r="AA2768" s="344" t="s">
        <v>589</v>
      </c>
      <c r="AB2768" s="344">
        <v>4</v>
      </c>
      <c r="AC2768" s="344" t="s">
        <v>464</v>
      </c>
      <c r="AD2768" s="1058" t="s">
        <v>591</v>
      </c>
      <c r="AE2768" s="1059">
        <v>169301</v>
      </c>
      <c r="AF2768" s="889" t="s">
        <v>459</v>
      </c>
      <c r="AG2768" s="889" t="s">
        <v>459</v>
      </c>
    </row>
    <row r="2769" spans="26:33" x14ac:dyDescent="0.35">
      <c r="Z2769" s="344">
        <v>6462</v>
      </c>
      <c r="AA2769" s="344" t="s">
        <v>589</v>
      </c>
      <c r="AB2769" s="344">
        <v>4</v>
      </c>
      <c r="AC2769" s="344" t="e">
        <v>#N/A</v>
      </c>
      <c r="AD2769" s="1058" t="s">
        <v>591</v>
      </c>
      <c r="AE2769" s="1059" t="e">
        <v>#N/A</v>
      </c>
      <c r="AF2769" s="889" t="s">
        <v>459</v>
      </c>
      <c r="AG2769" s="889" t="s">
        <v>459</v>
      </c>
    </row>
    <row r="2770" spans="26:33" x14ac:dyDescent="0.35">
      <c r="Z2770" s="344">
        <v>6463</v>
      </c>
      <c r="AA2770" s="344" t="s">
        <v>589</v>
      </c>
      <c r="AB2770" s="344">
        <v>4</v>
      </c>
      <c r="AC2770" s="344" t="e">
        <v>#N/A</v>
      </c>
      <c r="AD2770" s="1058" t="s">
        <v>591</v>
      </c>
      <c r="AE2770" s="1059" t="e">
        <v>#N/A</v>
      </c>
      <c r="AF2770" s="889" t="s">
        <v>459</v>
      </c>
      <c r="AG2770" s="889" t="s">
        <v>459</v>
      </c>
    </row>
    <row r="2771" spans="26:33" x14ac:dyDescent="0.35">
      <c r="Z2771" s="344">
        <v>6465</v>
      </c>
      <c r="AA2771" s="344" t="s">
        <v>589</v>
      </c>
      <c r="AB2771" s="344">
        <v>4</v>
      </c>
      <c r="AC2771" s="344" t="e">
        <v>#N/A</v>
      </c>
      <c r="AD2771" s="1058" t="s">
        <v>591</v>
      </c>
      <c r="AE2771" s="1059" t="e">
        <v>#N/A</v>
      </c>
      <c r="AF2771" s="889" t="s">
        <v>459</v>
      </c>
      <c r="AG2771" s="889" t="s">
        <v>459</v>
      </c>
    </row>
    <row r="2772" spans="26:33" x14ac:dyDescent="0.35">
      <c r="Z2772" s="344">
        <v>6466</v>
      </c>
      <c r="AA2772" s="344" t="s">
        <v>589</v>
      </c>
      <c r="AB2772" s="344">
        <v>4</v>
      </c>
      <c r="AC2772" s="344" t="e">
        <v>#N/A</v>
      </c>
      <c r="AD2772" s="1058" t="s">
        <v>591</v>
      </c>
      <c r="AE2772" s="1059" t="e">
        <v>#N/A</v>
      </c>
      <c r="AF2772" s="889" t="s">
        <v>459</v>
      </c>
      <c r="AG2772" s="889" t="s">
        <v>459</v>
      </c>
    </row>
    <row r="2773" spans="26:33" x14ac:dyDescent="0.35">
      <c r="Z2773" s="344">
        <v>6467</v>
      </c>
      <c r="AA2773" s="344" t="s">
        <v>589</v>
      </c>
      <c r="AB2773" s="344">
        <v>4</v>
      </c>
      <c r="AC2773" s="344" t="e">
        <v>#N/A</v>
      </c>
      <c r="AD2773" s="1058" t="s">
        <v>591</v>
      </c>
      <c r="AE2773" s="1059" t="e">
        <v>#N/A</v>
      </c>
      <c r="AF2773" s="889" t="s">
        <v>459</v>
      </c>
      <c r="AG2773" s="889" t="s">
        <v>459</v>
      </c>
    </row>
    <row r="2774" spans="26:33" x14ac:dyDescent="0.35">
      <c r="Z2774" s="344">
        <v>6468</v>
      </c>
      <c r="AA2774" s="344" t="s">
        <v>589</v>
      </c>
      <c r="AB2774" s="344">
        <v>4</v>
      </c>
      <c r="AC2774" s="344" t="e">
        <v>#N/A</v>
      </c>
      <c r="AD2774" s="1058" t="s">
        <v>591</v>
      </c>
      <c r="AE2774" s="1059" t="e">
        <v>#N/A</v>
      </c>
      <c r="AF2774" s="889" t="s">
        <v>459</v>
      </c>
      <c r="AG2774" s="889" t="s">
        <v>459</v>
      </c>
    </row>
    <row r="2775" spans="26:33" x14ac:dyDescent="0.35">
      <c r="Z2775" s="344">
        <v>6470</v>
      </c>
      <c r="AA2775" s="344" t="s">
        <v>589</v>
      </c>
      <c r="AB2775" s="344">
        <v>4</v>
      </c>
      <c r="AC2775" s="344" t="e">
        <v>#N/A</v>
      </c>
      <c r="AD2775" s="1058" t="s">
        <v>591</v>
      </c>
      <c r="AE2775" s="1059" t="e">
        <v>#N/A</v>
      </c>
      <c r="AF2775" s="889" t="s">
        <v>459</v>
      </c>
      <c r="AG2775" s="889" t="s">
        <v>459</v>
      </c>
    </row>
    <row r="2776" spans="26:33" x14ac:dyDescent="0.35">
      <c r="Z2776" s="344">
        <v>6472</v>
      </c>
      <c r="AA2776" s="344" t="s">
        <v>589</v>
      </c>
      <c r="AB2776" s="344">
        <v>4</v>
      </c>
      <c r="AC2776" s="344" t="e">
        <v>#N/A</v>
      </c>
      <c r="AD2776" s="1058" t="s">
        <v>591</v>
      </c>
      <c r="AE2776" s="1059" t="e">
        <v>#N/A</v>
      </c>
      <c r="AF2776" s="889" t="s">
        <v>459</v>
      </c>
      <c r="AG2776" s="889" t="s">
        <v>459</v>
      </c>
    </row>
    <row r="2777" spans="26:33" x14ac:dyDescent="0.35">
      <c r="Z2777" s="344">
        <v>6473</v>
      </c>
      <c r="AA2777" s="344" t="s">
        <v>589</v>
      </c>
      <c r="AB2777" s="344">
        <v>4</v>
      </c>
      <c r="AC2777" s="344" t="e">
        <v>#N/A</v>
      </c>
      <c r="AD2777" s="1058" t="s">
        <v>591</v>
      </c>
      <c r="AE2777" s="1059" t="e">
        <v>#N/A</v>
      </c>
      <c r="AF2777" s="889" t="s">
        <v>459</v>
      </c>
      <c r="AG2777" s="889" t="s">
        <v>459</v>
      </c>
    </row>
    <row r="2778" spans="26:33" x14ac:dyDescent="0.35">
      <c r="Z2778" s="344">
        <v>6475</v>
      </c>
      <c r="AA2778" s="344" t="s">
        <v>589</v>
      </c>
      <c r="AB2778" s="344">
        <v>4</v>
      </c>
      <c r="AC2778" s="344" t="s">
        <v>464</v>
      </c>
      <c r="AD2778" s="1058" t="s">
        <v>591</v>
      </c>
      <c r="AE2778" s="1059">
        <v>156681</v>
      </c>
      <c r="AF2778" s="889" t="s">
        <v>459</v>
      </c>
      <c r="AG2778" s="889" t="s">
        <v>459</v>
      </c>
    </row>
    <row r="2779" spans="26:33" x14ac:dyDescent="0.35">
      <c r="Z2779" s="344">
        <v>6476</v>
      </c>
      <c r="AA2779" s="344" t="s">
        <v>589</v>
      </c>
      <c r="AB2779" s="344">
        <v>4</v>
      </c>
      <c r="AC2779" s="344" t="e">
        <v>#N/A</v>
      </c>
      <c r="AD2779" s="1058" t="s">
        <v>591</v>
      </c>
      <c r="AE2779" s="1059" t="e">
        <v>#N/A</v>
      </c>
      <c r="AF2779" s="889" t="s">
        <v>459</v>
      </c>
      <c r="AG2779" s="889" t="s">
        <v>459</v>
      </c>
    </row>
    <row r="2780" spans="26:33" x14ac:dyDescent="0.35">
      <c r="Z2780" s="344">
        <v>6477</v>
      </c>
      <c r="AA2780" s="344" t="s">
        <v>589</v>
      </c>
      <c r="AB2780" s="344">
        <v>4</v>
      </c>
      <c r="AC2780" s="344" t="e">
        <v>#N/A</v>
      </c>
      <c r="AD2780" s="1058" t="s">
        <v>591</v>
      </c>
      <c r="AE2780" s="1059" t="e">
        <v>#N/A</v>
      </c>
      <c r="AF2780" s="889" t="s">
        <v>459</v>
      </c>
      <c r="AG2780" s="889" t="s">
        <v>459</v>
      </c>
    </row>
    <row r="2781" spans="26:33" x14ac:dyDescent="0.35">
      <c r="Z2781" s="344">
        <v>6479</v>
      </c>
      <c r="AA2781" s="344" t="s">
        <v>589</v>
      </c>
      <c r="AB2781" s="344">
        <v>4</v>
      </c>
      <c r="AC2781" s="344" t="s">
        <v>464</v>
      </c>
      <c r="AD2781" s="1058" t="s">
        <v>591</v>
      </c>
      <c r="AE2781" s="1059">
        <v>135061</v>
      </c>
      <c r="AF2781" s="889" t="s">
        <v>459</v>
      </c>
      <c r="AG2781" s="889" t="s">
        <v>459</v>
      </c>
    </row>
    <row r="2782" spans="26:33" x14ac:dyDescent="0.35">
      <c r="Z2782" s="344">
        <v>6480</v>
      </c>
      <c r="AA2782" s="344" t="s">
        <v>589</v>
      </c>
      <c r="AB2782" s="344">
        <v>4</v>
      </c>
      <c r="AC2782" s="344" t="e">
        <v>#N/A</v>
      </c>
      <c r="AD2782" s="1058" t="s">
        <v>591</v>
      </c>
      <c r="AE2782" s="1059" t="e">
        <v>#N/A</v>
      </c>
      <c r="AF2782" s="889" t="s">
        <v>459</v>
      </c>
      <c r="AG2782" s="889" t="s">
        <v>459</v>
      </c>
    </row>
    <row r="2783" spans="26:33" x14ac:dyDescent="0.35">
      <c r="Z2783" s="344">
        <v>6484</v>
      </c>
      <c r="AA2783" s="344" t="s">
        <v>589</v>
      </c>
      <c r="AB2783" s="344">
        <v>4</v>
      </c>
      <c r="AC2783" s="344" t="e">
        <v>#N/A</v>
      </c>
      <c r="AD2783" s="1058" t="s">
        <v>591</v>
      </c>
      <c r="AE2783" s="1059" t="e">
        <v>#N/A</v>
      </c>
      <c r="AF2783" s="889" t="s">
        <v>459</v>
      </c>
      <c r="AG2783" s="889" t="s">
        <v>459</v>
      </c>
    </row>
    <row r="2784" spans="26:33" x14ac:dyDescent="0.35">
      <c r="Z2784" s="344">
        <v>6485</v>
      </c>
      <c r="AA2784" s="344" t="s">
        <v>589</v>
      </c>
      <c r="AB2784" s="344">
        <v>4</v>
      </c>
      <c r="AC2784" s="344" t="s">
        <v>464</v>
      </c>
      <c r="AD2784" s="1058" t="s">
        <v>591</v>
      </c>
      <c r="AE2784" s="1059">
        <v>138917</v>
      </c>
      <c r="AF2784" s="889" t="s">
        <v>459</v>
      </c>
      <c r="AG2784" s="889" t="s">
        <v>459</v>
      </c>
    </row>
    <row r="2785" spans="26:33" x14ac:dyDescent="0.35">
      <c r="Z2785" s="344">
        <v>6487</v>
      </c>
      <c r="AA2785" s="344" t="s">
        <v>589</v>
      </c>
      <c r="AB2785" s="344">
        <v>4</v>
      </c>
      <c r="AC2785" s="344" t="e">
        <v>#N/A</v>
      </c>
      <c r="AD2785" s="1058" t="s">
        <v>591</v>
      </c>
      <c r="AE2785" s="1059" t="e">
        <v>#N/A</v>
      </c>
      <c r="AF2785" s="889" t="s">
        <v>459</v>
      </c>
      <c r="AG2785" s="889" t="s">
        <v>459</v>
      </c>
    </row>
    <row r="2786" spans="26:33" x14ac:dyDescent="0.35">
      <c r="Z2786" s="344">
        <v>6488</v>
      </c>
      <c r="AA2786" s="344" t="s">
        <v>589</v>
      </c>
      <c r="AB2786" s="344">
        <v>4</v>
      </c>
      <c r="AC2786" s="344" t="e">
        <v>#N/A</v>
      </c>
      <c r="AD2786" s="1058" t="s">
        <v>591</v>
      </c>
      <c r="AE2786" s="1059" t="e">
        <v>#N/A</v>
      </c>
      <c r="AF2786" s="889" t="s">
        <v>459</v>
      </c>
      <c r="AG2786" s="889" t="s">
        <v>459</v>
      </c>
    </row>
    <row r="2787" spans="26:33" x14ac:dyDescent="0.35">
      <c r="Z2787" s="344">
        <v>6489</v>
      </c>
      <c r="AA2787" s="344" t="s">
        <v>589</v>
      </c>
      <c r="AB2787" s="344">
        <v>4</v>
      </c>
      <c r="AC2787" s="344" t="e">
        <v>#N/A</v>
      </c>
      <c r="AD2787" s="1058" t="s">
        <v>591</v>
      </c>
      <c r="AE2787" s="1059" t="e">
        <v>#N/A</v>
      </c>
      <c r="AF2787" s="889" t="s">
        <v>459</v>
      </c>
      <c r="AG2787" s="889" t="s">
        <v>459</v>
      </c>
    </row>
    <row r="2788" spans="26:33" x14ac:dyDescent="0.35">
      <c r="Z2788" s="344">
        <v>6490</v>
      </c>
      <c r="AA2788" s="344" t="s">
        <v>589</v>
      </c>
      <c r="AB2788" s="344">
        <v>4</v>
      </c>
      <c r="AC2788" s="344" t="e">
        <v>#N/A</v>
      </c>
      <c r="AD2788" s="1058" t="s">
        <v>591</v>
      </c>
      <c r="AE2788" s="1059" t="e">
        <v>#N/A</v>
      </c>
      <c r="AF2788" s="889" t="s">
        <v>459</v>
      </c>
      <c r="AG2788" s="889" t="s">
        <v>459</v>
      </c>
    </row>
    <row r="2789" spans="26:33" x14ac:dyDescent="0.35">
      <c r="Z2789" s="344">
        <v>6501</v>
      </c>
      <c r="AA2789" s="344" t="s">
        <v>589</v>
      </c>
      <c r="AB2789" s="344">
        <v>1</v>
      </c>
      <c r="AC2789" s="344" t="s">
        <v>457</v>
      </c>
      <c r="AD2789" s="1058" t="s">
        <v>590</v>
      </c>
      <c r="AE2789" s="1059">
        <v>547865</v>
      </c>
      <c r="AF2789" s="889" t="s">
        <v>459</v>
      </c>
      <c r="AG2789" s="889" t="s">
        <v>459</v>
      </c>
    </row>
    <row r="2790" spans="26:33" x14ac:dyDescent="0.35">
      <c r="Z2790" s="344">
        <v>6502</v>
      </c>
      <c r="AA2790" s="344" t="s">
        <v>589</v>
      </c>
      <c r="AB2790" s="344">
        <v>4</v>
      </c>
      <c r="AC2790" s="344" t="s">
        <v>457</v>
      </c>
      <c r="AD2790" s="1058" t="s">
        <v>591</v>
      </c>
      <c r="AE2790" s="1059">
        <v>484615</v>
      </c>
      <c r="AF2790" s="889" t="s">
        <v>459</v>
      </c>
      <c r="AG2790" s="889" t="s">
        <v>459</v>
      </c>
    </row>
    <row r="2791" spans="26:33" x14ac:dyDescent="0.35">
      <c r="Z2791" s="344">
        <v>6503</v>
      </c>
      <c r="AA2791" s="344" t="s">
        <v>589</v>
      </c>
      <c r="AB2791" s="344">
        <v>4</v>
      </c>
      <c r="AC2791" s="344" t="s">
        <v>471</v>
      </c>
      <c r="AD2791" s="1058" t="s">
        <v>591</v>
      </c>
      <c r="AE2791" s="1059">
        <v>391831</v>
      </c>
      <c r="AF2791" s="889" t="s">
        <v>459</v>
      </c>
      <c r="AG2791" s="889" t="s">
        <v>459</v>
      </c>
    </row>
    <row r="2792" spans="26:33" x14ac:dyDescent="0.35">
      <c r="Z2792" s="344">
        <v>6504</v>
      </c>
      <c r="AA2792" s="344" t="s">
        <v>589</v>
      </c>
      <c r="AB2792" s="344">
        <v>4</v>
      </c>
      <c r="AC2792" s="344" t="e">
        <v>#N/A</v>
      </c>
      <c r="AD2792" s="1058" t="s">
        <v>591</v>
      </c>
      <c r="AE2792" s="1059" t="e">
        <v>#N/A</v>
      </c>
      <c r="AF2792" s="889" t="s">
        <v>459</v>
      </c>
      <c r="AG2792" s="889" t="s">
        <v>459</v>
      </c>
    </row>
    <row r="2793" spans="26:33" x14ac:dyDescent="0.35">
      <c r="Z2793" s="344">
        <v>6505</v>
      </c>
      <c r="AA2793" s="344" t="s">
        <v>589</v>
      </c>
      <c r="AB2793" s="344">
        <v>4</v>
      </c>
      <c r="AC2793" s="344" t="e">
        <v>#N/A</v>
      </c>
      <c r="AD2793" s="1058" t="s">
        <v>591</v>
      </c>
      <c r="AE2793" s="1059" t="e">
        <v>#N/A</v>
      </c>
      <c r="AF2793" s="889" t="s">
        <v>459</v>
      </c>
      <c r="AG2793" s="889" t="s">
        <v>459</v>
      </c>
    </row>
    <row r="2794" spans="26:33" x14ac:dyDescent="0.35">
      <c r="Z2794" s="344">
        <v>6506</v>
      </c>
      <c r="AA2794" s="344" t="s">
        <v>589</v>
      </c>
      <c r="AB2794" s="344">
        <v>4</v>
      </c>
      <c r="AC2794" s="344" t="e">
        <v>#N/A</v>
      </c>
      <c r="AD2794" s="1058" t="s">
        <v>591</v>
      </c>
      <c r="AE2794" s="1059" t="e">
        <v>#N/A</v>
      </c>
      <c r="AF2794" s="889" t="s">
        <v>459</v>
      </c>
      <c r="AG2794" s="889" t="s">
        <v>459</v>
      </c>
    </row>
    <row r="2795" spans="26:33" x14ac:dyDescent="0.35">
      <c r="Z2795" s="344">
        <v>6507</v>
      </c>
      <c r="AA2795" s="344" t="s">
        <v>589</v>
      </c>
      <c r="AB2795" s="344">
        <v>4</v>
      </c>
      <c r="AC2795" s="344" t="e">
        <v>#N/A</v>
      </c>
      <c r="AD2795" s="1058" t="s">
        <v>591</v>
      </c>
      <c r="AE2795" s="1059" t="e">
        <v>#N/A</v>
      </c>
      <c r="AF2795" s="889" t="s">
        <v>459</v>
      </c>
      <c r="AG2795" s="889" t="s">
        <v>459</v>
      </c>
    </row>
    <row r="2796" spans="26:33" x14ac:dyDescent="0.35">
      <c r="Z2796" s="344">
        <v>6509</v>
      </c>
      <c r="AA2796" s="344" t="s">
        <v>589</v>
      </c>
      <c r="AB2796" s="344">
        <v>4</v>
      </c>
      <c r="AC2796" s="344" t="e">
        <v>#N/A</v>
      </c>
      <c r="AD2796" s="1058" t="s">
        <v>591</v>
      </c>
      <c r="AE2796" s="1059" t="e">
        <v>#N/A</v>
      </c>
      <c r="AF2796" s="889" t="s">
        <v>459</v>
      </c>
      <c r="AG2796" s="889" t="s">
        <v>459</v>
      </c>
    </row>
    <row r="2797" spans="26:33" x14ac:dyDescent="0.35">
      <c r="Z2797" s="344">
        <v>6510</v>
      </c>
      <c r="AA2797" s="344" t="s">
        <v>589</v>
      </c>
      <c r="AB2797" s="344">
        <v>4</v>
      </c>
      <c r="AC2797" s="344" t="s">
        <v>464</v>
      </c>
      <c r="AD2797" s="1058" t="s">
        <v>591</v>
      </c>
      <c r="AE2797" s="1059">
        <v>216031</v>
      </c>
      <c r="AF2797" s="889" t="s">
        <v>459</v>
      </c>
      <c r="AG2797" s="889" t="s">
        <v>459</v>
      </c>
    </row>
    <row r="2798" spans="26:33" x14ac:dyDescent="0.35">
      <c r="Z2798" s="344">
        <v>6511</v>
      </c>
      <c r="AA2798" s="344" t="s">
        <v>589</v>
      </c>
      <c r="AB2798" s="344">
        <v>4</v>
      </c>
      <c r="AC2798" s="344" t="s">
        <v>471</v>
      </c>
      <c r="AD2798" s="1058" t="s">
        <v>591</v>
      </c>
      <c r="AE2798" s="1059">
        <v>420391</v>
      </c>
      <c r="AF2798" s="889" t="s">
        <v>459</v>
      </c>
      <c r="AG2798" s="889" t="s">
        <v>459</v>
      </c>
    </row>
    <row r="2799" spans="26:33" x14ac:dyDescent="0.35">
      <c r="Z2799" s="344">
        <v>6512</v>
      </c>
      <c r="AA2799" s="344" t="s">
        <v>589</v>
      </c>
      <c r="AB2799" s="344">
        <v>4</v>
      </c>
      <c r="AC2799" s="344" t="e">
        <v>#N/A</v>
      </c>
      <c r="AD2799" s="1058" t="s">
        <v>591</v>
      </c>
      <c r="AE2799" s="1059" t="e">
        <v>#N/A</v>
      </c>
      <c r="AF2799" s="889" t="s">
        <v>459</v>
      </c>
      <c r="AG2799" s="889" t="s">
        <v>459</v>
      </c>
    </row>
    <row r="2800" spans="26:33" x14ac:dyDescent="0.35">
      <c r="Z2800" s="344">
        <v>6513</v>
      </c>
      <c r="AA2800" s="344" t="s">
        <v>589</v>
      </c>
      <c r="AB2800" s="344">
        <v>4</v>
      </c>
      <c r="AC2800" s="344" t="e">
        <v>#N/A</v>
      </c>
      <c r="AD2800" s="1058" t="s">
        <v>591</v>
      </c>
      <c r="AE2800" s="1059" t="e">
        <v>#N/A</v>
      </c>
      <c r="AF2800" s="889" t="s">
        <v>459</v>
      </c>
      <c r="AG2800" s="889" t="s">
        <v>459</v>
      </c>
    </row>
    <row r="2801" spans="26:33" x14ac:dyDescent="0.35">
      <c r="Z2801" s="344">
        <v>6514</v>
      </c>
      <c r="AA2801" s="344" t="s">
        <v>589</v>
      </c>
      <c r="AB2801" s="344">
        <v>4</v>
      </c>
      <c r="AC2801" s="344" t="s">
        <v>471</v>
      </c>
      <c r="AD2801" s="1058" t="s">
        <v>591</v>
      </c>
      <c r="AE2801" s="1059">
        <v>382597</v>
      </c>
      <c r="AF2801" s="889" t="s">
        <v>459</v>
      </c>
      <c r="AG2801" s="889" t="s">
        <v>459</v>
      </c>
    </row>
    <row r="2802" spans="26:33" x14ac:dyDescent="0.35">
      <c r="Z2802" s="344">
        <v>6515</v>
      </c>
      <c r="AA2802" s="344" t="s">
        <v>589</v>
      </c>
      <c r="AB2802" s="344">
        <v>4</v>
      </c>
      <c r="AC2802" s="344" t="e">
        <v>#N/A</v>
      </c>
      <c r="AD2802" s="1058" t="s">
        <v>591</v>
      </c>
      <c r="AE2802" s="1059" t="e">
        <v>#N/A</v>
      </c>
      <c r="AF2802" s="889" t="s">
        <v>459</v>
      </c>
      <c r="AG2802" s="889" t="s">
        <v>459</v>
      </c>
    </row>
    <row r="2803" spans="26:33" x14ac:dyDescent="0.35">
      <c r="Z2803" s="344">
        <v>6516</v>
      </c>
      <c r="AA2803" s="344" t="s">
        <v>589</v>
      </c>
      <c r="AB2803" s="344">
        <v>4</v>
      </c>
      <c r="AC2803" s="344" t="s">
        <v>471</v>
      </c>
      <c r="AD2803" s="1058" t="s">
        <v>591</v>
      </c>
      <c r="AE2803" s="1059">
        <v>435203</v>
      </c>
      <c r="AF2803" s="889" t="s">
        <v>459</v>
      </c>
      <c r="AG2803" s="889" t="s">
        <v>459</v>
      </c>
    </row>
    <row r="2804" spans="26:33" x14ac:dyDescent="0.35">
      <c r="Z2804" s="344">
        <v>6517</v>
      </c>
      <c r="AA2804" s="344" t="s">
        <v>589</v>
      </c>
      <c r="AB2804" s="344">
        <v>4</v>
      </c>
      <c r="AC2804" s="344" t="s">
        <v>464</v>
      </c>
      <c r="AD2804" s="1058" t="s">
        <v>591</v>
      </c>
      <c r="AE2804" s="1059">
        <v>133171</v>
      </c>
      <c r="AF2804" s="889" t="s">
        <v>459</v>
      </c>
      <c r="AG2804" s="889" t="s">
        <v>459</v>
      </c>
    </row>
    <row r="2805" spans="26:33" x14ac:dyDescent="0.35">
      <c r="Z2805" s="344">
        <v>6518</v>
      </c>
      <c r="AA2805" s="344" t="s">
        <v>589</v>
      </c>
      <c r="AB2805" s="344">
        <v>4</v>
      </c>
      <c r="AC2805" s="344" t="e">
        <v>#N/A</v>
      </c>
      <c r="AD2805" s="1058" t="s">
        <v>591</v>
      </c>
      <c r="AE2805" s="1059" t="e">
        <v>#N/A</v>
      </c>
      <c r="AF2805" s="889" t="s">
        <v>459</v>
      </c>
      <c r="AG2805" s="889" t="s">
        <v>459</v>
      </c>
    </row>
    <row r="2806" spans="26:33" x14ac:dyDescent="0.35">
      <c r="Z2806" s="344">
        <v>6519</v>
      </c>
      <c r="AA2806" s="344" t="s">
        <v>589</v>
      </c>
      <c r="AB2806" s="344">
        <v>4</v>
      </c>
      <c r="AC2806" s="344" t="s">
        <v>464</v>
      </c>
      <c r="AD2806" s="1058" t="s">
        <v>591</v>
      </c>
      <c r="AE2806" s="1059">
        <v>141475</v>
      </c>
      <c r="AF2806" s="889" t="s">
        <v>459</v>
      </c>
      <c r="AG2806" s="889" t="s">
        <v>459</v>
      </c>
    </row>
    <row r="2807" spans="26:33" x14ac:dyDescent="0.35">
      <c r="Z2807" s="344">
        <v>6521</v>
      </c>
      <c r="AA2807" s="344" t="s">
        <v>589</v>
      </c>
      <c r="AB2807" s="344">
        <v>4</v>
      </c>
      <c r="AC2807" s="344" t="e">
        <v>#N/A</v>
      </c>
      <c r="AD2807" s="1058" t="s">
        <v>591</v>
      </c>
      <c r="AE2807" s="1059" t="e">
        <v>#N/A</v>
      </c>
      <c r="AF2807" s="889" t="s">
        <v>459</v>
      </c>
      <c r="AG2807" s="889" t="s">
        <v>459</v>
      </c>
    </row>
    <row r="2808" spans="26:33" x14ac:dyDescent="0.35">
      <c r="Z2808" s="344">
        <v>6522</v>
      </c>
      <c r="AA2808" s="344" t="s">
        <v>589</v>
      </c>
      <c r="AB2808" s="344">
        <v>4</v>
      </c>
      <c r="AC2808" s="344" t="s">
        <v>464</v>
      </c>
      <c r="AD2808" s="1058" t="s">
        <v>591</v>
      </c>
      <c r="AE2808" s="1059">
        <v>162732</v>
      </c>
      <c r="AF2808" s="889" t="s">
        <v>459</v>
      </c>
      <c r="AG2808" s="889" t="s">
        <v>459</v>
      </c>
    </row>
    <row r="2809" spans="26:33" x14ac:dyDescent="0.35">
      <c r="Z2809" s="344">
        <v>6525</v>
      </c>
      <c r="AA2809" s="344" t="s">
        <v>589</v>
      </c>
      <c r="AB2809" s="344">
        <v>4</v>
      </c>
      <c r="AC2809" s="344" t="s">
        <v>471</v>
      </c>
      <c r="AD2809" s="1058" t="s">
        <v>591</v>
      </c>
      <c r="AE2809" s="1059">
        <v>399450</v>
      </c>
      <c r="AF2809" s="889" t="s">
        <v>459</v>
      </c>
      <c r="AG2809" s="889" t="s">
        <v>459</v>
      </c>
    </row>
    <row r="2810" spans="26:33" x14ac:dyDescent="0.35">
      <c r="Z2810" s="344">
        <v>6528</v>
      </c>
      <c r="AA2810" s="344" t="s">
        <v>589</v>
      </c>
      <c r="AB2810" s="344">
        <v>4</v>
      </c>
      <c r="AC2810" s="344" t="e">
        <v>#N/A</v>
      </c>
      <c r="AD2810" s="1058" t="s">
        <v>591</v>
      </c>
      <c r="AE2810" s="1059" t="e">
        <v>#N/A</v>
      </c>
      <c r="AF2810" s="889" t="s">
        <v>459</v>
      </c>
      <c r="AG2810" s="889" t="s">
        <v>459</v>
      </c>
    </row>
    <row r="2811" spans="26:33" x14ac:dyDescent="0.35">
      <c r="Z2811" s="344">
        <v>6530</v>
      </c>
      <c r="AA2811" s="344" t="s">
        <v>589</v>
      </c>
      <c r="AB2811" s="344">
        <v>1</v>
      </c>
      <c r="AC2811" s="344" t="s">
        <v>471</v>
      </c>
      <c r="AD2811" s="1058" t="s">
        <v>590</v>
      </c>
      <c r="AE2811" s="1059">
        <v>377743</v>
      </c>
      <c r="AF2811" s="889" t="s">
        <v>460</v>
      </c>
      <c r="AG2811" s="889" t="s">
        <v>459</v>
      </c>
    </row>
    <row r="2812" spans="26:33" x14ac:dyDescent="0.35">
      <c r="Z2812" s="344">
        <v>6531</v>
      </c>
      <c r="AA2812" s="344" t="s">
        <v>589</v>
      </c>
      <c r="AB2812" s="344">
        <v>4</v>
      </c>
      <c r="AC2812" s="344" t="e">
        <v>#N/A</v>
      </c>
      <c r="AD2812" s="1058" t="s">
        <v>591</v>
      </c>
      <c r="AE2812" s="1059" t="e">
        <v>#N/A</v>
      </c>
      <c r="AF2812" s="889" t="s">
        <v>459</v>
      </c>
      <c r="AG2812" s="889" t="s">
        <v>459</v>
      </c>
    </row>
    <row r="2813" spans="26:33" x14ac:dyDescent="0.35">
      <c r="Z2813" s="344">
        <v>6532</v>
      </c>
      <c r="AA2813" s="344" t="s">
        <v>589</v>
      </c>
      <c r="AB2813" s="344">
        <v>3</v>
      </c>
      <c r="AC2813" s="344" t="s">
        <v>457</v>
      </c>
      <c r="AD2813" s="1058" t="s">
        <v>592</v>
      </c>
      <c r="AE2813" s="1059">
        <v>472670</v>
      </c>
      <c r="AF2813" s="889" t="s">
        <v>459</v>
      </c>
      <c r="AG2813" s="889" t="s">
        <v>459</v>
      </c>
    </row>
    <row r="2814" spans="26:33" x14ac:dyDescent="0.35">
      <c r="Z2814" s="344">
        <v>6535</v>
      </c>
      <c r="AA2814" s="344" t="s">
        <v>589</v>
      </c>
      <c r="AB2814" s="344">
        <v>4</v>
      </c>
      <c r="AC2814" s="344" t="s">
        <v>471</v>
      </c>
      <c r="AD2814" s="1058" t="s">
        <v>591</v>
      </c>
      <c r="AE2814" s="1059">
        <v>333638</v>
      </c>
      <c r="AF2814" s="889" t="s">
        <v>459</v>
      </c>
      <c r="AG2814" s="889" t="s">
        <v>459</v>
      </c>
    </row>
    <row r="2815" spans="26:33" x14ac:dyDescent="0.35">
      <c r="Z2815" s="344">
        <v>6536</v>
      </c>
      <c r="AA2815" s="344" t="s">
        <v>589</v>
      </c>
      <c r="AB2815" s="344">
        <v>4</v>
      </c>
      <c r="AC2815" s="344" t="s">
        <v>471</v>
      </c>
      <c r="AD2815" s="1058" t="s">
        <v>591</v>
      </c>
      <c r="AE2815" s="1059">
        <v>384315</v>
      </c>
      <c r="AF2815" s="889" t="s">
        <v>459</v>
      </c>
      <c r="AG2815" s="889" t="s">
        <v>459</v>
      </c>
    </row>
    <row r="2816" spans="26:33" x14ac:dyDescent="0.35">
      <c r="Z2816" s="344">
        <v>6537</v>
      </c>
      <c r="AA2816" s="344" t="s">
        <v>589</v>
      </c>
      <c r="AB2816" s="344">
        <v>4</v>
      </c>
      <c r="AC2816" s="344" t="s">
        <v>471</v>
      </c>
      <c r="AD2816" s="1058" t="s">
        <v>591</v>
      </c>
      <c r="AE2816" s="1059">
        <v>428743</v>
      </c>
      <c r="AF2816" s="889" t="s">
        <v>459</v>
      </c>
      <c r="AG2816" s="889" t="s">
        <v>459</v>
      </c>
    </row>
    <row r="2817" spans="26:33" x14ac:dyDescent="0.35">
      <c r="Z2817" s="344">
        <v>6556</v>
      </c>
      <c r="AA2817" s="344" t="s">
        <v>589</v>
      </c>
      <c r="AB2817" s="344">
        <v>3</v>
      </c>
      <c r="AC2817" s="344" t="s">
        <v>457</v>
      </c>
      <c r="AD2817" s="1058" t="s">
        <v>592</v>
      </c>
      <c r="AE2817" s="1059">
        <v>481368</v>
      </c>
      <c r="AF2817" s="889" t="s">
        <v>459</v>
      </c>
      <c r="AG2817" s="889" t="s">
        <v>459</v>
      </c>
    </row>
    <row r="2818" spans="26:33" x14ac:dyDescent="0.35">
      <c r="Z2818" s="344">
        <v>6558</v>
      </c>
      <c r="AA2818" s="344" t="s">
        <v>589</v>
      </c>
      <c r="AB2818" s="344">
        <v>3</v>
      </c>
      <c r="AC2818" s="344" t="s">
        <v>457</v>
      </c>
      <c r="AD2818" s="1058" t="s">
        <v>592</v>
      </c>
      <c r="AE2818" s="1059">
        <v>450105</v>
      </c>
      <c r="AF2818" s="889" t="s">
        <v>459</v>
      </c>
      <c r="AG2818" s="889" t="s">
        <v>459</v>
      </c>
    </row>
    <row r="2819" spans="26:33" x14ac:dyDescent="0.35">
      <c r="Z2819" s="344">
        <v>6560</v>
      </c>
      <c r="AA2819" s="344" t="s">
        <v>589</v>
      </c>
      <c r="AB2819" s="344">
        <v>4</v>
      </c>
      <c r="AC2819" s="344" t="s">
        <v>464</v>
      </c>
      <c r="AD2819" s="1058" t="s">
        <v>591</v>
      </c>
      <c r="AE2819" s="1059">
        <v>289405</v>
      </c>
      <c r="AF2819" s="889" t="s">
        <v>459</v>
      </c>
      <c r="AG2819" s="889" t="s">
        <v>459</v>
      </c>
    </row>
    <row r="2820" spans="26:33" x14ac:dyDescent="0.35">
      <c r="Z2820" s="344">
        <v>6562</v>
      </c>
      <c r="AA2820" s="344" t="s">
        <v>589</v>
      </c>
      <c r="AB2820" s="344">
        <v>4</v>
      </c>
      <c r="AC2820" s="344" t="s">
        <v>457</v>
      </c>
      <c r="AD2820" s="1058" t="s">
        <v>591</v>
      </c>
      <c r="AE2820" s="1059">
        <v>455619</v>
      </c>
      <c r="AF2820" s="889" t="s">
        <v>459</v>
      </c>
      <c r="AG2820" s="889" t="s">
        <v>459</v>
      </c>
    </row>
    <row r="2821" spans="26:33" x14ac:dyDescent="0.35">
      <c r="Z2821" s="344">
        <v>6564</v>
      </c>
      <c r="AA2821" s="344" t="s">
        <v>589</v>
      </c>
      <c r="AB2821" s="344">
        <v>4</v>
      </c>
      <c r="AC2821" s="344" t="s">
        <v>457</v>
      </c>
      <c r="AD2821" s="1058" t="s">
        <v>591</v>
      </c>
      <c r="AE2821" s="1059">
        <v>475873</v>
      </c>
      <c r="AF2821" s="889" t="s">
        <v>459</v>
      </c>
      <c r="AG2821" s="889" t="s">
        <v>459</v>
      </c>
    </row>
    <row r="2822" spans="26:33" x14ac:dyDescent="0.35">
      <c r="Z2822" s="344">
        <v>6566</v>
      </c>
      <c r="AA2822" s="344" t="s">
        <v>589</v>
      </c>
      <c r="AB2822" s="344">
        <v>4</v>
      </c>
      <c r="AC2822" s="344" t="s">
        <v>471</v>
      </c>
      <c r="AD2822" s="1058" t="s">
        <v>591</v>
      </c>
      <c r="AE2822" s="1059">
        <v>364242</v>
      </c>
      <c r="AF2822" s="889" t="s">
        <v>459</v>
      </c>
      <c r="AG2822" s="889" t="s">
        <v>459</v>
      </c>
    </row>
    <row r="2823" spans="26:33" x14ac:dyDescent="0.35">
      <c r="Z2823" s="344">
        <v>6567</v>
      </c>
      <c r="AA2823" s="344" t="s">
        <v>589</v>
      </c>
      <c r="AB2823" s="344">
        <v>4</v>
      </c>
      <c r="AC2823" s="344" t="e">
        <v>#N/A</v>
      </c>
      <c r="AD2823" s="1058" t="s">
        <v>591</v>
      </c>
      <c r="AE2823" s="1059" t="e">
        <v>#N/A</v>
      </c>
      <c r="AF2823" s="889" t="s">
        <v>459</v>
      </c>
      <c r="AG2823" s="889" t="s">
        <v>459</v>
      </c>
    </row>
    <row r="2824" spans="26:33" x14ac:dyDescent="0.35">
      <c r="Z2824" s="344">
        <v>6568</v>
      </c>
      <c r="AA2824" s="344" t="s">
        <v>589</v>
      </c>
      <c r="AB2824" s="344">
        <v>4</v>
      </c>
      <c r="AC2824" s="344" t="e">
        <v>#N/A</v>
      </c>
      <c r="AD2824" s="1058" t="s">
        <v>591</v>
      </c>
      <c r="AE2824" s="1059" t="e">
        <v>#N/A</v>
      </c>
      <c r="AF2824" s="889" t="s">
        <v>459</v>
      </c>
      <c r="AG2824" s="889" t="s">
        <v>459</v>
      </c>
    </row>
    <row r="2825" spans="26:33" x14ac:dyDescent="0.35">
      <c r="Z2825" s="344">
        <v>6569</v>
      </c>
      <c r="AA2825" s="344" t="s">
        <v>589</v>
      </c>
      <c r="AB2825" s="344">
        <v>4</v>
      </c>
      <c r="AC2825" s="344" t="s">
        <v>464</v>
      </c>
      <c r="AD2825" s="1058" t="s">
        <v>591</v>
      </c>
      <c r="AE2825" s="1059">
        <v>179300</v>
      </c>
      <c r="AF2825" s="889" t="s">
        <v>459</v>
      </c>
      <c r="AG2825" s="889" t="s">
        <v>459</v>
      </c>
    </row>
    <row r="2826" spans="26:33" x14ac:dyDescent="0.35">
      <c r="Z2826" s="344">
        <v>6571</v>
      </c>
      <c r="AA2826" s="344" t="s">
        <v>589</v>
      </c>
      <c r="AB2826" s="344">
        <v>4</v>
      </c>
      <c r="AC2826" s="344" t="e">
        <v>#N/A</v>
      </c>
      <c r="AD2826" s="1058" t="s">
        <v>591</v>
      </c>
      <c r="AE2826" s="1059" t="e">
        <v>#N/A</v>
      </c>
      <c r="AF2826" s="889" t="s">
        <v>459</v>
      </c>
      <c r="AG2826" s="889" t="s">
        <v>459</v>
      </c>
    </row>
    <row r="2827" spans="26:33" x14ac:dyDescent="0.35">
      <c r="Z2827" s="344">
        <v>6572</v>
      </c>
      <c r="AA2827" s="344" t="s">
        <v>589</v>
      </c>
      <c r="AB2827" s="344">
        <v>4</v>
      </c>
      <c r="AC2827" s="344" t="e">
        <v>#N/A</v>
      </c>
      <c r="AD2827" s="1058" t="s">
        <v>591</v>
      </c>
      <c r="AE2827" s="1059" t="e">
        <v>#N/A</v>
      </c>
      <c r="AF2827" s="889" t="s">
        <v>459</v>
      </c>
      <c r="AG2827" s="889" t="s">
        <v>459</v>
      </c>
    </row>
    <row r="2828" spans="26:33" x14ac:dyDescent="0.35">
      <c r="Z2828" s="344">
        <v>6574</v>
      </c>
      <c r="AA2828" s="344" t="s">
        <v>589</v>
      </c>
      <c r="AB2828" s="344">
        <v>4</v>
      </c>
      <c r="AC2828" s="344" t="e">
        <v>#N/A</v>
      </c>
      <c r="AD2828" s="1058" t="s">
        <v>591</v>
      </c>
      <c r="AE2828" s="1059" t="e">
        <v>#N/A</v>
      </c>
      <c r="AF2828" s="889" t="s">
        <v>459</v>
      </c>
      <c r="AG2828" s="889" t="s">
        <v>459</v>
      </c>
    </row>
    <row r="2829" spans="26:33" x14ac:dyDescent="0.35">
      <c r="Z2829" s="344">
        <v>6575</v>
      </c>
      <c r="AA2829" s="344" t="s">
        <v>589</v>
      </c>
      <c r="AB2829" s="344">
        <v>4</v>
      </c>
      <c r="AC2829" s="344" t="e">
        <v>#N/A</v>
      </c>
      <c r="AD2829" s="1058" t="s">
        <v>591</v>
      </c>
      <c r="AE2829" s="1059" t="e">
        <v>#N/A</v>
      </c>
      <c r="AF2829" s="889" t="s">
        <v>459</v>
      </c>
      <c r="AG2829" s="889" t="s">
        <v>459</v>
      </c>
    </row>
    <row r="2830" spans="26:33" x14ac:dyDescent="0.35">
      <c r="Z2830" s="344">
        <v>6603</v>
      </c>
      <c r="AA2830" s="344" t="s">
        <v>589</v>
      </c>
      <c r="AB2830" s="344">
        <v>4</v>
      </c>
      <c r="AC2830" s="344" t="s">
        <v>464</v>
      </c>
      <c r="AD2830" s="1058" t="s">
        <v>591</v>
      </c>
      <c r="AE2830" s="1059">
        <v>212599</v>
      </c>
      <c r="AF2830" s="889" t="s">
        <v>459</v>
      </c>
      <c r="AG2830" s="889" t="s">
        <v>459</v>
      </c>
    </row>
    <row r="2831" spans="26:33" x14ac:dyDescent="0.35">
      <c r="Z2831" s="344">
        <v>6605</v>
      </c>
      <c r="AA2831" s="344" t="s">
        <v>589</v>
      </c>
      <c r="AB2831" s="344">
        <v>4</v>
      </c>
      <c r="AC2831" s="344" t="e">
        <v>#N/A</v>
      </c>
      <c r="AD2831" s="1058" t="s">
        <v>591</v>
      </c>
      <c r="AE2831" s="1059" t="e">
        <v>#N/A</v>
      </c>
      <c r="AF2831" s="889" t="s">
        <v>459</v>
      </c>
      <c r="AG2831" s="889" t="s">
        <v>459</v>
      </c>
    </row>
    <row r="2832" spans="26:33" x14ac:dyDescent="0.35">
      <c r="Z2832" s="344">
        <v>6606</v>
      </c>
      <c r="AA2832" s="344" t="s">
        <v>589</v>
      </c>
      <c r="AB2832" s="344">
        <v>4</v>
      </c>
      <c r="AC2832" s="344" t="e">
        <v>#N/A</v>
      </c>
      <c r="AD2832" s="1058" t="s">
        <v>591</v>
      </c>
      <c r="AE2832" s="1059" t="e">
        <v>#N/A</v>
      </c>
      <c r="AF2832" s="889" t="s">
        <v>459</v>
      </c>
      <c r="AG2832" s="889" t="s">
        <v>459</v>
      </c>
    </row>
    <row r="2833" spans="26:33" x14ac:dyDescent="0.35">
      <c r="Z2833" s="344">
        <v>6608</v>
      </c>
      <c r="AA2833" s="344" t="s">
        <v>589</v>
      </c>
      <c r="AB2833" s="344">
        <v>4</v>
      </c>
      <c r="AC2833" s="344" t="e">
        <v>#N/A</v>
      </c>
      <c r="AD2833" s="1058" t="s">
        <v>591</v>
      </c>
      <c r="AE2833" s="1059" t="e">
        <v>#N/A</v>
      </c>
      <c r="AF2833" s="889" t="s">
        <v>459</v>
      </c>
      <c r="AG2833" s="889" t="s">
        <v>459</v>
      </c>
    </row>
    <row r="2834" spans="26:33" x14ac:dyDescent="0.35">
      <c r="Z2834" s="344">
        <v>6609</v>
      </c>
      <c r="AA2834" s="344" t="s">
        <v>589</v>
      </c>
      <c r="AB2834" s="344">
        <v>4</v>
      </c>
      <c r="AC2834" s="344" t="s">
        <v>464</v>
      </c>
      <c r="AD2834" s="1058" t="s">
        <v>591</v>
      </c>
      <c r="AE2834" s="1059">
        <v>184361</v>
      </c>
      <c r="AF2834" s="889" t="s">
        <v>459</v>
      </c>
      <c r="AG2834" s="889" t="s">
        <v>459</v>
      </c>
    </row>
    <row r="2835" spans="26:33" x14ac:dyDescent="0.35">
      <c r="Z2835" s="344">
        <v>6612</v>
      </c>
      <c r="AA2835" s="344" t="s">
        <v>589</v>
      </c>
      <c r="AB2835" s="344">
        <v>4</v>
      </c>
      <c r="AC2835" s="344" t="e">
        <v>#N/A</v>
      </c>
      <c r="AD2835" s="1058" t="s">
        <v>591</v>
      </c>
      <c r="AE2835" s="1059" t="e">
        <v>#N/A</v>
      </c>
      <c r="AF2835" s="889" t="s">
        <v>459</v>
      </c>
      <c r="AG2835" s="889" t="s">
        <v>459</v>
      </c>
    </row>
    <row r="2836" spans="26:33" x14ac:dyDescent="0.35">
      <c r="Z2836" s="344">
        <v>6613</v>
      </c>
      <c r="AA2836" s="344" t="s">
        <v>589</v>
      </c>
      <c r="AB2836" s="344">
        <v>4</v>
      </c>
      <c r="AC2836" s="344" t="e">
        <v>#N/A</v>
      </c>
      <c r="AD2836" s="1058" t="s">
        <v>591</v>
      </c>
      <c r="AE2836" s="1059" t="e">
        <v>#N/A</v>
      </c>
      <c r="AF2836" s="889" t="s">
        <v>459</v>
      </c>
      <c r="AG2836" s="889" t="s">
        <v>459</v>
      </c>
    </row>
    <row r="2837" spans="26:33" x14ac:dyDescent="0.35">
      <c r="Z2837" s="344">
        <v>6614</v>
      </c>
      <c r="AA2837" s="344" t="s">
        <v>589</v>
      </c>
      <c r="AB2837" s="344">
        <v>4</v>
      </c>
      <c r="AC2837" s="344" t="e">
        <v>#N/A</v>
      </c>
      <c r="AD2837" s="1058" t="s">
        <v>591</v>
      </c>
      <c r="AE2837" s="1059" t="e">
        <v>#N/A</v>
      </c>
      <c r="AF2837" s="889" t="s">
        <v>459</v>
      </c>
      <c r="AG2837" s="889" t="s">
        <v>459</v>
      </c>
    </row>
    <row r="2838" spans="26:33" x14ac:dyDescent="0.35">
      <c r="Z2838" s="344">
        <v>6616</v>
      </c>
      <c r="AA2838" s="344" t="s">
        <v>589</v>
      </c>
      <c r="AB2838" s="344">
        <v>4</v>
      </c>
      <c r="AC2838" s="344" t="e">
        <v>#N/A</v>
      </c>
      <c r="AD2838" s="1058" t="s">
        <v>591</v>
      </c>
      <c r="AE2838" s="1059" t="e">
        <v>#N/A</v>
      </c>
      <c r="AF2838" s="889" t="s">
        <v>459</v>
      </c>
      <c r="AG2838" s="889" t="s">
        <v>459</v>
      </c>
    </row>
    <row r="2839" spans="26:33" x14ac:dyDescent="0.35">
      <c r="Z2839" s="344">
        <v>6620</v>
      </c>
      <c r="AA2839" s="344" t="s">
        <v>589</v>
      </c>
      <c r="AB2839" s="344">
        <v>4</v>
      </c>
      <c r="AC2839" s="344" t="s">
        <v>464</v>
      </c>
      <c r="AD2839" s="1058" t="s">
        <v>591</v>
      </c>
      <c r="AE2839" s="1059">
        <v>181894</v>
      </c>
      <c r="AF2839" s="889" t="s">
        <v>459</v>
      </c>
      <c r="AG2839" s="889" t="s">
        <v>459</v>
      </c>
    </row>
    <row r="2840" spans="26:33" x14ac:dyDescent="0.35">
      <c r="Z2840" s="344">
        <v>6623</v>
      </c>
      <c r="AA2840" s="344" t="s">
        <v>589</v>
      </c>
      <c r="AB2840" s="344">
        <v>4</v>
      </c>
      <c r="AC2840" s="344" t="s">
        <v>464</v>
      </c>
      <c r="AD2840" s="1058" t="s">
        <v>591</v>
      </c>
      <c r="AE2840" s="1059">
        <v>160432</v>
      </c>
      <c r="AF2840" s="889" t="s">
        <v>459</v>
      </c>
      <c r="AG2840" s="889" t="s">
        <v>459</v>
      </c>
    </row>
    <row r="2841" spans="26:33" x14ac:dyDescent="0.35">
      <c r="Z2841" s="344">
        <v>6625</v>
      </c>
      <c r="AA2841" s="344" t="s">
        <v>589</v>
      </c>
      <c r="AB2841" s="344">
        <v>4</v>
      </c>
      <c r="AC2841" s="344" t="e">
        <v>#N/A</v>
      </c>
      <c r="AD2841" s="1058" t="s">
        <v>591</v>
      </c>
      <c r="AE2841" s="1059" t="e">
        <v>#N/A</v>
      </c>
      <c r="AF2841" s="889" t="s">
        <v>459</v>
      </c>
      <c r="AG2841" s="889" t="s">
        <v>459</v>
      </c>
    </row>
    <row r="2842" spans="26:33" x14ac:dyDescent="0.35">
      <c r="Z2842" s="344">
        <v>6627</v>
      </c>
      <c r="AA2842" s="344" t="s">
        <v>589</v>
      </c>
      <c r="AB2842" s="344">
        <v>4</v>
      </c>
      <c r="AC2842" s="344" t="e">
        <v>#N/A</v>
      </c>
      <c r="AD2842" s="1058" t="s">
        <v>591</v>
      </c>
      <c r="AE2842" s="1059" t="e">
        <v>#N/A</v>
      </c>
      <c r="AF2842" s="889" t="s">
        <v>459</v>
      </c>
      <c r="AG2842" s="889" t="s">
        <v>459</v>
      </c>
    </row>
    <row r="2843" spans="26:33" x14ac:dyDescent="0.35">
      <c r="Z2843" s="344">
        <v>6628</v>
      </c>
      <c r="AA2843" s="344" t="s">
        <v>589</v>
      </c>
      <c r="AB2843" s="344">
        <v>4</v>
      </c>
      <c r="AC2843" s="344" t="e">
        <v>#N/A</v>
      </c>
      <c r="AD2843" s="1058" t="s">
        <v>591</v>
      </c>
      <c r="AE2843" s="1059" t="e">
        <v>#N/A</v>
      </c>
      <c r="AF2843" s="889" t="s">
        <v>459</v>
      </c>
      <c r="AG2843" s="889" t="s">
        <v>459</v>
      </c>
    </row>
    <row r="2844" spans="26:33" x14ac:dyDescent="0.35">
      <c r="Z2844" s="344">
        <v>6630</v>
      </c>
      <c r="AA2844" s="344" t="s">
        <v>589</v>
      </c>
      <c r="AB2844" s="344">
        <v>4</v>
      </c>
      <c r="AC2844" s="344" t="s">
        <v>464</v>
      </c>
      <c r="AD2844" s="1058" t="s">
        <v>591</v>
      </c>
      <c r="AE2844" s="1059">
        <v>96087</v>
      </c>
      <c r="AF2844" s="889" t="s">
        <v>459</v>
      </c>
      <c r="AG2844" s="889" t="s">
        <v>459</v>
      </c>
    </row>
    <row r="2845" spans="26:33" x14ac:dyDescent="0.35">
      <c r="Z2845" s="344">
        <v>6631</v>
      </c>
      <c r="AA2845" s="344" t="s">
        <v>589</v>
      </c>
      <c r="AB2845" s="344">
        <v>4</v>
      </c>
      <c r="AC2845" s="344" t="e">
        <v>#N/A</v>
      </c>
      <c r="AD2845" s="1058" t="s">
        <v>591</v>
      </c>
      <c r="AE2845" s="1059" t="e">
        <v>#N/A</v>
      </c>
      <c r="AF2845" s="889" t="s">
        <v>459</v>
      </c>
      <c r="AG2845" s="889" t="s">
        <v>459</v>
      </c>
    </row>
    <row r="2846" spans="26:33" x14ac:dyDescent="0.35">
      <c r="Z2846" s="344">
        <v>6632</v>
      </c>
      <c r="AA2846" s="344" t="s">
        <v>589</v>
      </c>
      <c r="AB2846" s="344">
        <v>4</v>
      </c>
      <c r="AC2846" s="344" t="e">
        <v>#N/A</v>
      </c>
      <c r="AD2846" s="1058" t="s">
        <v>591</v>
      </c>
      <c r="AE2846" s="1059" t="e">
        <v>#N/A</v>
      </c>
      <c r="AF2846" s="889" t="s">
        <v>459</v>
      </c>
      <c r="AG2846" s="889" t="s">
        <v>459</v>
      </c>
    </row>
    <row r="2847" spans="26:33" x14ac:dyDescent="0.35">
      <c r="Z2847" s="344">
        <v>6635</v>
      </c>
      <c r="AA2847" s="344" t="s">
        <v>589</v>
      </c>
      <c r="AB2847" s="344">
        <v>4</v>
      </c>
      <c r="AC2847" s="344" t="e">
        <v>#N/A</v>
      </c>
      <c r="AD2847" s="1058" t="s">
        <v>591</v>
      </c>
      <c r="AE2847" s="1059" t="e">
        <v>#N/A</v>
      </c>
      <c r="AF2847" s="889" t="s">
        <v>459</v>
      </c>
      <c r="AG2847" s="889" t="s">
        <v>459</v>
      </c>
    </row>
    <row r="2848" spans="26:33" x14ac:dyDescent="0.35">
      <c r="Z2848" s="344">
        <v>6638</v>
      </c>
      <c r="AA2848" s="344" t="s">
        <v>589</v>
      </c>
      <c r="AB2848" s="344">
        <v>4</v>
      </c>
      <c r="AC2848" s="344" t="s">
        <v>464</v>
      </c>
      <c r="AD2848" s="1058" t="s">
        <v>591</v>
      </c>
      <c r="AE2848" s="1059">
        <v>99948</v>
      </c>
      <c r="AF2848" s="889" t="s">
        <v>459</v>
      </c>
      <c r="AG2848" s="889" t="s">
        <v>459</v>
      </c>
    </row>
    <row r="2849" spans="26:33" x14ac:dyDescent="0.35">
      <c r="Z2849" s="344">
        <v>6639</v>
      </c>
      <c r="AA2849" s="344" t="s">
        <v>589</v>
      </c>
      <c r="AB2849" s="344">
        <v>4</v>
      </c>
      <c r="AC2849" s="344" t="e">
        <v>#N/A</v>
      </c>
      <c r="AD2849" s="1058" t="s">
        <v>591</v>
      </c>
      <c r="AE2849" s="1059" t="e">
        <v>#N/A</v>
      </c>
      <c r="AF2849" s="889" t="s">
        <v>459</v>
      </c>
      <c r="AG2849" s="889" t="s">
        <v>459</v>
      </c>
    </row>
    <row r="2850" spans="26:33" x14ac:dyDescent="0.35">
      <c r="Z2850" s="344">
        <v>6640</v>
      </c>
      <c r="AA2850" s="344" t="s">
        <v>589</v>
      </c>
      <c r="AB2850" s="344">
        <v>4</v>
      </c>
      <c r="AC2850" s="344" t="s">
        <v>464</v>
      </c>
      <c r="AD2850" s="1058" t="s">
        <v>591</v>
      </c>
      <c r="AE2850" s="1059">
        <v>99073</v>
      </c>
      <c r="AF2850" s="889" t="s">
        <v>459</v>
      </c>
      <c r="AG2850" s="889" t="s">
        <v>459</v>
      </c>
    </row>
    <row r="2851" spans="26:33" x14ac:dyDescent="0.35">
      <c r="Z2851" s="344">
        <v>6642</v>
      </c>
      <c r="AA2851" s="344" t="s">
        <v>589</v>
      </c>
      <c r="AB2851" s="344">
        <v>4</v>
      </c>
      <c r="AC2851" s="344" t="s">
        <v>464</v>
      </c>
      <c r="AD2851" s="1058" t="s">
        <v>591</v>
      </c>
      <c r="AE2851" s="1059">
        <v>170548</v>
      </c>
      <c r="AF2851" s="889" t="s">
        <v>459</v>
      </c>
      <c r="AG2851" s="889" t="s">
        <v>459</v>
      </c>
    </row>
    <row r="2852" spans="26:33" x14ac:dyDescent="0.35">
      <c r="Z2852" s="344">
        <v>6646</v>
      </c>
      <c r="AA2852" s="344" t="s">
        <v>589</v>
      </c>
      <c r="AB2852" s="344">
        <v>4</v>
      </c>
      <c r="AC2852" s="344" t="e">
        <v>#N/A</v>
      </c>
      <c r="AD2852" s="1058" t="s">
        <v>591</v>
      </c>
      <c r="AE2852" s="1059" t="e">
        <v>#N/A</v>
      </c>
      <c r="AF2852" s="889" t="s">
        <v>459</v>
      </c>
      <c r="AG2852" s="889" t="s">
        <v>459</v>
      </c>
    </row>
    <row r="2853" spans="26:33" x14ac:dyDescent="0.35">
      <c r="Z2853" s="344">
        <v>6701</v>
      </c>
      <c r="AA2853" s="344" t="s">
        <v>589</v>
      </c>
      <c r="AB2853" s="344">
        <v>4</v>
      </c>
      <c r="AC2853" s="344" t="s">
        <v>471</v>
      </c>
      <c r="AD2853" s="1058" t="s">
        <v>591</v>
      </c>
      <c r="AE2853" s="1059">
        <v>359504</v>
      </c>
      <c r="AF2853" s="889" t="s">
        <v>459</v>
      </c>
      <c r="AG2853" s="889" t="s">
        <v>459</v>
      </c>
    </row>
    <row r="2854" spans="26:33" x14ac:dyDescent="0.35">
      <c r="Z2854" s="344">
        <v>6705</v>
      </c>
      <c r="AA2854" s="344" t="s">
        <v>589</v>
      </c>
      <c r="AB2854" s="344">
        <v>4</v>
      </c>
      <c r="AC2854" s="344" t="e">
        <v>#N/A</v>
      </c>
      <c r="AD2854" s="1058" t="s">
        <v>591</v>
      </c>
      <c r="AE2854" s="1059" t="e">
        <v>#N/A</v>
      </c>
      <c r="AF2854" s="889" t="s">
        <v>459</v>
      </c>
      <c r="AG2854" s="889" t="s">
        <v>459</v>
      </c>
    </row>
    <row r="2855" spans="26:33" x14ac:dyDescent="0.35">
      <c r="Z2855" s="344">
        <v>6707</v>
      </c>
      <c r="AA2855" s="344" t="s">
        <v>589</v>
      </c>
      <c r="AB2855" s="344">
        <v>4</v>
      </c>
      <c r="AC2855" s="344" t="s">
        <v>457</v>
      </c>
      <c r="AD2855" s="1058" t="s">
        <v>591</v>
      </c>
      <c r="AE2855" s="1059">
        <v>528059</v>
      </c>
      <c r="AF2855" s="889" t="s">
        <v>459</v>
      </c>
      <c r="AG2855" s="889" t="s">
        <v>459</v>
      </c>
    </row>
    <row r="2856" spans="26:33" x14ac:dyDescent="0.35">
      <c r="Z2856" s="344">
        <v>6710</v>
      </c>
      <c r="AA2856" s="344" t="s">
        <v>589</v>
      </c>
      <c r="AB2856" s="344">
        <v>4</v>
      </c>
      <c r="AC2856" s="344" t="s">
        <v>479</v>
      </c>
      <c r="AD2856" s="1058" t="s">
        <v>591</v>
      </c>
      <c r="AE2856" s="1059">
        <v>887579</v>
      </c>
      <c r="AF2856" s="889" t="s">
        <v>459</v>
      </c>
      <c r="AG2856" s="889" t="s">
        <v>459</v>
      </c>
    </row>
    <row r="2857" spans="26:33" x14ac:dyDescent="0.35">
      <c r="Z2857" s="344">
        <v>6711</v>
      </c>
      <c r="AA2857" s="344" t="s">
        <v>589</v>
      </c>
      <c r="AB2857" s="344">
        <v>4</v>
      </c>
      <c r="AC2857" s="344" t="e">
        <v>#N/A</v>
      </c>
      <c r="AD2857" s="1058" t="s">
        <v>591</v>
      </c>
      <c r="AE2857" s="1059" t="e">
        <v>#N/A</v>
      </c>
      <c r="AF2857" s="889" t="s">
        <v>459</v>
      </c>
      <c r="AG2857" s="889" t="s">
        <v>459</v>
      </c>
    </row>
    <row r="2858" spans="26:33" x14ac:dyDescent="0.35">
      <c r="Z2858" s="344">
        <v>6712</v>
      </c>
      <c r="AA2858" s="344" t="s">
        <v>589</v>
      </c>
      <c r="AB2858" s="344">
        <v>4</v>
      </c>
      <c r="AC2858" s="344" t="e">
        <v>#N/A</v>
      </c>
      <c r="AD2858" s="1058" t="s">
        <v>591</v>
      </c>
      <c r="AE2858" s="1059" t="e">
        <v>#N/A</v>
      </c>
      <c r="AF2858" s="889" t="s">
        <v>459</v>
      </c>
      <c r="AG2858" s="889" t="s">
        <v>459</v>
      </c>
    </row>
    <row r="2859" spans="26:33" x14ac:dyDescent="0.35">
      <c r="Z2859" s="344">
        <v>6713</v>
      </c>
      <c r="AA2859" s="344" t="s">
        <v>589</v>
      </c>
      <c r="AB2859" s="344">
        <v>4</v>
      </c>
      <c r="AC2859" s="344" t="s">
        <v>479</v>
      </c>
      <c r="AD2859" s="1058" t="s">
        <v>591</v>
      </c>
      <c r="AE2859" s="1059">
        <v>825919</v>
      </c>
      <c r="AF2859" s="889" t="s">
        <v>460</v>
      </c>
      <c r="AG2859" s="889" t="s">
        <v>459</v>
      </c>
    </row>
    <row r="2860" spans="26:33" x14ac:dyDescent="0.35">
      <c r="Z2860" s="344">
        <v>6714</v>
      </c>
      <c r="AA2860" s="344" t="s">
        <v>589</v>
      </c>
      <c r="AB2860" s="344">
        <v>3</v>
      </c>
      <c r="AC2860" s="344" t="s">
        <v>457</v>
      </c>
      <c r="AD2860" s="1058" t="s">
        <v>592</v>
      </c>
      <c r="AE2860" s="1059">
        <v>560629</v>
      </c>
      <c r="AF2860" s="889" t="s">
        <v>460</v>
      </c>
      <c r="AG2860" s="889" t="s">
        <v>459</v>
      </c>
    </row>
    <row r="2861" spans="26:33" x14ac:dyDescent="0.35">
      <c r="Z2861" s="344">
        <v>6716</v>
      </c>
      <c r="AA2861" s="344" t="s">
        <v>589</v>
      </c>
      <c r="AB2861" s="344">
        <v>4</v>
      </c>
      <c r="AC2861" s="344" t="e">
        <v>#N/A</v>
      </c>
      <c r="AD2861" s="1058" t="s">
        <v>591</v>
      </c>
      <c r="AE2861" s="1059" t="e">
        <v>#N/A</v>
      </c>
      <c r="AF2861" s="889" t="s">
        <v>459</v>
      </c>
      <c r="AG2861" s="889" t="s">
        <v>459</v>
      </c>
    </row>
    <row r="2862" spans="26:33" x14ac:dyDescent="0.35">
      <c r="Z2862" s="344">
        <v>6718</v>
      </c>
      <c r="AA2862" s="344" t="s">
        <v>589</v>
      </c>
      <c r="AB2862" s="344">
        <v>4</v>
      </c>
      <c r="AC2862" s="344" t="s">
        <v>457</v>
      </c>
      <c r="AD2862" s="1058" t="s">
        <v>591</v>
      </c>
      <c r="AE2862" s="1059">
        <v>457531</v>
      </c>
      <c r="AF2862" s="889" t="s">
        <v>459</v>
      </c>
      <c r="AG2862" s="889" t="s">
        <v>459</v>
      </c>
    </row>
    <row r="2863" spans="26:33" x14ac:dyDescent="0.35">
      <c r="Z2863" s="344">
        <v>6720</v>
      </c>
      <c r="AA2863" s="344" t="s">
        <v>589</v>
      </c>
      <c r="AB2863" s="344">
        <v>4</v>
      </c>
      <c r="AC2863" s="344" t="s">
        <v>457</v>
      </c>
      <c r="AD2863" s="1058" t="s">
        <v>591</v>
      </c>
      <c r="AE2863" s="1059">
        <v>628710</v>
      </c>
      <c r="AF2863" s="889" t="s">
        <v>459</v>
      </c>
      <c r="AG2863" s="889" t="s">
        <v>459</v>
      </c>
    </row>
    <row r="2864" spans="26:33" x14ac:dyDescent="0.35">
      <c r="Z2864" s="344">
        <v>6721</v>
      </c>
      <c r="AA2864" s="344" t="s">
        <v>589</v>
      </c>
      <c r="AB2864" s="344">
        <v>4</v>
      </c>
      <c r="AC2864" s="344" t="s">
        <v>482</v>
      </c>
      <c r="AD2864" s="1058" t="s">
        <v>591</v>
      </c>
      <c r="AE2864" s="1059">
        <v>998823</v>
      </c>
      <c r="AF2864" s="889" t="s">
        <v>460</v>
      </c>
      <c r="AG2864" s="889" t="s">
        <v>459</v>
      </c>
    </row>
    <row r="2865" spans="26:33" x14ac:dyDescent="0.35">
      <c r="Z2865" s="344">
        <v>6722</v>
      </c>
      <c r="AA2865" s="344" t="s">
        <v>589</v>
      </c>
      <c r="AB2865" s="344">
        <v>3</v>
      </c>
      <c r="AC2865" s="344" t="s">
        <v>457</v>
      </c>
      <c r="AD2865" s="1058" t="s">
        <v>592</v>
      </c>
      <c r="AE2865" s="1059">
        <v>654459</v>
      </c>
      <c r="AF2865" s="889" t="s">
        <v>460</v>
      </c>
      <c r="AG2865" s="889" t="s">
        <v>459</v>
      </c>
    </row>
    <row r="2866" spans="26:33" x14ac:dyDescent="0.35">
      <c r="Z2866" s="344">
        <v>6723</v>
      </c>
      <c r="AA2866" s="344" t="s">
        <v>589</v>
      </c>
      <c r="AB2866" s="344">
        <v>4</v>
      </c>
      <c r="AC2866" s="344" t="e">
        <v>#N/A</v>
      </c>
      <c r="AD2866" s="1058" t="s">
        <v>591</v>
      </c>
      <c r="AE2866" s="1059" t="e">
        <v>#N/A</v>
      </c>
      <c r="AF2866" s="889" t="s">
        <v>459</v>
      </c>
      <c r="AG2866" s="889" t="s">
        <v>459</v>
      </c>
    </row>
    <row r="2867" spans="26:33" x14ac:dyDescent="0.35">
      <c r="Z2867" s="344">
        <v>6725</v>
      </c>
      <c r="AA2867" s="344" t="s">
        <v>589</v>
      </c>
      <c r="AB2867" s="344">
        <v>2</v>
      </c>
      <c r="AC2867" s="344" t="s">
        <v>457</v>
      </c>
      <c r="AD2867" s="1058" t="s">
        <v>593</v>
      </c>
      <c r="AE2867" s="1059">
        <v>616278</v>
      </c>
      <c r="AF2867" s="889" t="s">
        <v>459</v>
      </c>
      <c r="AG2867" s="889" t="s">
        <v>459</v>
      </c>
    </row>
    <row r="2868" spans="26:33" x14ac:dyDescent="0.35">
      <c r="Z2868" s="344">
        <v>6726</v>
      </c>
      <c r="AA2868" s="344" t="s">
        <v>589</v>
      </c>
      <c r="AB2868" s="344">
        <v>2</v>
      </c>
      <c r="AC2868" s="344" t="s">
        <v>457</v>
      </c>
      <c r="AD2868" s="1058" t="s">
        <v>593</v>
      </c>
      <c r="AE2868" s="1059">
        <v>655570</v>
      </c>
      <c r="AF2868" s="889" t="s">
        <v>460</v>
      </c>
      <c r="AG2868" s="889" t="s">
        <v>459</v>
      </c>
    </row>
    <row r="2869" spans="26:33" x14ac:dyDescent="0.35">
      <c r="Z2869" s="344">
        <v>6728</v>
      </c>
      <c r="AA2869" s="344" t="s">
        <v>589</v>
      </c>
      <c r="AB2869" s="344">
        <v>4</v>
      </c>
      <c r="AC2869" s="344" t="s">
        <v>457</v>
      </c>
      <c r="AD2869" s="1058" t="s">
        <v>591</v>
      </c>
      <c r="AE2869" s="1059">
        <v>469354</v>
      </c>
      <c r="AF2869" s="889" t="s">
        <v>459</v>
      </c>
      <c r="AG2869" s="889" t="s">
        <v>459</v>
      </c>
    </row>
    <row r="2870" spans="26:33" x14ac:dyDescent="0.35">
      <c r="Z2870" s="344">
        <v>6731</v>
      </c>
      <c r="AA2870" s="344" t="s">
        <v>589</v>
      </c>
      <c r="AB2870" s="344">
        <v>4</v>
      </c>
      <c r="AC2870" s="344" t="e">
        <v>#N/A</v>
      </c>
      <c r="AD2870" s="1058" t="s">
        <v>591</v>
      </c>
      <c r="AE2870" s="1059" t="e">
        <v>#N/A</v>
      </c>
      <c r="AF2870" s="889" t="s">
        <v>459</v>
      </c>
      <c r="AG2870" s="889" t="s">
        <v>459</v>
      </c>
    </row>
    <row r="2871" spans="26:33" x14ac:dyDescent="0.35">
      <c r="Z2871" s="344">
        <v>6733</v>
      </c>
      <c r="AA2871" s="344" t="s">
        <v>589</v>
      </c>
      <c r="AB2871" s="344">
        <v>4</v>
      </c>
      <c r="AC2871" s="344" t="e">
        <v>#N/A</v>
      </c>
      <c r="AD2871" s="1058" t="s">
        <v>591</v>
      </c>
      <c r="AE2871" s="1059" t="e">
        <v>#N/A</v>
      </c>
      <c r="AF2871" s="889" t="s">
        <v>459</v>
      </c>
      <c r="AG2871" s="889" t="s">
        <v>459</v>
      </c>
    </row>
    <row r="2872" spans="26:33" x14ac:dyDescent="0.35">
      <c r="Z2872" s="344">
        <v>6740</v>
      </c>
      <c r="AA2872" s="344" t="s">
        <v>589</v>
      </c>
      <c r="AB2872" s="344">
        <v>4</v>
      </c>
      <c r="AC2872" s="344" t="s">
        <v>464</v>
      </c>
      <c r="AD2872" s="1058" t="s">
        <v>591</v>
      </c>
      <c r="AE2872" s="1059">
        <v>275963</v>
      </c>
      <c r="AF2872" s="889" t="s">
        <v>459</v>
      </c>
      <c r="AG2872" s="889" t="s">
        <v>459</v>
      </c>
    </row>
    <row r="2873" spans="26:33" x14ac:dyDescent="0.35">
      <c r="Z2873" s="344">
        <v>6743</v>
      </c>
      <c r="AA2873" s="344" t="s">
        <v>589</v>
      </c>
      <c r="AB2873" s="344">
        <v>4</v>
      </c>
      <c r="AC2873" s="344" t="s">
        <v>457</v>
      </c>
      <c r="AD2873" s="1058" t="s">
        <v>591</v>
      </c>
      <c r="AE2873" s="1059">
        <v>473444</v>
      </c>
      <c r="AF2873" s="889" t="s">
        <v>459</v>
      </c>
      <c r="AG2873" s="889" t="s">
        <v>459</v>
      </c>
    </row>
    <row r="2874" spans="26:33" x14ac:dyDescent="0.35">
      <c r="Z2874" s="344">
        <v>6751</v>
      </c>
      <c r="AA2874" s="344" t="s">
        <v>589</v>
      </c>
      <c r="AB2874" s="344">
        <v>4</v>
      </c>
      <c r="AC2874" s="344" t="s">
        <v>457</v>
      </c>
      <c r="AD2874" s="1058" t="s">
        <v>591</v>
      </c>
      <c r="AE2874" s="1059">
        <v>681432</v>
      </c>
      <c r="AF2874" s="889" t="s">
        <v>459</v>
      </c>
      <c r="AG2874" s="889" t="s">
        <v>459</v>
      </c>
    </row>
    <row r="2875" spans="26:33" x14ac:dyDescent="0.35">
      <c r="Z2875" s="344">
        <v>6753</v>
      </c>
      <c r="AA2875" s="344" t="s">
        <v>589</v>
      </c>
      <c r="AB2875" s="344">
        <v>4</v>
      </c>
      <c r="AC2875" s="344" t="s">
        <v>457</v>
      </c>
      <c r="AD2875" s="1058" t="s">
        <v>591</v>
      </c>
      <c r="AE2875" s="1059">
        <v>658911</v>
      </c>
      <c r="AF2875" s="889" t="s">
        <v>459</v>
      </c>
      <c r="AG2875" s="889" t="s">
        <v>459</v>
      </c>
    </row>
    <row r="2876" spans="26:33" x14ac:dyDescent="0.35">
      <c r="Z2876" s="344">
        <v>6754</v>
      </c>
      <c r="AA2876" s="344" t="s">
        <v>589</v>
      </c>
      <c r="AB2876" s="344">
        <v>4</v>
      </c>
      <c r="AC2876" s="344" t="s">
        <v>471</v>
      </c>
      <c r="AD2876" s="1058" t="s">
        <v>591</v>
      </c>
      <c r="AE2876" s="1059">
        <v>363282</v>
      </c>
      <c r="AF2876" s="889" t="s">
        <v>459</v>
      </c>
      <c r="AG2876" s="889" t="s">
        <v>459</v>
      </c>
    </row>
    <row r="2877" spans="26:33" x14ac:dyDescent="0.35">
      <c r="Z2877" s="344">
        <v>6758</v>
      </c>
      <c r="AA2877" s="344" t="s">
        <v>589</v>
      </c>
      <c r="AB2877" s="344">
        <v>4</v>
      </c>
      <c r="AC2877" s="344" t="e">
        <v>#N/A</v>
      </c>
      <c r="AD2877" s="1058" t="s">
        <v>591</v>
      </c>
      <c r="AE2877" s="1059" t="e">
        <v>#N/A</v>
      </c>
      <c r="AF2877" s="889" t="s">
        <v>459</v>
      </c>
      <c r="AG2877" s="889" t="s">
        <v>459</v>
      </c>
    </row>
    <row r="2878" spans="26:33" x14ac:dyDescent="0.35">
      <c r="Z2878" s="344">
        <v>6760</v>
      </c>
      <c r="AA2878" s="344" t="s">
        <v>589</v>
      </c>
      <c r="AB2878" s="344">
        <v>4</v>
      </c>
      <c r="AC2878" s="344" t="e">
        <v>#N/A</v>
      </c>
      <c r="AD2878" s="1058" t="s">
        <v>591</v>
      </c>
      <c r="AE2878" s="1059" t="e">
        <v>#N/A</v>
      </c>
      <c r="AF2878" s="889" t="s">
        <v>459</v>
      </c>
      <c r="AG2878" s="889" t="s">
        <v>459</v>
      </c>
    </row>
    <row r="2879" spans="26:33" x14ac:dyDescent="0.35">
      <c r="Z2879" s="344">
        <v>6761</v>
      </c>
      <c r="AA2879" s="344" t="s">
        <v>589</v>
      </c>
      <c r="AB2879" s="344">
        <v>4</v>
      </c>
      <c r="AC2879" s="344" t="e">
        <v>#N/A</v>
      </c>
      <c r="AD2879" s="1058" t="s">
        <v>591</v>
      </c>
      <c r="AE2879" s="1059" t="e">
        <v>#N/A</v>
      </c>
      <c r="AF2879" s="889" t="s">
        <v>459</v>
      </c>
      <c r="AG2879" s="889" t="s">
        <v>459</v>
      </c>
    </row>
    <row r="2880" spans="26:33" x14ac:dyDescent="0.35">
      <c r="Z2880" s="344">
        <v>6762</v>
      </c>
      <c r="AA2880" s="344" t="s">
        <v>589</v>
      </c>
      <c r="AB2880" s="344">
        <v>4</v>
      </c>
      <c r="AC2880" s="344" t="e">
        <v>#N/A</v>
      </c>
      <c r="AD2880" s="1058" t="s">
        <v>591</v>
      </c>
      <c r="AE2880" s="1059" t="e">
        <v>#N/A</v>
      </c>
      <c r="AF2880" s="889" t="s">
        <v>459</v>
      </c>
      <c r="AG2880" s="889" t="s">
        <v>459</v>
      </c>
    </row>
    <row r="2881" spans="26:33" x14ac:dyDescent="0.35">
      <c r="Z2881" s="344">
        <v>6765</v>
      </c>
      <c r="AA2881" s="344" t="s">
        <v>589</v>
      </c>
      <c r="AB2881" s="344">
        <v>4</v>
      </c>
      <c r="AC2881" s="344" t="e">
        <v>#N/A</v>
      </c>
      <c r="AD2881" s="1058" t="s">
        <v>591</v>
      </c>
      <c r="AE2881" s="1059" t="e">
        <v>#N/A</v>
      </c>
      <c r="AF2881" s="889" t="s">
        <v>459</v>
      </c>
      <c r="AG2881" s="889" t="s">
        <v>459</v>
      </c>
    </row>
    <row r="2882" spans="26:33" x14ac:dyDescent="0.35">
      <c r="Z2882" s="344">
        <v>6770</v>
      </c>
      <c r="AA2882" s="344" t="s">
        <v>589</v>
      </c>
      <c r="AB2882" s="344">
        <v>4</v>
      </c>
      <c r="AC2882" s="344" t="e">
        <v>#N/A</v>
      </c>
      <c r="AD2882" s="1058" t="s">
        <v>591</v>
      </c>
      <c r="AE2882" s="1059" t="e">
        <v>#N/A</v>
      </c>
      <c r="AF2882" s="889" t="s">
        <v>459</v>
      </c>
      <c r="AG2882" s="889" t="s">
        <v>459</v>
      </c>
    </row>
    <row r="2883" spans="26:33" x14ac:dyDescent="0.35">
      <c r="Z2883" s="344">
        <v>6798</v>
      </c>
      <c r="AA2883" s="344" t="s">
        <v>589</v>
      </c>
      <c r="AB2883" s="344">
        <v>4</v>
      </c>
      <c r="AC2883" s="344" t="e">
        <v>#N/A</v>
      </c>
      <c r="AD2883" s="1058" t="s">
        <v>591</v>
      </c>
      <c r="AE2883" s="1059" t="e">
        <v>#N/A</v>
      </c>
      <c r="AF2883" s="889" t="s">
        <v>459</v>
      </c>
      <c r="AG2883" s="889" t="s">
        <v>459</v>
      </c>
    </row>
    <row r="2884" spans="26:33" x14ac:dyDescent="0.35">
      <c r="Z2884" s="344">
        <v>6799</v>
      </c>
      <c r="AA2884" s="344" t="s">
        <v>589</v>
      </c>
      <c r="AB2884" s="344">
        <v>4</v>
      </c>
      <c r="AC2884" s="344" t="e">
        <v>#N/A</v>
      </c>
      <c r="AD2884" s="1058" t="s">
        <v>591</v>
      </c>
      <c r="AE2884" s="1059" t="e">
        <v>#N/A</v>
      </c>
      <c r="AF2884" s="889" t="s">
        <v>459</v>
      </c>
      <c r="AG2884" s="889" t="s">
        <v>459</v>
      </c>
    </row>
    <row r="2885" spans="26:33" x14ac:dyDescent="0.35">
      <c r="Z2885" s="344">
        <v>6923</v>
      </c>
      <c r="AA2885" s="344" t="s">
        <v>589</v>
      </c>
      <c r="AB2885" s="344">
        <v>4</v>
      </c>
      <c r="AC2885" s="344" t="e">
        <v>#N/A</v>
      </c>
      <c r="AD2885" s="1058" t="s">
        <v>591</v>
      </c>
      <c r="AE2885" s="1059" t="e">
        <v>#N/A</v>
      </c>
      <c r="AF2885" s="889" t="s">
        <v>459</v>
      </c>
      <c r="AG2885" s="889" t="s">
        <v>459</v>
      </c>
    </row>
    <row r="2886" spans="26:33" x14ac:dyDescent="0.35">
      <c r="Z2886" s="344">
        <v>7000</v>
      </c>
      <c r="AA2886" s="344" t="s">
        <v>594</v>
      </c>
      <c r="AB2886" s="344">
        <v>1</v>
      </c>
      <c r="AC2886" s="344" t="s">
        <v>457</v>
      </c>
      <c r="AD2886" s="1058" t="s">
        <v>595</v>
      </c>
      <c r="AE2886" s="1059">
        <v>461962</v>
      </c>
      <c r="AF2886" s="889" t="s">
        <v>459</v>
      </c>
      <c r="AG2886" s="889" t="s">
        <v>459</v>
      </c>
    </row>
    <row r="2887" spans="26:33" x14ac:dyDescent="0.35">
      <c r="Z2887" s="344">
        <v>7001</v>
      </c>
      <c r="AA2887" s="344" t="s">
        <v>594</v>
      </c>
      <c r="AB2887" s="344">
        <v>1</v>
      </c>
      <c r="AC2887" s="344" t="e">
        <v>#N/A</v>
      </c>
      <c r="AD2887" s="1058" t="s">
        <v>595</v>
      </c>
      <c r="AE2887" s="1059" t="e">
        <v>#N/A</v>
      </c>
      <c r="AF2887" s="889" t="s">
        <v>459</v>
      </c>
      <c r="AG2887" s="889" t="s">
        <v>459</v>
      </c>
    </row>
    <row r="2888" spans="26:33" x14ac:dyDescent="0.35">
      <c r="Z2888" s="344">
        <v>7002</v>
      </c>
      <c r="AA2888" s="344" t="s">
        <v>594</v>
      </c>
      <c r="AB2888" s="344">
        <v>1</v>
      </c>
      <c r="AC2888" s="344" t="e">
        <v>#N/A</v>
      </c>
      <c r="AD2888" s="1058" t="s">
        <v>595</v>
      </c>
      <c r="AE2888" s="1059" t="e">
        <v>#N/A</v>
      </c>
      <c r="AF2888" s="889" t="s">
        <v>459</v>
      </c>
      <c r="AG2888" s="889" t="s">
        <v>459</v>
      </c>
    </row>
    <row r="2889" spans="26:33" x14ac:dyDescent="0.35">
      <c r="Z2889" s="344">
        <v>7003</v>
      </c>
      <c r="AA2889" s="344" t="s">
        <v>594</v>
      </c>
      <c r="AB2889" s="344">
        <v>1</v>
      </c>
      <c r="AC2889" s="344" t="e">
        <v>#N/A</v>
      </c>
      <c r="AD2889" s="1058" t="s">
        <v>595</v>
      </c>
      <c r="AE2889" s="1059" t="e">
        <v>#N/A</v>
      </c>
      <c r="AF2889" s="889" t="s">
        <v>459</v>
      </c>
      <c r="AG2889" s="889" t="s">
        <v>459</v>
      </c>
    </row>
    <row r="2890" spans="26:33" x14ac:dyDescent="0.35">
      <c r="Z2890" s="344">
        <v>7004</v>
      </c>
      <c r="AA2890" s="344" t="s">
        <v>594</v>
      </c>
      <c r="AB2890" s="344">
        <v>1</v>
      </c>
      <c r="AC2890" s="344" t="s">
        <v>457</v>
      </c>
      <c r="AD2890" s="1058" t="s">
        <v>595</v>
      </c>
      <c r="AE2890" s="1059">
        <v>598561</v>
      </c>
      <c r="AF2890" s="889" t="s">
        <v>459</v>
      </c>
      <c r="AG2890" s="889" t="s">
        <v>459</v>
      </c>
    </row>
    <row r="2891" spans="26:33" x14ac:dyDescent="0.35">
      <c r="Z2891" s="344">
        <v>7005</v>
      </c>
      <c r="AA2891" s="344" t="s">
        <v>594</v>
      </c>
      <c r="AB2891" s="344">
        <v>1</v>
      </c>
      <c r="AC2891" s="344" t="s">
        <v>457</v>
      </c>
      <c r="AD2891" s="1058" t="s">
        <v>595</v>
      </c>
      <c r="AE2891" s="1059">
        <v>580507</v>
      </c>
      <c r="AF2891" s="889" t="s">
        <v>459</v>
      </c>
      <c r="AG2891" s="889" t="s">
        <v>459</v>
      </c>
    </row>
    <row r="2892" spans="26:33" x14ac:dyDescent="0.35">
      <c r="Z2892" s="344">
        <v>7006</v>
      </c>
      <c r="AA2892" s="344" t="s">
        <v>594</v>
      </c>
      <c r="AB2892" s="344">
        <v>1</v>
      </c>
      <c r="AC2892" s="344" t="e">
        <v>#N/A</v>
      </c>
      <c r="AD2892" s="1058" t="s">
        <v>595</v>
      </c>
      <c r="AE2892" s="1059" t="e">
        <v>#N/A</v>
      </c>
      <c r="AF2892" s="889" t="s">
        <v>459</v>
      </c>
      <c r="AG2892" s="889" t="s">
        <v>459</v>
      </c>
    </row>
    <row r="2893" spans="26:33" x14ac:dyDescent="0.35">
      <c r="Z2893" s="344">
        <v>7007</v>
      </c>
      <c r="AA2893" s="344" t="s">
        <v>594</v>
      </c>
      <c r="AB2893" s="344">
        <v>1</v>
      </c>
      <c r="AC2893" s="344" t="s">
        <v>457</v>
      </c>
      <c r="AD2893" s="1058" t="s">
        <v>595</v>
      </c>
      <c r="AE2893" s="1059">
        <v>568677</v>
      </c>
      <c r="AF2893" s="889" t="s">
        <v>459</v>
      </c>
      <c r="AG2893" s="889" t="s">
        <v>459</v>
      </c>
    </row>
    <row r="2894" spans="26:33" x14ac:dyDescent="0.35">
      <c r="Z2894" s="344">
        <v>7008</v>
      </c>
      <c r="AA2894" s="344" t="s">
        <v>594</v>
      </c>
      <c r="AB2894" s="344">
        <v>1</v>
      </c>
      <c r="AC2894" s="344" t="s">
        <v>471</v>
      </c>
      <c r="AD2894" s="1058" t="s">
        <v>595</v>
      </c>
      <c r="AE2894" s="1059">
        <v>396617</v>
      </c>
      <c r="AF2894" s="889" t="s">
        <v>459</v>
      </c>
      <c r="AG2894" s="889" t="s">
        <v>459</v>
      </c>
    </row>
    <row r="2895" spans="26:33" x14ac:dyDescent="0.35">
      <c r="Z2895" s="344">
        <v>7009</v>
      </c>
      <c r="AA2895" s="344" t="s">
        <v>594</v>
      </c>
      <c r="AB2895" s="344">
        <v>1</v>
      </c>
      <c r="AC2895" s="344" t="s">
        <v>464</v>
      </c>
      <c r="AD2895" s="1058" t="s">
        <v>595</v>
      </c>
      <c r="AE2895" s="1059">
        <v>278323</v>
      </c>
      <c r="AF2895" s="889" t="s">
        <v>459</v>
      </c>
      <c r="AG2895" s="889" t="s">
        <v>459</v>
      </c>
    </row>
    <row r="2896" spans="26:33" x14ac:dyDescent="0.35">
      <c r="Z2896" s="344">
        <v>7010</v>
      </c>
      <c r="AA2896" s="344" t="s">
        <v>594</v>
      </c>
      <c r="AB2896" s="344">
        <v>1</v>
      </c>
      <c r="AC2896" s="344" t="s">
        <v>464</v>
      </c>
      <c r="AD2896" s="1058" t="s">
        <v>595</v>
      </c>
      <c r="AE2896" s="1059">
        <v>257485</v>
      </c>
      <c r="AF2896" s="889" t="s">
        <v>459</v>
      </c>
      <c r="AG2896" s="889" t="s">
        <v>459</v>
      </c>
    </row>
    <row r="2897" spans="26:33" x14ac:dyDescent="0.35">
      <c r="Z2897" s="344">
        <v>7011</v>
      </c>
      <c r="AA2897" s="344" t="s">
        <v>594</v>
      </c>
      <c r="AB2897" s="344">
        <v>1</v>
      </c>
      <c r="AC2897" s="344" t="s">
        <v>464</v>
      </c>
      <c r="AD2897" s="1058" t="s">
        <v>595</v>
      </c>
      <c r="AE2897" s="1059">
        <v>254568</v>
      </c>
      <c r="AF2897" s="889" t="s">
        <v>459</v>
      </c>
      <c r="AG2897" s="889" t="s">
        <v>459</v>
      </c>
    </row>
    <row r="2898" spans="26:33" x14ac:dyDescent="0.35">
      <c r="Z2898" s="344">
        <v>7012</v>
      </c>
      <c r="AA2898" s="344" t="s">
        <v>594</v>
      </c>
      <c r="AB2898" s="344">
        <v>1</v>
      </c>
      <c r="AC2898" s="344" t="s">
        <v>471</v>
      </c>
      <c r="AD2898" s="1058" t="s">
        <v>595</v>
      </c>
      <c r="AE2898" s="1059">
        <v>321016</v>
      </c>
      <c r="AF2898" s="889" t="s">
        <v>459</v>
      </c>
      <c r="AG2898" s="889" t="s">
        <v>459</v>
      </c>
    </row>
    <row r="2899" spans="26:33" x14ac:dyDescent="0.35">
      <c r="Z2899" s="344">
        <v>7013</v>
      </c>
      <c r="AA2899" s="344" t="s">
        <v>594</v>
      </c>
      <c r="AB2899" s="344">
        <v>1</v>
      </c>
      <c r="AC2899" s="344" t="e">
        <v>#N/A</v>
      </c>
      <c r="AD2899" s="1058" t="s">
        <v>595</v>
      </c>
      <c r="AE2899" s="1059" t="e">
        <v>#N/A</v>
      </c>
      <c r="AF2899" s="889" t="s">
        <v>459</v>
      </c>
      <c r="AG2899" s="889" t="s">
        <v>459</v>
      </c>
    </row>
    <row r="2900" spans="26:33" x14ac:dyDescent="0.35">
      <c r="Z2900" s="344">
        <v>7014</v>
      </c>
      <c r="AA2900" s="344" t="s">
        <v>594</v>
      </c>
      <c r="AB2900" s="344">
        <v>1</v>
      </c>
      <c r="AC2900" s="344" t="e">
        <v>#N/A</v>
      </c>
      <c r="AD2900" s="1058" t="s">
        <v>595</v>
      </c>
      <c r="AE2900" s="1059" t="e">
        <v>#N/A</v>
      </c>
      <c r="AF2900" s="889" t="s">
        <v>459</v>
      </c>
      <c r="AG2900" s="889" t="s">
        <v>459</v>
      </c>
    </row>
    <row r="2901" spans="26:33" x14ac:dyDescent="0.35">
      <c r="Z2901" s="344">
        <v>7015</v>
      </c>
      <c r="AA2901" s="344" t="s">
        <v>594</v>
      </c>
      <c r="AB2901" s="344">
        <v>1</v>
      </c>
      <c r="AC2901" s="344" t="s">
        <v>471</v>
      </c>
      <c r="AD2901" s="1058" t="s">
        <v>595</v>
      </c>
      <c r="AE2901" s="1059">
        <v>404248</v>
      </c>
      <c r="AF2901" s="889" t="s">
        <v>459</v>
      </c>
      <c r="AG2901" s="889" t="s">
        <v>459</v>
      </c>
    </row>
    <row r="2902" spans="26:33" x14ac:dyDescent="0.35">
      <c r="Z2902" s="344">
        <v>7016</v>
      </c>
      <c r="AA2902" s="344" t="s">
        <v>594</v>
      </c>
      <c r="AB2902" s="344">
        <v>1</v>
      </c>
      <c r="AC2902" s="344" t="s">
        <v>464</v>
      </c>
      <c r="AD2902" s="1058" t="s">
        <v>595</v>
      </c>
      <c r="AE2902" s="1059">
        <v>174353</v>
      </c>
      <c r="AF2902" s="889" t="s">
        <v>459</v>
      </c>
      <c r="AG2902" s="889" t="s">
        <v>459</v>
      </c>
    </row>
    <row r="2903" spans="26:33" x14ac:dyDescent="0.35">
      <c r="Z2903" s="344">
        <v>7017</v>
      </c>
      <c r="AA2903" s="344" t="s">
        <v>594</v>
      </c>
      <c r="AB2903" s="344">
        <v>1</v>
      </c>
      <c r="AC2903" s="344" t="s">
        <v>471</v>
      </c>
      <c r="AD2903" s="1058" t="s">
        <v>595</v>
      </c>
      <c r="AE2903" s="1059">
        <v>386557</v>
      </c>
      <c r="AF2903" s="889" t="s">
        <v>459</v>
      </c>
      <c r="AG2903" s="889" t="s">
        <v>459</v>
      </c>
    </row>
    <row r="2904" spans="26:33" x14ac:dyDescent="0.35">
      <c r="Z2904" s="344">
        <v>7018</v>
      </c>
      <c r="AA2904" s="344" t="s">
        <v>594</v>
      </c>
      <c r="AB2904" s="344">
        <v>1</v>
      </c>
      <c r="AC2904" s="344" t="s">
        <v>471</v>
      </c>
      <c r="AD2904" s="1058" t="s">
        <v>595</v>
      </c>
      <c r="AE2904" s="1059">
        <v>369599</v>
      </c>
      <c r="AF2904" s="889" t="s">
        <v>459</v>
      </c>
      <c r="AG2904" s="889" t="s">
        <v>459</v>
      </c>
    </row>
    <row r="2905" spans="26:33" x14ac:dyDescent="0.35">
      <c r="Z2905" s="344">
        <v>7019</v>
      </c>
      <c r="AA2905" s="344" t="s">
        <v>594</v>
      </c>
      <c r="AB2905" s="344">
        <v>1</v>
      </c>
      <c r="AC2905" s="344" t="s">
        <v>464</v>
      </c>
      <c r="AD2905" s="1058" t="s">
        <v>595</v>
      </c>
      <c r="AE2905" s="1059">
        <v>233198</v>
      </c>
      <c r="AF2905" s="889" t="s">
        <v>459</v>
      </c>
      <c r="AG2905" s="889" t="s">
        <v>459</v>
      </c>
    </row>
    <row r="2906" spans="26:33" x14ac:dyDescent="0.35">
      <c r="Z2906" s="344">
        <v>7020</v>
      </c>
      <c r="AA2906" s="344" t="s">
        <v>594</v>
      </c>
      <c r="AB2906" s="344">
        <v>2</v>
      </c>
      <c r="AC2906" s="344" t="s">
        <v>471</v>
      </c>
      <c r="AD2906" s="1058" t="s">
        <v>596</v>
      </c>
      <c r="AE2906" s="1059">
        <v>442935</v>
      </c>
      <c r="AF2906" s="889" t="s">
        <v>459</v>
      </c>
      <c r="AG2906" s="889" t="s">
        <v>459</v>
      </c>
    </row>
    <row r="2907" spans="26:33" x14ac:dyDescent="0.35">
      <c r="Z2907" s="344">
        <v>7021</v>
      </c>
      <c r="AA2907" s="344" t="s">
        <v>594</v>
      </c>
      <c r="AB2907" s="344">
        <v>1</v>
      </c>
      <c r="AC2907" s="344" t="s">
        <v>471</v>
      </c>
      <c r="AD2907" s="1058" t="s">
        <v>595</v>
      </c>
      <c r="AE2907" s="1059">
        <v>346486</v>
      </c>
      <c r="AF2907" s="889" t="s">
        <v>459</v>
      </c>
      <c r="AG2907" s="889" t="s">
        <v>459</v>
      </c>
    </row>
    <row r="2908" spans="26:33" x14ac:dyDescent="0.35">
      <c r="Z2908" s="344">
        <v>7022</v>
      </c>
      <c r="AA2908" s="344" t="s">
        <v>594</v>
      </c>
      <c r="AB2908" s="344">
        <v>2</v>
      </c>
      <c r="AC2908" s="344" t="s">
        <v>471</v>
      </c>
      <c r="AD2908" s="1058" t="s">
        <v>596</v>
      </c>
      <c r="AE2908" s="1059">
        <v>357060</v>
      </c>
      <c r="AF2908" s="889" t="s">
        <v>459</v>
      </c>
      <c r="AG2908" s="889" t="s">
        <v>459</v>
      </c>
    </row>
    <row r="2909" spans="26:33" x14ac:dyDescent="0.35">
      <c r="Z2909" s="344">
        <v>7023</v>
      </c>
      <c r="AA2909" s="344" t="s">
        <v>594</v>
      </c>
      <c r="AB2909" s="344">
        <v>2</v>
      </c>
      <c r="AC2909" s="344" t="s">
        <v>471</v>
      </c>
      <c r="AD2909" s="1058" t="s">
        <v>596</v>
      </c>
      <c r="AE2909" s="1059">
        <v>433436</v>
      </c>
      <c r="AF2909" s="889" t="s">
        <v>459</v>
      </c>
      <c r="AG2909" s="889" t="s">
        <v>459</v>
      </c>
    </row>
    <row r="2910" spans="26:33" x14ac:dyDescent="0.35">
      <c r="Z2910" s="344">
        <v>7024</v>
      </c>
      <c r="AA2910" s="344" t="s">
        <v>594</v>
      </c>
      <c r="AB2910" s="344">
        <v>2</v>
      </c>
      <c r="AC2910" s="344" t="s">
        <v>471</v>
      </c>
      <c r="AD2910" s="1058" t="s">
        <v>596</v>
      </c>
      <c r="AE2910" s="1059">
        <v>375605</v>
      </c>
      <c r="AF2910" s="889" t="s">
        <v>459</v>
      </c>
      <c r="AG2910" s="889" t="s">
        <v>459</v>
      </c>
    </row>
    <row r="2911" spans="26:33" x14ac:dyDescent="0.35">
      <c r="Z2911" s="344">
        <v>7025</v>
      </c>
      <c r="AA2911" s="344" t="s">
        <v>594</v>
      </c>
      <c r="AB2911" s="344">
        <v>2</v>
      </c>
      <c r="AC2911" s="344" t="s">
        <v>471</v>
      </c>
      <c r="AD2911" s="1058" t="s">
        <v>596</v>
      </c>
      <c r="AE2911" s="1059">
        <v>434162</v>
      </c>
      <c r="AF2911" s="889" t="s">
        <v>459</v>
      </c>
      <c r="AG2911" s="889" t="s">
        <v>459</v>
      </c>
    </row>
    <row r="2912" spans="26:33" x14ac:dyDescent="0.35">
      <c r="Z2912" s="344">
        <v>7026</v>
      </c>
      <c r="AA2912" s="344" t="s">
        <v>594</v>
      </c>
      <c r="AB2912" s="344">
        <v>4</v>
      </c>
      <c r="AC2912" s="344" t="s">
        <v>464</v>
      </c>
      <c r="AD2912" s="1058" t="s">
        <v>597</v>
      </c>
      <c r="AE2912" s="1059">
        <v>276450</v>
      </c>
      <c r="AF2912" s="889" t="s">
        <v>459</v>
      </c>
      <c r="AG2912" s="889" t="s">
        <v>459</v>
      </c>
    </row>
    <row r="2913" spans="26:33" x14ac:dyDescent="0.35">
      <c r="Z2913" s="344">
        <v>7027</v>
      </c>
      <c r="AA2913" s="344" t="s">
        <v>594</v>
      </c>
      <c r="AB2913" s="344">
        <v>4</v>
      </c>
      <c r="AC2913" s="344" t="s">
        <v>464</v>
      </c>
      <c r="AD2913" s="1058" t="s">
        <v>597</v>
      </c>
      <c r="AE2913" s="1059">
        <v>205148</v>
      </c>
      <c r="AF2913" s="889" t="s">
        <v>459</v>
      </c>
      <c r="AG2913" s="889" t="s">
        <v>459</v>
      </c>
    </row>
    <row r="2914" spans="26:33" x14ac:dyDescent="0.35">
      <c r="Z2914" s="344">
        <v>7030</v>
      </c>
      <c r="AA2914" s="344" t="s">
        <v>594</v>
      </c>
      <c r="AB2914" s="344">
        <v>3</v>
      </c>
      <c r="AC2914" s="344" t="s">
        <v>464</v>
      </c>
      <c r="AD2914" s="1058" t="s">
        <v>598</v>
      </c>
      <c r="AE2914" s="1059">
        <v>245281</v>
      </c>
      <c r="AF2914" s="889" t="s">
        <v>459</v>
      </c>
      <c r="AG2914" s="889" t="s">
        <v>459</v>
      </c>
    </row>
    <row r="2915" spans="26:33" x14ac:dyDescent="0.35">
      <c r="Z2915" s="344">
        <v>7050</v>
      </c>
      <c r="AA2915" s="344" t="s">
        <v>594</v>
      </c>
      <c r="AB2915" s="344">
        <v>1</v>
      </c>
      <c r="AC2915" s="344" t="s">
        <v>471</v>
      </c>
      <c r="AD2915" s="1058" t="s">
        <v>595</v>
      </c>
      <c r="AE2915" s="1059">
        <v>389337</v>
      </c>
      <c r="AF2915" s="889" t="s">
        <v>459</v>
      </c>
      <c r="AG2915" s="889" t="s">
        <v>459</v>
      </c>
    </row>
    <row r="2916" spans="26:33" x14ac:dyDescent="0.35">
      <c r="Z2916" s="344">
        <v>7051</v>
      </c>
      <c r="AA2916" s="344" t="s">
        <v>594</v>
      </c>
      <c r="AB2916" s="344">
        <v>1</v>
      </c>
      <c r="AC2916" s="344" t="e">
        <v>#N/A</v>
      </c>
      <c r="AD2916" s="1058" t="s">
        <v>595</v>
      </c>
      <c r="AE2916" s="1059" t="e">
        <v>#N/A</v>
      </c>
      <c r="AF2916" s="889" t="s">
        <v>459</v>
      </c>
      <c r="AG2916" s="889" t="s">
        <v>459</v>
      </c>
    </row>
    <row r="2917" spans="26:33" x14ac:dyDescent="0.35">
      <c r="Z2917" s="344">
        <v>7052</v>
      </c>
      <c r="AA2917" s="344" t="s">
        <v>594</v>
      </c>
      <c r="AB2917" s="344">
        <v>1</v>
      </c>
      <c r="AC2917" s="344" t="s">
        <v>471</v>
      </c>
      <c r="AD2917" s="1058" t="s">
        <v>595</v>
      </c>
      <c r="AE2917" s="1059">
        <v>401904</v>
      </c>
      <c r="AF2917" s="889" t="s">
        <v>459</v>
      </c>
      <c r="AG2917" s="889" t="s">
        <v>459</v>
      </c>
    </row>
    <row r="2918" spans="26:33" x14ac:dyDescent="0.35">
      <c r="Z2918" s="344">
        <v>7053</v>
      </c>
      <c r="AA2918" s="344" t="s">
        <v>594</v>
      </c>
      <c r="AB2918" s="344">
        <v>1</v>
      </c>
      <c r="AC2918" s="344" t="s">
        <v>457</v>
      </c>
      <c r="AD2918" s="1058" t="s">
        <v>595</v>
      </c>
      <c r="AE2918" s="1059">
        <v>513950</v>
      </c>
      <c r="AF2918" s="889" t="s">
        <v>459</v>
      </c>
      <c r="AG2918" s="889" t="s">
        <v>459</v>
      </c>
    </row>
    <row r="2919" spans="26:33" x14ac:dyDescent="0.35">
      <c r="Z2919" s="344">
        <v>7054</v>
      </c>
      <c r="AA2919" s="344" t="s">
        <v>594</v>
      </c>
      <c r="AB2919" s="344">
        <v>2</v>
      </c>
      <c r="AC2919" s="344" t="s">
        <v>471</v>
      </c>
      <c r="AD2919" s="1058" t="s">
        <v>596</v>
      </c>
      <c r="AE2919" s="1059">
        <v>424111</v>
      </c>
      <c r="AF2919" s="889" t="s">
        <v>459</v>
      </c>
      <c r="AG2919" s="889" t="s">
        <v>459</v>
      </c>
    </row>
    <row r="2920" spans="26:33" x14ac:dyDescent="0.35">
      <c r="Z2920" s="344">
        <v>7055</v>
      </c>
      <c r="AA2920" s="344" t="s">
        <v>594</v>
      </c>
      <c r="AB2920" s="344">
        <v>1</v>
      </c>
      <c r="AC2920" s="344" t="s">
        <v>471</v>
      </c>
      <c r="AD2920" s="1058" t="s">
        <v>595</v>
      </c>
      <c r="AE2920" s="1059">
        <v>328698</v>
      </c>
      <c r="AF2920" s="889" t="s">
        <v>459</v>
      </c>
      <c r="AG2920" s="889" t="s">
        <v>459</v>
      </c>
    </row>
    <row r="2921" spans="26:33" x14ac:dyDescent="0.35">
      <c r="Z2921" s="344">
        <v>7109</v>
      </c>
      <c r="AA2921" s="344" t="s">
        <v>594</v>
      </c>
      <c r="AB2921" s="344">
        <v>4</v>
      </c>
      <c r="AC2921" s="344" t="s">
        <v>471</v>
      </c>
      <c r="AD2921" s="1058" t="s">
        <v>597</v>
      </c>
      <c r="AE2921" s="1059">
        <v>340387</v>
      </c>
      <c r="AF2921" s="889" t="s">
        <v>459</v>
      </c>
      <c r="AG2921" s="889" t="s">
        <v>459</v>
      </c>
    </row>
    <row r="2922" spans="26:33" x14ac:dyDescent="0.35">
      <c r="Z2922" s="344">
        <v>7112</v>
      </c>
      <c r="AA2922" s="344" t="s">
        <v>594</v>
      </c>
      <c r="AB2922" s="344">
        <v>4</v>
      </c>
      <c r="AC2922" s="344" t="s">
        <v>464</v>
      </c>
      <c r="AD2922" s="1058" t="s">
        <v>597</v>
      </c>
      <c r="AE2922" s="1059">
        <v>287532</v>
      </c>
      <c r="AF2922" s="889" t="s">
        <v>459</v>
      </c>
      <c r="AG2922" s="889" t="s">
        <v>459</v>
      </c>
    </row>
    <row r="2923" spans="26:33" x14ac:dyDescent="0.35">
      <c r="Z2923" s="344">
        <v>7113</v>
      </c>
      <c r="AA2923" s="344" t="s">
        <v>594</v>
      </c>
      <c r="AB2923" s="344">
        <v>4</v>
      </c>
      <c r="AC2923" s="344" t="s">
        <v>471</v>
      </c>
      <c r="AD2923" s="1058" t="s">
        <v>597</v>
      </c>
      <c r="AE2923" s="1059">
        <v>322172</v>
      </c>
      <c r="AF2923" s="889" t="s">
        <v>459</v>
      </c>
      <c r="AG2923" s="889" t="s">
        <v>459</v>
      </c>
    </row>
    <row r="2924" spans="26:33" x14ac:dyDescent="0.35">
      <c r="Z2924" s="344">
        <v>7116</v>
      </c>
      <c r="AA2924" s="344" t="s">
        <v>594</v>
      </c>
      <c r="AB2924" s="344">
        <v>4</v>
      </c>
      <c r="AC2924" s="344" t="s">
        <v>471</v>
      </c>
      <c r="AD2924" s="1058" t="s">
        <v>597</v>
      </c>
      <c r="AE2924" s="1059">
        <v>318154</v>
      </c>
      <c r="AF2924" s="889" t="s">
        <v>459</v>
      </c>
      <c r="AG2924" s="889" t="s">
        <v>459</v>
      </c>
    </row>
    <row r="2925" spans="26:33" x14ac:dyDescent="0.35">
      <c r="Z2925" s="344">
        <v>7117</v>
      </c>
      <c r="AA2925" s="344" t="s">
        <v>594</v>
      </c>
      <c r="AB2925" s="344">
        <v>4</v>
      </c>
      <c r="AC2925" s="344" t="s">
        <v>464</v>
      </c>
      <c r="AD2925" s="1058" t="s">
        <v>597</v>
      </c>
      <c r="AE2925" s="1059">
        <v>267391</v>
      </c>
      <c r="AF2925" s="889" t="s">
        <v>459</v>
      </c>
      <c r="AG2925" s="889" t="s">
        <v>459</v>
      </c>
    </row>
    <row r="2926" spans="26:33" x14ac:dyDescent="0.35">
      <c r="Z2926" s="344">
        <v>7119</v>
      </c>
      <c r="AA2926" s="344" t="s">
        <v>594</v>
      </c>
      <c r="AB2926" s="344">
        <v>4</v>
      </c>
      <c r="AC2926" s="344" t="e">
        <v>#N/A</v>
      </c>
      <c r="AD2926" s="1058" t="s">
        <v>597</v>
      </c>
      <c r="AE2926" s="1059" t="e">
        <v>#N/A</v>
      </c>
      <c r="AF2926" s="889" t="s">
        <v>459</v>
      </c>
      <c r="AG2926" s="889" t="s">
        <v>459</v>
      </c>
    </row>
    <row r="2927" spans="26:33" x14ac:dyDescent="0.35">
      <c r="Z2927" s="344">
        <v>7120</v>
      </c>
      <c r="AA2927" s="344" t="s">
        <v>594</v>
      </c>
      <c r="AB2927" s="344">
        <v>4</v>
      </c>
      <c r="AC2927" s="344" t="s">
        <v>464</v>
      </c>
      <c r="AD2927" s="1058" t="s">
        <v>597</v>
      </c>
      <c r="AE2927" s="1059">
        <v>173118</v>
      </c>
      <c r="AF2927" s="889" t="s">
        <v>459</v>
      </c>
      <c r="AG2927" s="889" t="s">
        <v>459</v>
      </c>
    </row>
    <row r="2928" spans="26:33" x14ac:dyDescent="0.35">
      <c r="Z2928" s="344">
        <v>7139</v>
      </c>
      <c r="AA2928" s="344" t="s">
        <v>594</v>
      </c>
      <c r="AB2928" s="344">
        <v>4</v>
      </c>
      <c r="AC2928" s="344" t="e">
        <v>#N/A</v>
      </c>
      <c r="AD2928" s="1058" t="s">
        <v>597</v>
      </c>
      <c r="AE2928" s="1059" t="e">
        <v>#N/A</v>
      </c>
      <c r="AF2928" s="889" t="s">
        <v>459</v>
      </c>
      <c r="AG2928" s="889" t="s">
        <v>459</v>
      </c>
    </row>
    <row r="2929" spans="26:33" x14ac:dyDescent="0.35">
      <c r="Z2929" s="344">
        <v>7140</v>
      </c>
      <c r="AA2929" s="344" t="s">
        <v>594</v>
      </c>
      <c r="AB2929" s="344">
        <v>4</v>
      </c>
      <c r="AC2929" s="344" t="s">
        <v>464</v>
      </c>
      <c r="AD2929" s="1058" t="s">
        <v>597</v>
      </c>
      <c r="AE2929" s="1059">
        <v>206153</v>
      </c>
      <c r="AF2929" s="889" t="s">
        <v>459</v>
      </c>
      <c r="AG2929" s="889" t="s">
        <v>459</v>
      </c>
    </row>
    <row r="2930" spans="26:33" x14ac:dyDescent="0.35">
      <c r="Z2930" s="344">
        <v>7150</v>
      </c>
      <c r="AA2930" s="344" t="s">
        <v>594</v>
      </c>
      <c r="AB2930" s="344">
        <v>4</v>
      </c>
      <c r="AC2930" s="344" t="s">
        <v>471</v>
      </c>
      <c r="AD2930" s="1058" t="s">
        <v>597</v>
      </c>
      <c r="AE2930" s="1059">
        <v>342447</v>
      </c>
      <c r="AF2930" s="889" t="s">
        <v>459</v>
      </c>
      <c r="AG2930" s="889" t="s">
        <v>459</v>
      </c>
    </row>
    <row r="2931" spans="26:33" x14ac:dyDescent="0.35">
      <c r="Z2931" s="344">
        <v>7151</v>
      </c>
      <c r="AA2931" s="344" t="s">
        <v>594</v>
      </c>
      <c r="AB2931" s="344">
        <v>4</v>
      </c>
      <c r="AC2931" s="344" t="e">
        <v>#N/A</v>
      </c>
      <c r="AD2931" s="1058" t="s">
        <v>597</v>
      </c>
      <c r="AE2931" s="1059" t="e">
        <v>#N/A</v>
      </c>
      <c r="AF2931" s="889" t="s">
        <v>459</v>
      </c>
      <c r="AG2931" s="889" t="s">
        <v>459</v>
      </c>
    </row>
    <row r="2932" spans="26:33" x14ac:dyDescent="0.35">
      <c r="Z2932" s="344">
        <v>7155</v>
      </c>
      <c r="AA2932" s="344" t="s">
        <v>594</v>
      </c>
      <c r="AB2932" s="344">
        <v>4</v>
      </c>
      <c r="AC2932" s="344" t="s">
        <v>471</v>
      </c>
      <c r="AD2932" s="1058" t="s">
        <v>597</v>
      </c>
      <c r="AE2932" s="1059">
        <v>447606</v>
      </c>
      <c r="AF2932" s="889" t="s">
        <v>459</v>
      </c>
      <c r="AG2932" s="889" t="s">
        <v>459</v>
      </c>
    </row>
    <row r="2933" spans="26:33" x14ac:dyDescent="0.35">
      <c r="Z2933" s="344">
        <v>7162</v>
      </c>
      <c r="AA2933" s="344" t="s">
        <v>594</v>
      </c>
      <c r="AB2933" s="344">
        <v>4</v>
      </c>
      <c r="AC2933" s="344" t="s">
        <v>471</v>
      </c>
      <c r="AD2933" s="1058" t="s">
        <v>597</v>
      </c>
      <c r="AE2933" s="1059">
        <v>425652</v>
      </c>
      <c r="AF2933" s="889" t="s">
        <v>459</v>
      </c>
      <c r="AG2933" s="889" t="s">
        <v>459</v>
      </c>
    </row>
    <row r="2934" spans="26:33" x14ac:dyDescent="0.35">
      <c r="Z2934" s="344">
        <v>7163</v>
      </c>
      <c r="AA2934" s="344" t="s">
        <v>594</v>
      </c>
      <c r="AB2934" s="344">
        <v>4</v>
      </c>
      <c r="AC2934" s="344" t="s">
        <v>471</v>
      </c>
      <c r="AD2934" s="1058" t="s">
        <v>597</v>
      </c>
      <c r="AE2934" s="1059">
        <v>343496</v>
      </c>
      <c r="AF2934" s="889" t="s">
        <v>459</v>
      </c>
      <c r="AG2934" s="889" t="s">
        <v>459</v>
      </c>
    </row>
    <row r="2935" spans="26:33" x14ac:dyDescent="0.35">
      <c r="Z2935" s="344">
        <v>7170</v>
      </c>
      <c r="AA2935" s="344" t="s">
        <v>594</v>
      </c>
      <c r="AB2935" s="344">
        <v>1</v>
      </c>
      <c r="AC2935" s="344" t="s">
        <v>457</v>
      </c>
      <c r="AD2935" s="1058" t="s">
        <v>595</v>
      </c>
      <c r="AE2935" s="1059">
        <v>495209</v>
      </c>
      <c r="AF2935" s="889" t="s">
        <v>459</v>
      </c>
      <c r="AG2935" s="889" t="s">
        <v>459</v>
      </c>
    </row>
    <row r="2936" spans="26:33" x14ac:dyDescent="0.35">
      <c r="Z2936" s="344">
        <v>7171</v>
      </c>
      <c r="AA2936" s="344" t="s">
        <v>594</v>
      </c>
      <c r="AB2936" s="344">
        <v>1</v>
      </c>
      <c r="AC2936" s="344" t="s">
        <v>471</v>
      </c>
      <c r="AD2936" s="1058" t="s">
        <v>595</v>
      </c>
      <c r="AE2936" s="1059">
        <v>315254</v>
      </c>
      <c r="AF2936" s="889" t="s">
        <v>459</v>
      </c>
      <c r="AG2936" s="889" t="s">
        <v>459</v>
      </c>
    </row>
    <row r="2937" spans="26:33" x14ac:dyDescent="0.35">
      <c r="Z2937" s="344">
        <v>7172</v>
      </c>
      <c r="AA2937" s="344" t="s">
        <v>594</v>
      </c>
      <c r="AB2937" s="344">
        <v>1</v>
      </c>
      <c r="AC2937" s="344" t="s">
        <v>471</v>
      </c>
      <c r="AD2937" s="1058" t="s">
        <v>595</v>
      </c>
      <c r="AE2937" s="1059">
        <v>360061</v>
      </c>
      <c r="AF2937" s="889" t="s">
        <v>459</v>
      </c>
      <c r="AG2937" s="889" t="s">
        <v>459</v>
      </c>
    </row>
    <row r="2938" spans="26:33" x14ac:dyDescent="0.35">
      <c r="Z2938" s="344">
        <v>7173</v>
      </c>
      <c r="AA2938" s="344" t="s">
        <v>594</v>
      </c>
      <c r="AB2938" s="344">
        <v>2</v>
      </c>
      <c r="AC2938" s="344" t="s">
        <v>471</v>
      </c>
      <c r="AD2938" s="1058" t="s">
        <v>596</v>
      </c>
      <c r="AE2938" s="1059">
        <v>301153</v>
      </c>
      <c r="AF2938" s="889" t="s">
        <v>459</v>
      </c>
      <c r="AG2938" s="889" t="s">
        <v>459</v>
      </c>
    </row>
    <row r="2939" spans="26:33" x14ac:dyDescent="0.35">
      <c r="Z2939" s="344">
        <v>7174</v>
      </c>
      <c r="AA2939" s="344" t="s">
        <v>594</v>
      </c>
      <c r="AB2939" s="344">
        <v>4</v>
      </c>
      <c r="AC2939" s="344" t="e">
        <v>#N/A</v>
      </c>
      <c r="AD2939" s="1058" t="s">
        <v>597</v>
      </c>
      <c r="AE2939" s="1059" t="e">
        <v>#N/A</v>
      </c>
      <c r="AF2939" s="889" t="s">
        <v>459</v>
      </c>
      <c r="AG2939" s="889" t="s">
        <v>459</v>
      </c>
    </row>
    <row r="2940" spans="26:33" x14ac:dyDescent="0.35">
      <c r="Z2940" s="344">
        <v>7175</v>
      </c>
      <c r="AA2940" s="344" t="s">
        <v>594</v>
      </c>
      <c r="AB2940" s="344">
        <v>4</v>
      </c>
      <c r="AC2940" s="344" t="e">
        <v>#N/A</v>
      </c>
      <c r="AD2940" s="1058" t="s">
        <v>597</v>
      </c>
      <c r="AE2940" s="1059" t="e">
        <v>#N/A</v>
      </c>
      <c r="AF2940" s="889" t="s">
        <v>459</v>
      </c>
      <c r="AG2940" s="889" t="s">
        <v>459</v>
      </c>
    </row>
    <row r="2941" spans="26:33" x14ac:dyDescent="0.35">
      <c r="Z2941" s="344">
        <v>7176</v>
      </c>
      <c r="AA2941" s="344" t="s">
        <v>594</v>
      </c>
      <c r="AB2941" s="344">
        <v>4</v>
      </c>
      <c r="AC2941" s="344" t="e">
        <v>#N/A</v>
      </c>
      <c r="AD2941" s="1058" t="s">
        <v>597</v>
      </c>
      <c r="AE2941" s="1059" t="e">
        <v>#N/A</v>
      </c>
      <c r="AF2941" s="889" t="s">
        <v>459</v>
      </c>
      <c r="AG2941" s="889" t="s">
        <v>459</v>
      </c>
    </row>
    <row r="2942" spans="26:33" x14ac:dyDescent="0.35">
      <c r="Z2942" s="344">
        <v>7177</v>
      </c>
      <c r="AA2942" s="344" t="s">
        <v>594</v>
      </c>
      <c r="AB2942" s="344">
        <v>4</v>
      </c>
      <c r="AC2942" s="344" t="s">
        <v>464</v>
      </c>
      <c r="AD2942" s="1058" t="s">
        <v>597</v>
      </c>
      <c r="AE2942" s="1059">
        <v>250664</v>
      </c>
      <c r="AF2942" s="889" t="s">
        <v>459</v>
      </c>
      <c r="AG2942" s="889" t="s">
        <v>459</v>
      </c>
    </row>
    <row r="2943" spans="26:33" x14ac:dyDescent="0.35">
      <c r="Z2943" s="344">
        <v>7178</v>
      </c>
      <c r="AA2943" s="344" t="s">
        <v>594</v>
      </c>
      <c r="AB2943" s="344">
        <v>4</v>
      </c>
      <c r="AC2943" s="344" t="s">
        <v>464</v>
      </c>
      <c r="AD2943" s="1058" t="s">
        <v>597</v>
      </c>
      <c r="AE2943" s="1059">
        <v>247858</v>
      </c>
      <c r="AF2943" s="889" t="s">
        <v>459</v>
      </c>
      <c r="AG2943" s="889" t="s">
        <v>459</v>
      </c>
    </row>
    <row r="2944" spans="26:33" x14ac:dyDescent="0.35">
      <c r="Z2944" s="344">
        <v>7179</v>
      </c>
      <c r="AA2944" s="344" t="s">
        <v>594</v>
      </c>
      <c r="AB2944" s="344">
        <v>4</v>
      </c>
      <c r="AC2944" s="344" t="s">
        <v>471</v>
      </c>
      <c r="AD2944" s="1058" t="s">
        <v>597</v>
      </c>
      <c r="AE2944" s="1059">
        <v>300943</v>
      </c>
      <c r="AF2944" s="889" t="s">
        <v>459</v>
      </c>
      <c r="AG2944" s="889" t="s">
        <v>459</v>
      </c>
    </row>
    <row r="2945" spans="26:33" x14ac:dyDescent="0.35">
      <c r="Z2945" s="344">
        <v>7180</v>
      </c>
      <c r="AA2945" s="344" t="s">
        <v>594</v>
      </c>
      <c r="AB2945" s="344">
        <v>4</v>
      </c>
      <c r="AC2945" s="344" t="s">
        <v>464</v>
      </c>
      <c r="AD2945" s="1058" t="s">
        <v>597</v>
      </c>
      <c r="AE2945" s="1059">
        <v>196762</v>
      </c>
      <c r="AF2945" s="889" t="s">
        <v>459</v>
      </c>
      <c r="AG2945" s="889" t="s">
        <v>459</v>
      </c>
    </row>
    <row r="2946" spans="26:33" x14ac:dyDescent="0.35">
      <c r="Z2946" s="344">
        <v>7182</v>
      </c>
      <c r="AA2946" s="344" t="s">
        <v>594</v>
      </c>
      <c r="AB2946" s="344">
        <v>4</v>
      </c>
      <c r="AC2946" s="344" t="s">
        <v>464</v>
      </c>
      <c r="AD2946" s="1058" t="s">
        <v>597</v>
      </c>
      <c r="AE2946" s="1059">
        <v>226977</v>
      </c>
      <c r="AF2946" s="889" t="s">
        <v>459</v>
      </c>
      <c r="AG2946" s="889" t="s">
        <v>459</v>
      </c>
    </row>
    <row r="2947" spans="26:33" x14ac:dyDescent="0.35">
      <c r="Z2947" s="344">
        <v>7183</v>
      </c>
      <c r="AA2947" s="344" t="s">
        <v>594</v>
      </c>
      <c r="AB2947" s="344">
        <v>4</v>
      </c>
      <c r="AC2947" s="344" t="e">
        <v>#N/A</v>
      </c>
      <c r="AD2947" s="1058" t="s">
        <v>597</v>
      </c>
      <c r="AE2947" s="1059" t="e">
        <v>#N/A</v>
      </c>
      <c r="AF2947" s="889" t="s">
        <v>459</v>
      </c>
      <c r="AG2947" s="889" t="s">
        <v>459</v>
      </c>
    </row>
    <row r="2948" spans="26:33" x14ac:dyDescent="0.35">
      <c r="Z2948" s="344">
        <v>7184</v>
      </c>
      <c r="AA2948" s="344" t="s">
        <v>594</v>
      </c>
      <c r="AB2948" s="344">
        <v>4</v>
      </c>
      <c r="AC2948" s="344" t="s">
        <v>464</v>
      </c>
      <c r="AD2948" s="1058" t="s">
        <v>597</v>
      </c>
      <c r="AE2948" s="1059">
        <v>226451</v>
      </c>
      <c r="AF2948" s="889" t="s">
        <v>459</v>
      </c>
      <c r="AG2948" s="889" t="s">
        <v>459</v>
      </c>
    </row>
    <row r="2949" spans="26:33" x14ac:dyDescent="0.35">
      <c r="Z2949" s="344">
        <v>7185</v>
      </c>
      <c r="AA2949" s="344" t="s">
        <v>594</v>
      </c>
      <c r="AB2949" s="344">
        <v>4</v>
      </c>
      <c r="AC2949" s="344" t="e">
        <v>#N/A</v>
      </c>
      <c r="AD2949" s="1058" t="s">
        <v>597</v>
      </c>
      <c r="AE2949" s="1059" t="e">
        <v>#N/A</v>
      </c>
      <c r="AF2949" s="889" t="s">
        <v>459</v>
      </c>
      <c r="AG2949" s="889" t="s">
        <v>459</v>
      </c>
    </row>
    <row r="2950" spans="26:33" x14ac:dyDescent="0.35">
      <c r="Z2950" s="344">
        <v>7186</v>
      </c>
      <c r="AA2950" s="344" t="s">
        <v>594</v>
      </c>
      <c r="AB2950" s="344">
        <v>4</v>
      </c>
      <c r="AC2950" s="344" t="s">
        <v>464</v>
      </c>
      <c r="AD2950" s="1058" t="s">
        <v>597</v>
      </c>
      <c r="AE2950" s="1059">
        <v>229124</v>
      </c>
      <c r="AF2950" s="889" t="s">
        <v>459</v>
      </c>
      <c r="AG2950" s="889" t="s">
        <v>459</v>
      </c>
    </row>
    <row r="2951" spans="26:33" x14ac:dyDescent="0.35">
      <c r="Z2951" s="344">
        <v>7187</v>
      </c>
      <c r="AA2951" s="344" t="s">
        <v>594</v>
      </c>
      <c r="AB2951" s="344">
        <v>4</v>
      </c>
      <c r="AC2951" s="344" t="e">
        <v>#N/A</v>
      </c>
      <c r="AD2951" s="1058" t="s">
        <v>597</v>
      </c>
      <c r="AE2951" s="1059" t="e">
        <v>#N/A</v>
      </c>
      <c r="AF2951" s="889" t="s">
        <v>459</v>
      </c>
      <c r="AG2951" s="889" t="s">
        <v>459</v>
      </c>
    </row>
    <row r="2952" spans="26:33" x14ac:dyDescent="0.35">
      <c r="Z2952" s="344">
        <v>7190</v>
      </c>
      <c r="AA2952" s="344" t="s">
        <v>594</v>
      </c>
      <c r="AB2952" s="344">
        <v>4</v>
      </c>
      <c r="AC2952" s="344" t="s">
        <v>471</v>
      </c>
      <c r="AD2952" s="1058" t="s">
        <v>597</v>
      </c>
      <c r="AE2952" s="1059">
        <v>328109</v>
      </c>
      <c r="AF2952" s="889" t="s">
        <v>459</v>
      </c>
      <c r="AG2952" s="889" t="s">
        <v>459</v>
      </c>
    </row>
    <row r="2953" spans="26:33" x14ac:dyDescent="0.35">
      <c r="Z2953" s="344">
        <v>7209</v>
      </c>
      <c r="AA2953" s="344" t="s">
        <v>594</v>
      </c>
      <c r="AB2953" s="344">
        <v>4</v>
      </c>
      <c r="AC2953" s="344" t="s">
        <v>464</v>
      </c>
      <c r="AD2953" s="1058" t="s">
        <v>597</v>
      </c>
      <c r="AE2953" s="1059">
        <v>238941</v>
      </c>
      <c r="AF2953" s="889" t="s">
        <v>459</v>
      </c>
      <c r="AG2953" s="889" t="s">
        <v>459</v>
      </c>
    </row>
    <row r="2954" spans="26:33" x14ac:dyDescent="0.35">
      <c r="Z2954" s="344">
        <v>7210</v>
      </c>
      <c r="AA2954" s="344" t="s">
        <v>594</v>
      </c>
      <c r="AB2954" s="344">
        <v>4</v>
      </c>
      <c r="AC2954" s="344" t="s">
        <v>464</v>
      </c>
      <c r="AD2954" s="1058" t="s">
        <v>597</v>
      </c>
      <c r="AE2954" s="1059">
        <v>193409</v>
      </c>
      <c r="AF2954" s="889" t="s">
        <v>459</v>
      </c>
      <c r="AG2954" s="889" t="s">
        <v>459</v>
      </c>
    </row>
    <row r="2955" spans="26:33" x14ac:dyDescent="0.35">
      <c r="Z2955" s="344">
        <v>7211</v>
      </c>
      <c r="AA2955" s="344" t="s">
        <v>594</v>
      </c>
      <c r="AB2955" s="344">
        <v>4</v>
      </c>
      <c r="AC2955" s="344" t="e">
        <v>#N/A</v>
      </c>
      <c r="AD2955" s="1058" t="s">
        <v>597</v>
      </c>
      <c r="AE2955" s="1059" t="e">
        <v>#N/A</v>
      </c>
      <c r="AF2955" s="889" t="s">
        <v>459</v>
      </c>
      <c r="AG2955" s="889" t="s">
        <v>459</v>
      </c>
    </row>
    <row r="2956" spans="26:33" x14ac:dyDescent="0.35">
      <c r="Z2956" s="344">
        <v>7212</v>
      </c>
      <c r="AA2956" s="344" t="s">
        <v>594</v>
      </c>
      <c r="AB2956" s="344">
        <v>4</v>
      </c>
      <c r="AC2956" s="344" t="s">
        <v>464</v>
      </c>
      <c r="AD2956" s="1058" t="s">
        <v>597</v>
      </c>
      <c r="AE2956" s="1059">
        <v>277560</v>
      </c>
      <c r="AF2956" s="889" t="s">
        <v>459</v>
      </c>
      <c r="AG2956" s="889" t="s">
        <v>459</v>
      </c>
    </row>
    <row r="2957" spans="26:33" x14ac:dyDescent="0.35">
      <c r="Z2957" s="344">
        <v>7213</v>
      </c>
      <c r="AA2957" s="344" t="s">
        <v>594</v>
      </c>
      <c r="AB2957" s="344">
        <v>4</v>
      </c>
      <c r="AC2957" s="344" t="s">
        <v>464</v>
      </c>
      <c r="AD2957" s="1058" t="s">
        <v>597</v>
      </c>
      <c r="AE2957" s="1059">
        <v>149716</v>
      </c>
      <c r="AF2957" s="889" t="s">
        <v>459</v>
      </c>
      <c r="AG2957" s="889" t="s">
        <v>459</v>
      </c>
    </row>
    <row r="2958" spans="26:33" x14ac:dyDescent="0.35">
      <c r="Z2958" s="344">
        <v>7214</v>
      </c>
      <c r="AA2958" s="344" t="s">
        <v>594</v>
      </c>
      <c r="AB2958" s="344">
        <v>4</v>
      </c>
      <c r="AC2958" s="344" t="s">
        <v>464</v>
      </c>
      <c r="AD2958" s="1058" t="s">
        <v>597</v>
      </c>
      <c r="AE2958" s="1059">
        <v>126364</v>
      </c>
      <c r="AF2958" s="889" t="s">
        <v>459</v>
      </c>
      <c r="AG2958" s="889" t="s">
        <v>459</v>
      </c>
    </row>
    <row r="2959" spans="26:33" x14ac:dyDescent="0.35">
      <c r="Z2959" s="344">
        <v>7215</v>
      </c>
      <c r="AA2959" s="344" t="s">
        <v>594</v>
      </c>
      <c r="AB2959" s="344">
        <v>4</v>
      </c>
      <c r="AC2959" s="344" t="s">
        <v>464</v>
      </c>
      <c r="AD2959" s="1058" t="s">
        <v>597</v>
      </c>
      <c r="AE2959" s="1059">
        <v>270580</v>
      </c>
      <c r="AF2959" s="889" t="s">
        <v>459</v>
      </c>
      <c r="AG2959" s="889" t="s">
        <v>459</v>
      </c>
    </row>
    <row r="2960" spans="26:33" x14ac:dyDescent="0.35">
      <c r="Z2960" s="344">
        <v>7216</v>
      </c>
      <c r="AA2960" s="344" t="s">
        <v>594</v>
      </c>
      <c r="AB2960" s="344">
        <v>4</v>
      </c>
      <c r="AC2960" s="344" t="s">
        <v>464</v>
      </c>
      <c r="AD2960" s="1058" t="s">
        <v>597</v>
      </c>
      <c r="AE2960" s="1059">
        <v>295573</v>
      </c>
      <c r="AF2960" s="889" t="s">
        <v>459</v>
      </c>
      <c r="AG2960" s="889" t="s">
        <v>459</v>
      </c>
    </row>
    <row r="2961" spans="26:33" x14ac:dyDescent="0.35">
      <c r="Z2961" s="344">
        <v>7248</v>
      </c>
      <c r="AA2961" s="344" t="s">
        <v>594</v>
      </c>
      <c r="AB2961" s="344">
        <v>1</v>
      </c>
      <c r="AC2961" s="344" t="s">
        <v>464</v>
      </c>
      <c r="AD2961" s="1058" t="s">
        <v>595</v>
      </c>
      <c r="AE2961" s="1059">
        <v>195042</v>
      </c>
      <c r="AF2961" s="889" t="s">
        <v>459</v>
      </c>
      <c r="AG2961" s="889" t="s">
        <v>459</v>
      </c>
    </row>
    <row r="2962" spans="26:33" x14ac:dyDescent="0.35">
      <c r="Z2962" s="344">
        <v>7249</v>
      </c>
      <c r="AA2962" s="344" t="s">
        <v>594</v>
      </c>
      <c r="AB2962" s="344">
        <v>1</v>
      </c>
      <c r="AC2962" s="344" t="s">
        <v>464</v>
      </c>
      <c r="AD2962" s="1058" t="s">
        <v>595</v>
      </c>
      <c r="AE2962" s="1059">
        <v>247878</v>
      </c>
      <c r="AF2962" s="889" t="s">
        <v>459</v>
      </c>
      <c r="AG2962" s="889" t="s">
        <v>459</v>
      </c>
    </row>
    <row r="2963" spans="26:33" x14ac:dyDescent="0.35">
      <c r="Z2963" s="344">
        <v>7250</v>
      </c>
      <c r="AA2963" s="344" t="s">
        <v>594</v>
      </c>
      <c r="AB2963" s="344">
        <v>1</v>
      </c>
      <c r="AC2963" s="344" t="s">
        <v>471</v>
      </c>
      <c r="AD2963" s="1058" t="s">
        <v>595</v>
      </c>
      <c r="AE2963" s="1059">
        <v>301050</v>
      </c>
      <c r="AF2963" s="889" t="s">
        <v>459</v>
      </c>
      <c r="AG2963" s="889" t="s">
        <v>459</v>
      </c>
    </row>
    <row r="2964" spans="26:33" x14ac:dyDescent="0.35">
      <c r="Z2964" s="344">
        <v>7252</v>
      </c>
      <c r="AA2964" s="344" t="s">
        <v>594</v>
      </c>
      <c r="AB2964" s="344">
        <v>4</v>
      </c>
      <c r="AC2964" s="344" t="s">
        <v>471</v>
      </c>
      <c r="AD2964" s="1058" t="s">
        <v>597</v>
      </c>
      <c r="AE2964" s="1059">
        <v>326806</v>
      </c>
      <c r="AF2964" s="889" t="s">
        <v>459</v>
      </c>
      <c r="AG2964" s="889" t="s">
        <v>459</v>
      </c>
    </row>
    <row r="2965" spans="26:33" x14ac:dyDescent="0.35">
      <c r="Z2965" s="344">
        <v>7253</v>
      </c>
      <c r="AA2965" s="344" t="s">
        <v>594</v>
      </c>
      <c r="AB2965" s="344">
        <v>4</v>
      </c>
      <c r="AC2965" s="344" t="s">
        <v>464</v>
      </c>
      <c r="AD2965" s="1058" t="s">
        <v>597</v>
      </c>
      <c r="AE2965" s="1059">
        <v>245494</v>
      </c>
      <c r="AF2965" s="889" t="s">
        <v>460</v>
      </c>
      <c r="AG2965" s="889" t="s">
        <v>459</v>
      </c>
    </row>
    <row r="2966" spans="26:33" x14ac:dyDescent="0.35">
      <c r="Z2966" s="344">
        <v>7254</v>
      </c>
      <c r="AA2966" s="344" t="s">
        <v>594</v>
      </c>
      <c r="AB2966" s="344">
        <v>4</v>
      </c>
      <c r="AC2966" s="344" t="s">
        <v>464</v>
      </c>
      <c r="AD2966" s="1058" t="s">
        <v>597</v>
      </c>
      <c r="AE2966" s="1059">
        <v>157724</v>
      </c>
      <c r="AF2966" s="889" t="s">
        <v>459</v>
      </c>
      <c r="AG2966" s="889" t="s">
        <v>459</v>
      </c>
    </row>
    <row r="2967" spans="26:33" x14ac:dyDescent="0.35">
      <c r="Z2967" s="344">
        <v>7255</v>
      </c>
      <c r="AA2967" s="344" t="s">
        <v>594</v>
      </c>
      <c r="AB2967" s="344">
        <v>4</v>
      </c>
      <c r="AC2967" s="344" t="s">
        <v>464</v>
      </c>
      <c r="AD2967" s="1058" t="s">
        <v>597</v>
      </c>
      <c r="AE2967" s="1059">
        <v>205962</v>
      </c>
      <c r="AF2967" s="889" t="s">
        <v>459</v>
      </c>
      <c r="AG2967" s="889" t="s">
        <v>459</v>
      </c>
    </row>
    <row r="2968" spans="26:33" x14ac:dyDescent="0.35">
      <c r="Z2968" s="344">
        <v>7256</v>
      </c>
      <c r="AA2968" s="344" t="s">
        <v>594</v>
      </c>
      <c r="AB2968" s="344">
        <v>4</v>
      </c>
      <c r="AC2968" s="344" t="s">
        <v>464</v>
      </c>
      <c r="AD2968" s="1058" t="s">
        <v>597</v>
      </c>
      <c r="AE2968" s="1059">
        <v>205663</v>
      </c>
      <c r="AF2968" s="889" t="s">
        <v>459</v>
      </c>
      <c r="AG2968" s="889" t="s">
        <v>459</v>
      </c>
    </row>
    <row r="2969" spans="26:33" x14ac:dyDescent="0.35">
      <c r="Z2969" s="344">
        <v>7257</v>
      </c>
      <c r="AA2969" s="344" t="s">
        <v>594</v>
      </c>
      <c r="AB2969" s="344">
        <v>4</v>
      </c>
      <c r="AC2969" s="344" t="e">
        <v>#N/A</v>
      </c>
      <c r="AD2969" s="1058" t="s">
        <v>597</v>
      </c>
      <c r="AE2969" s="1059" t="e">
        <v>#N/A</v>
      </c>
      <c r="AF2969" s="889" t="s">
        <v>459</v>
      </c>
      <c r="AG2969" s="889" t="s">
        <v>459</v>
      </c>
    </row>
    <row r="2970" spans="26:33" x14ac:dyDescent="0.35">
      <c r="Z2970" s="344">
        <v>7258</v>
      </c>
      <c r="AA2970" s="344" t="s">
        <v>594</v>
      </c>
      <c r="AB2970" s="344">
        <v>1</v>
      </c>
      <c r="AC2970" s="344" t="s">
        <v>457</v>
      </c>
      <c r="AD2970" s="1058" t="s">
        <v>595</v>
      </c>
      <c r="AE2970" s="1059">
        <v>674389</v>
      </c>
      <c r="AF2970" s="889" t="s">
        <v>459</v>
      </c>
      <c r="AG2970" s="889" t="s">
        <v>459</v>
      </c>
    </row>
    <row r="2971" spans="26:33" x14ac:dyDescent="0.35">
      <c r="Z2971" s="344">
        <v>7259</v>
      </c>
      <c r="AA2971" s="344" t="s">
        <v>594</v>
      </c>
      <c r="AB2971" s="344">
        <v>4</v>
      </c>
      <c r="AC2971" s="344" t="e">
        <v>#N/A</v>
      </c>
      <c r="AD2971" s="1058" t="s">
        <v>597</v>
      </c>
      <c r="AE2971" s="1059" t="e">
        <v>#N/A</v>
      </c>
      <c r="AF2971" s="889" t="s">
        <v>459</v>
      </c>
      <c r="AG2971" s="889" t="s">
        <v>459</v>
      </c>
    </row>
    <row r="2972" spans="26:33" x14ac:dyDescent="0.35">
      <c r="Z2972" s="344">
        <v>7260</v>
      </c>
      <c r="AA2972" s="344" t="s">
        <v>594</v>
      </c>
      <c r="AB2972" s="344">
        <v>4</v>
      </c>
      <c r="AC2972" s="344" t="s">
        <v>464</v>
      </c>
      <c r="AD2972" s="1058" t="s">
        <v>597</v>
      </c>
      <c r="AE2972" s="1059">
        <v>196910</v>
      </c>
      <c r="AF2972" s="889" t="s">
        <v>459</v>
      </c>
      <c r="AG2972" s="889" t="s">
        <v>459</v>
      </c>
    </row>
    <row r="2973" spans="26:33" x14ac:dyDescent="0.35">
      <c r="Z2973" s="344">
        <v>7261</v>
      </c>
      <c r="AA2973" s="344" t="s">
        <v>594</v>
      </c>
      <c r="AB2973" s="344">
        <v>4</v>
      </c>
      <c r="AC2973" s="344" t="s">
        <v>464</v>
      </c>
      <c r="AD2973" s="1058" t="s">
        <v>597</v>
      </c>
      <c r="AE2973" s="1059">
        <v>162014</v>
      </c>
      <c r="AF2973" s="889" t="s">
        <v>459</v>
      </c>
      <c r="AG2973" s="889" t="s">
        <v>459</v>
      </c>
    </row>
    <row r="2974" spans="26:33" x14ac:dyDescent="0.35">
      <c r="Z2974" s="344">
        <v>7262</v>
      </c>
      <c r="AA2974" s="344" t="s">
        <v>594</v>
      </c>
      <c r="AB2974" s="344">
        <v>4</v>
      </c>
      <c r="AC2974" s="344" t="s">
        <v>464</v>
      </c>
      <c r="AD2974" s="1058" t="s">
        <v>597</v>
      </c>
      <c r="AE2974" s="1059">
        <v>269008</v>
      </c>
      <c r="AF2974" s="889" t="s">
        <v>459</v>
      </c>
      <c r="AG2974" s="889" t="s">
        <v>459</v>
      </c>
    </row>
    <row r="2975" spans="26:33" x14ac:dyDescent="0.35">
      <c r="Z2975" s="344">
        <v>7263</v>
      </c>
      <c r="AA2975" s="344" t="s">
        <v>594</v>
      </c>
      <c r="AB2975" s="344">
        <v>4</v>
      </c>
      <c r="AC2975" s="344" t="s">
        <v>464</v>
      </c>
      <c r="AD2975" s="1058" t="s">
        <v>597</v>
      </c>
      <c r="AE2975" s="1059">
        <v>138325</v>
      </c>
      <c r="AF2975" s="889" t="s">
        <v>459</v>
      </c>
      <c r="AG2975" s="889" t="s">
        <v>459</v>
      </c>
    </row>
    <row r="2976" spans="26:33" x14ac:dyDescent="0.35">
      <c r="Z2976" s="344">
        <v>7264</v>
      </c>
      <c r="AA2976" s="344" t="s">
        <v>594</v>
      </c>
      <c r="AB2976" s="344">
        <v>4</v>
      </c>
      <c r="AC2976" s="344" t="s">
        <v>464</v>
      </c>
      <c r="AD2976" s="1058" t="s">
        <v>597</v>
      </c>
      <c r="AE2976" s="1059">
        <v>159269</v>
      </c>
      <c r="AF2976" s="889" t="s">
        <v>459</v>
      </c>
      <c r="AG2976" s="889" t="s">
        <v>459</v>
      </c>
    </row>
    <row r="2977" spans="26:33" x14ac:dyDescent="0.35">
      <c r="Z2977" s="344">
        <v>7265</v>
      </c>
      <c r="AA2977" s="344" t="s">
        <v>594</v>
      </c>
      <c r="AB2977" s="344">
        <v>4</v>
      </c>
      <c r="AC2977" s="344" t="s">
        <v>464</v>
      </c>
      <c r="AD2977" s="1058" t="s">
        <v>597</v>
      </c>
      <c r="AE2977" s="1059">
        <v>124135</v>
      </c>
      <c r="AF2977" s="889" t="s">
        <v>459</v>
      </c>
      <c r="AG2977" s="889" t="s">
        <v>459</v>
      </c>
    </row>
    <row r="2978" spans="26:33" x14ac:dyDescent="0.35">
      <c r="Z2978" s="344">
        <v>7267</v>
      </c>
      <c r="AA2978" s="344" t="s">
        <v>594</v>
      </c>
      <c r="AB2978" s="344">
        <v>4</v>
      </c>
      <c r="AC2978" s="344" t="e">
        <v>#N/A</v>
      </c>
      <c r="AD2978" s="1058" t="s">
        <v>597</v>
      </c>
      <c r="AE2978" s="1059" t="e">
        <v>#N/A</v>
      </c>
      <c r="AF2978" s="889" t="s">
        <v>459</v>
      </c>
      <c r="AG2978" s="889" t="s">
        <v>459</v>
      </c>
    </row>
    <row r="2979" spans="26:33" x14ac:dyDescent="0.35">
      <c r="Z2979" s="344">
        <v>7268</v>
      </c>
      <c r="AA2979" s="344" t="s">
        <v>594</v>
      </c>
      <c r="AB2979" s="344">
        <v>4</v>
      </c>
      <c r="AC2979" s="344" t="s">
        <v>471</v>
      </c>
      <c r="AD2979" s="1058" t="s">
        <v>597</v>
      </c>
      <c r="AE2979" s="1059">
        <v>309383</v>
      </c>
      <c r="AF2979" s="889" t="s">
        <v>459</v>
      </c>
      <c r="AG2979" s="889" t="s">
        <v>459</v>
      </c>
    </row>
    <row r="2980" spans="26:33" x14ac:dyDescent="0.35">
      <c r="Z2980" s="344">
        <v>7270</v>
      </c>
      <c r="AA2980" s="344" t="s">
        <v>594</v>
      </c>
      <c r="AB2980" s="344">
        <v>4</v>
      </c>
      <c r="AC2980" s="344" t="s">
        <v>464</v>
      </c>
      <c r="AD2980" s="1058" t="s">
        <v>597</v>
      </c>
      <c r="AE2980" s="1059">
        <v>258581</v>
      </c>
      <c r="AF2980" s="889" t="s">
        <v>459</v>
      </c>
      <c r="AG2980" s="889" t="s">
        <v>459</v>
      </c>
    </row>
    <row r="2981" spans="26:33" x14ac:dyDescent="0.35">
      <c r="Z2981" s="344">
        <v>7275</v>
      </c>
      <c r="AA2981" s="344" t="s">
        <v>594</v>
      </c>
      <c r="AB2981" s="344">
        <v>4</v>
      </c>
      <c r="AC2981" s="344" t="s">
        <v>471</v>
      </c>
      <c r="AD2981" s="1058" t="s">
        <v>597</v>
      </c>
      <c r="AE2981" s="1059">
        <v>314524</v>
      </c>
      <c r="AF2981" s="889" t="s">
        <v>459</v>
      </c>
      <c r="AG2981" s="889" t="s">
        <v>459</v>
      </c>
    </row>
    <row r="2982" spans="26:33" x14ac:dyDescent="0.35">
      <c r="Z2982" s="344">
        <v>7276</v>
      </c>
      <c r="AA2982" s="344" t="s">
        <v>594</v>
      </c>
      <c r="AB2982" s="344">
        <v>4</v>
      </c>
      <c r="AC2982" s="344" t="s">
        <v>464</v>
      </c>
      <c r="AD2982" s="1058" t="s">
        <v>597</v>
      </c>
      <c r="AE2982" s="1059">
        <v>253639</v>
      </c>
      <c r="AF2982" s="889" t="s">
        <v>459</v>
      </c>
      <c r="AG2982" s="889" t="s">
        <v>459</v>
      </c>
    </row>
    <row r="2983" spans="26:33" x14ac:dyDescent="0.35">
      <c r="Z2983" s="344">
        <v>7277</v>
      </c>
      <c r="AA2983" s="344" t="s">
        <v>594</v>
      </c>
      <c r="AB2983" s="344">
        <v>2</v>
      </c>
      <c r="AC2983" s="344" t="s">
        <v>471</v>
      </c>
      <c r="AD2983" s="1058" t="s">
        <v>596</v>
      </c>
      <c r="AE2983" s="1059">
        <v>392626</v>
      </c>
      <c r="AF2983" s="889" t="s">
        <v>459</v>
      </c>
      <c r="AG2983" s="889" t="s">
        <v>459</v>
      </c>
    </row>
    <row r="2984" spans="26:33" x14ac:dyDescent="0.35">
      <c r="Z2984" s="344">
        <v>7290</v>
      </c>
      <c r="AA2984" s="344" t="s">
        <v>594</v>
      </c>
      <c r="AB2984" s="344">
        <v>1</v>
      </c>
      <c r="AC2984" s="344" t="s">
        <v>464</v>
      </c>
      <c r="AD2984" s="1058" t="s">
        <v>595</v>
      </c>
      <c r="AE2984" s="1059">
        <v>266694</v>
      </c>
      <c r="AF2984" s="889" t="s">
        <v>459</v>
      </c>
      <c r="AG2984" s="889" t="s">
        <v>459</v>
      </c>
    </row>
    <row r="2985" spans="26:33" x14ac:dyDescent="0.35">
      <c r="Z2985" s="344">
        <v>7291</v>
      </c>
      <c r="AA2985" s="344" t="s">
        <v>594</v>
      </c>
      <c r="AB2985" s="344">
        <v>3</v>
      </c>
      <c r="AC2985" s="344" t="s">
        <v>464</v>
      </c>
      <c r="AD2985" s="1058" t="s">
        <v>598</v>
      </c>
      <c r="AE2985" s="1059">
        <v>289883</v>
      </c>
      <c r="AF2985" s="889" t="s">
        <v>459</v>
      </c>
      <c r="AG2985" s="889" t="s">
        <v>459</v>
      </c>
    </row>
    <row r="2986" spans="26:33" x14ac:dyDescent="0.35">
      <c r="Z2986" s="344">
        <v>7292</v>
      </c>
      <c r="AA2986" s="344" t="s">
        <v>594</v>
      </c>
      <c r="AB2986" s="344">
        <v>4</v>
      </c>
      <c r="AC2986" s="344" t="s">
        <v>471</v>
      </c>
      <c r="AD2986" s="1058" t="s">
        <v>597</v>
      </c>
      <c r="AE2986" s="1059">
        <v>333977</v>
      </c>
      <c r="AF2986" s="889" t="s">
        <v>459</v>
      </c>
      <c r="AG2986" s="889" t="s">
        <v>459</v>
      </c>
    </row>
    <row r="2987" spans="26:33" x14ac:dyDescent="0.35">
      <c r="Z2987" s="344">
        <v>7300</v>
      </c>
      <c r="AA2987" s="344" t="s">
        <v>594</v>
      </c>
      <c r="AB2987" s="344">
        <v>1</v>
      </c>
      <c r="AC2987" s="344" t="s">
        <v>471</v>
      </c>
      <c r="AD2987" s="1058" t="s">
        <v>595</v>
      </c>
      <c r="AE2987" s="1059">
        <v>375563</v>
      </c>
      <c r="AF2987" s="889" t="s">
        <v>459</v>
      </c>
      <c r="AG2987" s="889" t="s">
        <v>459</v>
      </c>
    </row>
    <row r="2988" spans="26:33" x14ac:dyDescent="0.35">
      <c r="Z2988" s="344">
        <v>7301</v>
      </c>
      <c r="AA2988" s="344" t="s">
        <v>594</v>
      </c>
      <c r="AB2988" s="344">
        <v>3</v>
      </c>
      <c r="AC2988" s="344" t="s">
        <v>464</v>
      </c>
      <c r="AD2988" s="1058" t="s">
        <v>598</v>
      </c>
      <c r="AE2988" s="1059">
        <v>251791</v>
      </c>
      <c r="AF2988" s="889" t="s">
        <v>459</v>
      </c>
      <c r="AG2988" s="889" t="s">
        <v>459</v>
      </c>
    </row>
    <row r="2989" spans="26:33" x14ac:dyDescent="0.35">
      <c r="Z2989" s="344">
        <v>7302</v>
      </c>
      <c r="AA2989" s="344" t="s">
        <v>594</v>
      </c>
      <c r="AB2989" s="344">
        <v>4</v>
      </c>
      <c r="AC2989" s="344" t="s">
        <v>464</v>
      </c>
      <c r="AD2989" s="1058" t="s">
        <v>597</v>
      </c>
      <c r="AE2989" s="1059">
        <v>223060</v>
      </c>
      <c r="AF2989" s="889" t="s">
        <v>459</v>
      </c>
      <c r="AG2989" s="889" t="s">
        <v>459</v>
      </c>
    </row>
    <row r="2990" spans="26:33" x14ac:dyDescent="0.35">
      <c r="Z2990" s="344">
        <v>7303</v>
      </c>
      <c r="AA2990" s="344" t="s">
        <v>594</v>
      </c>
      <c r="AB2990" s="344">
        <v>4</v>
      </c>
      <c r="AC2990" s="344" t="s">
        <v>464</v>
      </c>
      <c r="AD2990" s="1058" t="s">
        <v>597</v>
      </c>
      <c r="AE2990" s="1059">
        <v>259751</v>
      </c>
      <c r="AF2990" s="889" t="s">
        <v>459</v>
      </c>
      <c r="AG2990" s="889" t="s">
        <v>459</v>
      </c>
    </row>
    <row r="2991" spans="26:33" x14ac:dyDescent="0.35">
      <c r="Z2991" s="344">
        <v>7304</v>
      </c>
      <c r="AA2991" s="344" t="s">
        <v>594</v>
      </c>
      <c r="AB2991" s="344">
        <v>4</v>
      </c>
      <c r="AC2991" s="344" t="s">
        <v>464</v>
      </c>
      <c r="AD2991" s="1058" t="s">
        <v>597</v>
      </c>
      <c r="AE2991" s="1059">
        <v>206852</v>
      </c>
      <c r="AF2991" s="889" t="s">
        <v>459</v>
      </c>
      <c r="AG2991" s="889" t="s">
        <v>459</v>
      </c>
    </row>
    <row r="2992" spans="26:33" x14ac:dyDescent="0.35">
      <c r="Z2992" s="344">
        <v>7305</v>
      </c>
      <c r="AA2992" s="344" t="s">
        <v>594</v>
      </c>
      <c r="AB2992" s="344">
        <v>4</v>
      </c>
      <c r="AC2992" s="344" t="s">
        <v>464</v>
      </c>
      <c r="AD2992" s="1058" t="s">
        <v>597</v>
      </c>
      <c r="AE2992" s="1059">
        <v>177252</v>
      </c>
      <c r="AF2992" s="889" t="s">
        <v>459</v>
      </c>
      <c r="AG2992" s="889" t="s">
        <v>459</v>
      </c>
    </row>
    <row r="2993" spans="26:33" x14ac:dyDescent="0.35">
      <c r="Z2993" s="344">
        <v>7306</v>
      </c>
      <c r="AA2993" s="344" t="s">
        <v>594</v>
      </c>
      <c r="AB2993" s="344">
        <v>4</v>
      </c>
      <c r="AC2993" s="344" t="s">
        <v>471</v>
      </c>
      <c r="AD2993" s="1058" t="s">
        <v>597</v>
      </c>
      <c r="AE2993" s="1059">
        <v>328924</v>
      </c>
      <c r="AF2993" s="889" t="s">
        <v>459</v>
      </c>
      <c r="AG2993" s="889" t="s">
        <v>459</v>
      </c>
    </row>
    <row r="2994" spans="26:33" x14ac:dyDescent="0.35">
      <c r="Z2994" s="344">
        <v>7307</v>
      </c>
      <c r="AA2994" s="344" t="s">
        <v>594</v>
      </c>
      <c r="AB2994" s="344">
        <v>2</v>
      </c>
      <c r="AC2994" s="344" t="s">
        <v>471</v>
      </c>
      <c r="AD2994" s="1058" t="s">
        <v>596</v>
      </c>
      <c r="AE2994" s="1059">
        <v>318478</v>
      </c>
      <c r="AF2994" s="889" t="s">
        <v>459</v>
      </c>
      <c r="AG2994" s="889" t="s">
        <v>459</v>
      </c>
    </row>
    <row r="2995" spans="26:33" x14ac:dyDescent="0.35">
      <c r="Z2995" s="344">
        <v>7310</v>
      </c>
      <c r="AA2995" s="344" t="s">
        <v>594</v>
      </c>
      <c r="AB2995" s="344">
        <v>2</v>
      </c>
      <c r="AC2995" s="344" t="s">
        <v>471</v>
      </c>
      <c r="AD2995" s="1058" t="s">
        <v>596</v>
      </c>
      <c r="AE2995" s="1059">
        <v>304356</v>
      </c>
      <c r="AF2995" s="889" t="s">
        <v>459</v>
      </c>
      <c r="AG2995" s="889" t="s">
        <v>459</v>
      </c>
    </row>
    <row r="2996" spans="26:33" x14ac:dyDescent="0.35">
      <c r="Z2996" s="344">
        <v>7315</v>
      </c>
      <c r="AA2996" s="344" t="s">
        <v>594</v>
      </c>
      <c r="AB2996" s="344">
        <v>3</v>
      </c>
      <c r="AC2996" s="344" t="s">
        <v>471</v>
      </c>
      <c r="AD2996" s="1058" t="s">
        <v>598</v>
      </c>
      <c r="AE2996" s="1059">
        <v>322012</v>
      </c>
      <c r="AF2996" s="889" t="s">
        <v>459</v>
      </c>
      <c r="AG2996" s="889" t="s">
        <v>459</v>
      </c>
    </row>
    <row r="2997" spans="26:33" x14ac:dyDescent="0.35">
      <c r="Z2997" s="344">
        <v>7316</v>
      </c>
      <c r="AA2997" s="344" t="s">
        <v>594</v>
      </c>
      <c r="AB2997" s="344">
        <v>3</v>
      </c>
      <c r="AC2997" s="344" t="s">
        <v>464</v>
      </c>
      <c r="AD2997" s="1058" t="s">
        <v>598</v>
      </c>
      <c r="AE2997" s="1059">
        <v>254332</v>
      </c>
      <c r="AF2997" s="889" t="s">
        <v>459</v>
      </c>
      <c r="AG2997" s="889" t="s">
        <v>459</v>
      </c>
    </row>
    <row r="2998" spans="26:33" x14ac:dyDescent="0.35">
      <c r="Z2998" s="344">
        <v>7320</v>
      </c>
      <c r="AA2998" s="344" t="s">
        <v>594</v>
      </c>
      <c r="AB2998" s="344">
        <v>3</v>
      </c>
      <c r="AC2998" s="344" t="s">
        <v>464</v>
      </c>
      <c r="AD2998" s="1058" t="s">
        <v>598</v>
      </c>
      <c r="AE2998" s="1059">
        <v>212765</v>
      </c>
      <c r="AF2998" s="889" t="s">
        <v>459</v>
      </c>
      <c r="AG2998" s="889" t="s">
        <v>459</v>
      </c>
    </row>
    <row r="2999" spans="26:33" x14ac:dyDescent="0.35">
      <c r="Z2999" s="344">
        <v>7321</v>
      </c>
      <c r="AA2999" s="344" t="s">
        <v>594</v>
      </c>
      <c r="AB2999" s="344">
        <v>4</v>
      </c>
      <c r="AC2999" s="344" t="s">
        <v>464</v>
      </c>
      <c r="AD2999" s="1058" t="s">
        <v>597</v>
      </c>
      <c r="AE2999" s="1059">
        <v>275272</v>
      </c>
      <c r="AF2999" s="889" t="s">
        <v>459</v>
      </c>
      <c r="AG2999" s="889" t="s">
        <v>459</v>
      </c>
    </row>
    <row r="3000" spans="26:33" x14ac:dyDescent="0.35">
      <c r="Z3000" s="344">
        <v>7322</v>
      </c>
      <c r="AA3000" s="344" t="s">
        <v>594</v>
      </c>
      <c r="AB3000" s="344">
        <v>4</v>
      </c>
      <c r="AC3000" s="344" t="s">
        <v>464</v>
      </c>
      <c r="AD3000" s="1058" t="s">
        <v>597</v>
      </c>
      <c r="AE3000" s="1059">
        <v>235209</v>
      </c>
      <c r="AF3000" s="889" t="s">
        <v>459</v>
      </c>
      <c r="AG3000" s="889" t="s">
        <v>459</v>
      </c>
    </row>
    <row r="3001" spans="26:33" x14ac:dyDescent="0.35">
      <c r="Z3001" s="344">
        <v>7325</v>
      </c>
      <c r="AA3001" s="344" t="s">
        <v>594</v>
      </c>
      <c r="AB3001" s="344">
        <v>3</v>
      </c>
      <c r="AC3001" s="344" t="s">
        <v>464</v>
      </c>
      <c r="AD3001" s="1058" t="s">
        <v>598</v>
      </c>
      <c r="AE3001" s="1059">
        <v>294053</v>
      </c>
      <c r="AF3001" s="889" t="s">
        <v>459</v>
      </c>
      <c r="AG3001" s="889" t="s">
        <v>459</v>
      </c>
    </row>
    <row r="3002" spans="26:33" x14ac:dyDescent="0.35">
      <c r="Z3002" s="344">
        <v>7330</v>
      </c>
      <c r="AA3002" s="344" t="s">
        <v>594</v>
      </c>
      <c r="AB3002" s="344">
        <v>4</v>
      </c>
      <c r="AC3002" s="344" t="s">
        <v>464</v>
      </c>
      <c r="AD3002" s="1058" t="s">
        <v>597</v>
      </c>
      <c r="AE3002" s="1059">
        <v>242766</v>
      </c>
      <c r="AF3002" s="889" t="s">
        <v>459</v>
      </c>
      <c r="AG3002" s="889" t="s">
        <v>459</v>
      </c>
    </row>
    <row r="3003" spans="26:33" x14ac:dyDescent="0.35">
      <c r="Z3003" s="344">
        <v>7331</v>
      </c>
      <c r="AA3003" s="344" t="s">
        <v>594</v>
      </c>
      <c r="AB3003" s="344">
        <v>4</v>
      </c>
      <c r="AC3003" s="344" t="s">
        <v>464</v>
      </c>
      <c r="AD3003" s="1058" t="s">
        <v>597</v>
      </c>
      <c r="AE3003" s="1059">
        <v>278381</v>
      </c>
      <c r="AF3003" s="889" t="s">
        <v>459</v>
      </c>
      <c r="AG3003" s="889" t="s">
        <v>459</v>
      </c>
    </row>
    <row r="3004" spans="26:33" x14ac:dyDescent="0.35">
      <c r="Z3004" s="344">
        <v>7466</v>
      </c>
      <c r="AA3004" s="344" t="s">
        <v>594</v>
      </c>
      <c r="AB3004" s="344">
        <v>4</v>
      </c>
      <c r="AC3004" s="344" t="e">
        <v>#N/A</v>
      </c>
      <c r="AD3004" s="1058" t="s">
        <v>597</v>
      </c>
      <c r="AE3004" s="1059" t="e">
        <v>#N/A</v>
      </c>
      <c r="AF3004" s="889" t="s">
        <v>459</v>
      </c>
      <c r="AG3004" s="889" t="s">
        <v>459</v>
      </c>
    </row>
    <row r="3005" spans="26:33" x14ac:dyDescent="0.35">
      <c r="Z3005" s="344">
        <v>7467</v>
      </c>
      <c r="AA3005" s="344" t="s">
        <v>594</v>
      </c>
      <c r="AB3005" s="344">
        <v>4</v>
      </c>
      <c r="AC3005" s="344" t="s">
        <v>464</v>
      </c>
      <c r="AD3005" s="1058" t="s">
        <v>597</v>
      </c>
      <c r="AE3005" s="1059">
        <v>94724</v>
      </c>
      <c r="AF3005" s="889" t="s">
        <v>459</v>
      </c>
      <c r="AG3005" s="889" t="s">
        <v>459</v>
      </c>
    </row>
    <row r="3006" spans="26:33" x14ac:dyDescent="0.35">
      <c r="Z3006" s="344">
        <v>7468</v>
      </c>
      <c r="AA3006" s="344" t="s">
        <v>594</v>
      </c>
      <c r="AB3006" s="344">
        <v>4</v>
      </c>
      <c r="AC3006" s="344" t="s">
        <v>464</v>
      </c>
      <c r="AD3006" s="1058" t="s">
        <v>597</v>
      </c>
      <c r="AE3006" s="1059">
        <v>215273</v>
      </c>
      <c r="AF3006" s="889" t="s">
        <v>459</v>
      </c>
      <c r="AG3006" s="889" t="s">
        <v>459</v>
      </c>
    </row>
    <row r="3007" spans="26:33" x14ac:dyDescent="0.35">
      <c r="Z3007" s="344">
        <v>7469</v>
      </c>
      <c r="AA3007" s="344" t="s">
        <v>594</v>
      </c>
      <c r="AB3007" s="344">
        <v>4</v>
      </c>
      <c r="AC3007" s="344" t="s">
        <v>464</v>
      </c>
      <c r="AD3007" s="1058" t="s">
        <v>597</v>
      </c>
      <c r="AE3007" s="1059">
        <v>87688</v>
      </c>
      <c r="AF3007" s="889" t="s">
        <v>459</v>
      </c>
      <c r="AG3007" s="889" t="s">
        <v>459</v>
      </c>
    </row>
    <row r="3008" spans="26:33" x14ac:dyDescent="0.35">
      <c r="Z3008" s="344">
        <v>7470</v>
      </c>
      <c r="AA3008" s="344" t="s">
        <v>594</v>
      </c>
      <c r="AB3008" s="344">
        <v>4</v>
      </c>
      <c r="AC3008" s="344" t="s">
        <v>464</v>
      </c>
      <c r="AD3008" s="1058" t="s">
        <v>597</v>
      </c>
      <c r="AE3008" s="1059">
        <v>94746</v>
      </c>
      <c r="AF3008" s="889" t="s">
        <v>459</v>
      </c>
      <c r="AG3008" s="889" t="s">
        <v>459</v>
      </c>
    </row>
    <row r="3009" spans="26:33" x14ac:dyDescent="0.35">
      <c r="Z3009" s="344">
        <v>7800</v>
      </c>
      <c r="AA3009" s="344" t="s">
        <v>594</v>
      </c>
      <c r="AB3009" s="344">
        <v>4</v>
      </c>
      <c r="AC3009" s="344" t="e">
        <v>#N/A</v>
      </c>
      <c r="AD3009" s="1058" t="s">
        <v>597</v>
      </c>
      <c r="AE3009" s="1059" t="e">
        <v>#N/A</v>
      </c>
      <c r="AF3009" s="889" t="s">
        <v>459</v>
      </c>
      <c r="AG3009" s="889" t="s">
        <v>459</v>
      </c>
    </row>
    <row r="3010" spans="26:33" x14ac:dyDescent="0.35">
      <c r="Z3010" s="344">
        <v>7802</v>
      </c>
      <c r="AA3010" s="344" t="s">
        <v>594</v>
      </c>
      <c r="AB3010" s="344">
        <v>4</v>
      </c>
      <c r="AC3010" s="344" t="e">
        <v>#N/A</v>
      </c>
      <c r="AD3010" s="1058" t="s">
        <v>597</v>
      </c>
      <c r="AE3010" s="1059" t="e">
        <v>#N/A</v>
      </c>
      <c r="AF3010" s="889" t="s">
        <v>459</v>
      </c>
      <c r="AG3010" s="889" t="s">
        <v>459</v>
      </c>
    </row>
    <row r="3011" spans="26:33" x14ac:dyDescent="0.35">
      <c r="Z3011" s="344">
        <v>7803</v>
      </c>
      <c r="AA3011" s="344" t="s">
        <v>594</v>
      </c>
      <c r="AB3011" s="344">
        <v>4</v>
      </c>
      <c r="AC3011" s="344" t="e">
        <v>#N/A</v>
      </c>
      <c r="AD3011" s="1058" t="s">
        <v>597</v>
      </c>
      <c r="AE3011" s="1059" t="e">
        <v>#N/A</v>
      </c>
      <c r="AF3011" s="889" t="s">
        <v>459</v>
      </c>
      <c r="AG3011" s="889" t="s">
        <v>459</v>
      </c>
    </row>
    <row r="3012" spans="26:33" x14ac:dyDescent="0.35">
      <c r="Z3012" s="344">
        <v>7804</v>
      </c>
      <c r="AA3012" s="344" t="s">
        <v>594</v>
      </c>
      <c r="AB3012" s="344">
        <v>4</v>
      </c>
      <c r="AC3012" s="344" t="e">
        <v>#N/A</v>
      </c>
      <c r="AD3012" s="1058" t="s">
        <v>597</v>
      </c>
      <c r="AE3012" s="1059" t="e">
        <v>#N/A</v>
      </c>
      <c r="AF3012" s="889" t="s">
        <v>459</v>
      </c>
      <c r="AG3012" s="889" t="s">
        <v>459</v>
      </c>
    </row>
    <row r="3013" spans="26:33" x14ac:dyDescent="0.35">
      <c r="Z3013" s="344">
        <v>7805</v>
      </c>
      <c r="AA3013" s="344" t="s">
        <v>594</v>
      </c>
      <c r="AB3013" s="344">
        <v>4</v>
      </c>
      <c r="AC3013" s="344" t="e">
        <v>#N/A</v>
      </c>
      <c r="AD3013" s="1058" t="s">
        <v>597</v>
      </c>
      <c r="AE3013" s="1059" t="e">
        <v>#N/A</v>
      </c>
      <c r="AF3013" s="889" t="s">
        <v>459</v>
      </c>
      <c r="AG3013" s="889" t="s">
        <v>459</v>
      </c>
    </row>
    <row r="3014" spans="26:33" x14ac:dyDescent="0.35">
      <c r="Z3014" s="344">
        <v>7806</v>
      </c>
      <c r="AA3014" s="344" t="s">
        <v>594</v>
      </c>
      <c r="AB3014" s="344">
        <v>4</v>
      </c>
      <c r="AC3014" s="344" t="e">
        <v>#N/A</v>
      </c>
      <c r="AD3014" s="1058" t="s">
        <v>597</v>
      </c>
      <c r="AE3014" s="1059" t="e">
        <v>#N/A</v>
      </c>
      <c r="AF3014" s="889" t="s">
        <v>459</v>
      </c>
      <c r="AG3014" s="889" t="s">
        <v>459</v>
      </c>
    </row>
    <row r="3015" spans="26:33" x14ac:dyDescent="0.35">
      <c r="Z3015" s="344">
        <v>7807</v>
      </c>
      <c r="AA3015" s="344" t="s">
        <v>594</v>
      </c>
      <c r="AB3015" s="344">
        <v>4</v>
      </c>
      <c r="AC3015" s="344" t="e">
        <v>#N/A</v>
      </c>
      <c r="AD3015" s="1058" t="s">
        <v>597</v>
      </c>
      <c r="AE3015" s="1059" t="e">
        <v>#N/A</v>
      </c>
      <c r="AF3015" s="889" t="s">
        <v>459</v>
      </c>
      <c r="AG3015" s="889" t="s">
        <v>459</v>
      </c>
    </row>
    <row r="3016" spans="26:33" x14ac:dyDescent="0.35">
      <c r="Z3016" s="344">
        <v>7808</v>
      </c>
      <c r="AA3016" s="344" t="s">
        <v>594</v>
      </c>
      <c r="AB3016" s="344">
        <v>4</v>
      </c>
      <c r="AC3016" s="344" t="e">
        <v>#N/A</v>
      </c>
      <c r="AD3016" s="1058" t="s">
        <v>597</v>
      </c>
      <c r="AE3016" s="1059" t="e">
        <v>#N/A</v>
      </c>
      <c r="AF3016" s="889" t="s">
        <v>459</v>
      </c>
      <c r="AG3016" s="889" t="s">
        <v>459</v>
      </c>
    </row>
    <row r="3017" spans="26:33" x14ac:dyDescent="0.35">
      <c r="Z3017" s="344">
        <v>7809</v>
      </c>
      <c r="AA3017" s="344" t="s">
        <v>594</v>
      </c>
      <c r="AB3017" s="344">
        <v>4</v>
      </c>
      <c r="AC3017" s="344" t="e">
        <v>#N/A</v>
      </c>
      <c r="AD3017" s="1058" t="s">
        <v>597</v>
      </c>
      <c r="AE3017" s="1059" t="e">
        <v>#N/A</v>
      </c>
      <c r="AF3017" s="889" t="s">
        <v>459</v>
      </c>
      <c r="AG3017" s="889" t="s">
        <v>459</v>
      </c>
    </row>
    <row r="3018" spans="26:33" x14ac:dyDescent="0.35">
      <c r="Z3018" s="344">
        <v>7810</v>
      </c>
      <c r="AA3018" s="344" t="s">
        <v>594</v>
      </c>
      <c r="AB3018" s="344">
        <v>4</v>
      </c>
      <c r="AC3018" s="344" t="e">
        <v>#N/A</v>
      </c>
      <c r="AD3018" s="1058" t="s">
        <v>597</v>
      </c>
      <c r="AE3018" s="1059" t="e">
        <v>#N/A</v>
      </c>
      <c r="AF3018" s="889" t="s">
        <v>459</v>
      </c>
      <c r="AG3018" s="889" t="s">
        <v>459</v>
      </c>
    </row>
    <row r="3019" spans="26:33" x14ac:dyDescent="0.35">
      <c r="Z3019" s="344">
        <v>7811</v>
      </c>
      <c r="AA3019" s="344" t="s">
        <v>594</v>
      </c>
      <c r="AB3019" s="344">
        <v>4</v>
      </c>
      <c r="AC3019" s="344" t="e">
        <v>#N/A</v>
      </c>
      <c r="AD3019" s="1058" t="s">
        <v>597</v>
      </c>
      <c r="AE3019" s="1059" t="e">
        <v>#N/A</v>
      </c>
      <c r="AF3019" s="889" t="s">
        <v>459</v>
      </c>
      <c r="AG3019" s="889" t="s">
        <v>459</v>
      </c>
    </row>
    <row r="3020" spans="26:33" x14ac:dyDescent="0.35">
      <c r="Z3020" s="344">
        <v>7812</v>
      </c>
      <c r="AA3020" s="344" t="s">
        <v>594</v>
      </c>
      <c r="AB3020" s="344">
        <v>4</v>
      </c>
      <c r="AC3020" s="344" t="e">
        <v>#N/A</v>
      </c>
      <c r="AD3020" s="1058" t="s">
        <v>597</v>
      </c>
      <c r="AE3020" s="1059" t="e">
        <v>#N/A</v>
      </c>
      <c r="AF3020" s="889" t="s">
        <v>459</v>
      </c>
      <c r="AG3020" s="889" t="s">
        <v>459</v>
      </c>
    </row>
    <row r="3021" spans="26:33" x14ac:dyDescent="0.35">
      <c r="Z3021" s="344">
        <v>7813</v>
      </c>
      <c r="AA3021" s="344" t="s">
        <v>594</v>
      </c>
      <c r="AB3021" s="344">
        <v>4</v>
      </c>
      <c r="AC3021" s="344" t="e">
        <v>#N/A</v>
      </c>
      <c r="AD3021" s="1058" t="s">
        <v>597</v>
      </c>
      <c r="AE3021" s="1059" t="e">
        <v>#N/A</v>
      </c>
      <c r="AF3021" s="889" t="s">
        <v>459</v>
      </c>
      <c r="AG3021" s="889" t="s">
        <v>459</v>
      </c>
    </row>
    <row r="3022" spans="26:33" x14ac:dyDescent="0.35">
      <c r="Z3022" s="344">
        <v>7814</v>
      </c>
      <c r="AA3022" s="344" t="s">
        <v>594</v>
      </c>
      <c r="AB3022" s="344">
        <v>4</v>
      </c>
      <c r="AC3022" s="344" t="e">
        <v>#N/A</v>
      </c>
      <c r="AD3022" s="1058" t="s">
        <v>597</v>
      </c>
      <c r="AE3022" s="1059" t="e">
        <v>#N/A</v>
      </c>
      <c r="AF3022" s="889" t="s">
        <v>459</v>
      </c>
      <c r="AG3022" s="889" t="s">
        <v>459</v>
      </c>
    </row>
    <row r="3023" spans="26:33" x14ac:dyDescent="0.35">
      <c r="Z3023" s="344">
        <v>7823</v>
      </c>
      <c r="AA3023" s="344" t="s">
        <v>594</v>
      </c>
      <c r="AB3023" s="344">
        <v>4</v>
      </c>
      <c r="AC3023" s="344" t="e">
        <v>#N/A</v>
      </c>
      <c r="AD3023" s="1058" t="s">
        <v>597</v>
      </c>
      <c r="AE3023" s="1059" t="e">
        <v>#N/A</v>
      </c>
      <c r="AF3023" s="889" t="s">
        <v>459</v>
      </c>
      <c r="AG3023" s="889" t="s">
        <v>459</v>
      </c>
    </row>
    <row r="3024" spans="26:33" x14ac:dyDescent="0.35">
      <c r="Z3024" s="344">
        <v>7824</v>
      </c>
      <c r="AA3024" s="344" t="s">
        <v>594</v>
      </c>
      <c r="AB3024" s="344">
        <v>4</v>
      </c>
      <c r="AC3024" s="344" t="e">
        <v>#N/A</v>
      </c>
      <c r="AD3024" s="1058" t="s">
        <v>597</v>
      </c>
      <c r="AE3024" s="1059" t="e">
        <v>#N/A</v>
      </c>
      <c r="AF3024" s="889" t="s">
        <v>459</v>
      </c>
      <c r="AG3024" s="889" t="s">
        <v>459</v>
      </c>
    </row>
    <row r="3025" spans="26:33" x14ac:dyDescent="0.35">
      <c r="Z3025" s="344">
        <v>7827</v>
      </c>
      <c r="AA3025" s="344" t="s">
        <v>594</v>
      </c>
      <c r="AB3025" s="344">
        <v>4</v>
      </c>
      <c r="AC3025" s="344" t="e">
        <v>#N/A</v>
      </c>
      <c r="AD3025" s="1058" t="s">
        <v>597</v>
      </c>
      <c r="AE3025" s="1059" t="e">
        <v>#N/A</v>
      </c>
      <c r="AF3025" s="889" t="s">
        <v>459</v>
      </c>
      <c r="AG3025" s="889" t="s">
        <v>459</v>
      </c>
    </row>
    <row r="3026" spans="26:33" x14ac:dyDescent="0.35">
      <c r="Z3026" s="344">
        <v>7828</v>
      </c>
      <c r="AA3026" s="344" t="s">
        <v>594</v>
      </c>
      <c r="AB3026" s="344">
        <v>4</v>
      </c>
      <c r="AC3026" s="344" t="e">
        <v>#N/A</v>
      </c>
      <c r="AD3026" s="1058" t="s">
        <v>597</v>
      </c>
      <c r="AE3026" s="1059" t="e">
        <v>#N/A</v>
      </c>
      <c r="AF3026" s="889" t="s">
        <v>459</v>
      </c>
      <c r="AG3026" s="889" t="s">
        <v>459</v>
      </c>
    </row>
    <row r="3027" spans="26:33" x14ac:dyDescent="0.35">
      <c r="Z3027" s="344">
        <v>7829</v>
      </c>
      <c r="AA3027" s="344" t="s">
        <v>594</v>
      </c>
      <c r="AB3027" s="344">
        <v>4</v>
      </c>
      <c r="AC3027" s="344" t="e">
        <v>#N/A</v>
      </c>
      <c r="AD3027" s="1058" t="s">
        <v>597</v>
      </c>
      <c r="AE3027" s="1059" t="e">
        <v>#N/A</v>
      </c>
      <c r="AF3027" s="889" t="s">
        <v>459</v>
      </c>
      <c r="AG3027" s="889" t="s">
        <v>459</v>
      </c>
    </row>
    <row r="3028" spans="26:33" x14ac:dyDescent="0.35">
      <c r="Z3028" s="344">
        <v>7845</v>
      </c>
      <c r="AA3028" s="344" t="s">
        <v>594</v>
      </c>
      <c r="AB3028" s="344">
        <v>4</v>
      </c>
      <c r="AC3028" s="344" t="e">
        <v>#N/A</v>
      </c>
      <c r="AD3028" s="1058" t="s">
        <v>597</v>
      </c>
      <c r="AE3028" s="1059" t="e">
        <v>#N/A</v>
      </c>
      <c r="AF3028" s="889" t="s">
        <v>459</v>
      </c>
      <c r="AG3028" s="889" t="s">
        <v>459</v>
      </c>
    </row>
    <row r="3029" spans="26:33" x14ac:dyDescent="0.35">
      <c r="Z3029" s="344">
        <v>7850</v>
      </c>
      <c r="AA3029" s="344" t="s">
        <v>594</v>
      </c>
      <c r="AB3029" s="344">
        <v>4</v>
      </c>
      <c r="AC3029" s="344" t="e">
        <v>#N/A</v>
      </c>
      <c r="AD3029" s="1058" t="s">
        <v>597</v>
      </c>
      <c r="AE3029" s="1059" t="e">
        <v>#N/A</v>
      </c>
      <c r="AF3029" s="889" t="s">
        <v>459</v>
      </c>
      <c r="AG3029" s="889" t="s">
        <v>459</v>
      </c>
    </row>
    <row r="3030" spans="26:33" x14ac:dyDescent="0.35">
      <c r="Z3030" s="344">
        <v>7901</v>
      </c>
      <c r="AA3030" s="344" t="s">
        <v>594</v>
      </c>
      <c r="AB3030" s="344">
        <v>4</v>
      </c>
      <c r="AC3030" s="344" t="e">
        <v>#N/A</v>
      </c>
      <c r="AD3030" s="1058" t="s">
        <v>597</v>
      </c>
      <c r="AE3030" s="1059" t="e">
        <v>#N/A</v>
      </c>
      <c r="AF3030" s="889" t="s">
        <v>459</v>
      </c>
      <c r="AG3030" s="889" t="s">
        <v>459</v>
      </c>
    </row>
    <row r="3031" spans="26:33" x14ac:dyDescent="0.35">
      <c r="Z3031" s="344">
        <v>7902</v>
      </c>
      <c r="AA3031" s="344" t="s">
        <v>594</v>
      </c>
      <c r="AB3031" s="344">
        <v>4</v>
      </c>
      <c r="AC3031" s="344" t="e">
        <v>#N/A</v>
      </c>
      <c r="AD3031" s="1058" t="s">
        <v>597</v>
      </c>
      <c r="AE3031" s="1059" t="e">
        <v>#N/A</v>
      </c>
      <c r="AF3031" s="889" t="s">
        <v>459</v>
      </c>
      <c r="AG3031" s="889" t="s">
        <v>459</v>
      </c>
    </row>
    <row r="3032" spans="26:33" x14ac:dyDescent="0.35">
      <c r="Z3032" s="344">
        <v>7903</v>
      </c>
      <c r="AA3032" s="344" t="s">
        <v>594</v>
      </c>
      <c r="AB3032" s="344">
        <v>4</v>
      </c>
      <c r="AC3032" s="344" t="e">
        <v>#N/A</v>
      </c>
      <c r="AD3032" s="1058" t="s">
        <v>597</v>
      </c>
      <c r="AE3032" s="1059" t="e">
        <v>#N/A</v>
      </c>
      <c r="AF3032" s="889" t="s">
        <v>459</v>
      </c>
      <c r="AG3032" s="889" t="s">
        <v>459</v>
      </c>
    </row>
    <row r="3033" spans="26:33" x14ac:dyDescent="0.35">
      <c r="Z3033" s="344">
        <v>7904</v>
      </c>
      <c r="AA3033" s="344" t="s">
        <v>594</v>
      </c>
      <c r="AB3033" s="344">
        <v>4</v>
      </c>
      <c r="AC3033" s="344" t="e">
        <v>#N/A</v>
      </c>
      <c r="AD3033" s="1058" t="s">
        <v>597</v>
      </c>
      <c r="AE3033" s="1059" t="e">
        <v>#N/A</v>
      </c>
      <c r="AF3033" s="889" t="s">
        <v>459</v>
      </c>
      <c r="AG3033" s="889" t="s">
        <v>459</v>
      </c>
    </row>
    <row r="3034" spans="26:33" x14ac:dyDescent="0.35">
      <c r="Z3034" s="344">
        <v>7905</v>
      </c>
      <c r="AA3034" s="344" t="s">
        <v>594</v>
      </c>
      <c r="AB3034" s="344">
        <v>4</v>
      </c>
      <c r="AC3034" s="344" t="e">
        <v>#N/A</v>
      </c>
      <c r="AD3034" s="1058" t="s">
        <v>597</v>
      </c>
      <c r="AE3034" s="1059" t="e">
        <v>#N/A</v>
      </c>
      <c r="AF3034" s="889" t="s">
        <v>459</v>
      </c>
      <c r="AG3034" s="889" t="s">
        <v>459</v>
      </c>
    </row>
    <row r="3035" spans="26:33" x14ac:dyDescent="0.35">
      <c r="Z3035" s="344">
        <v>7906</v>
      </c>
      <c r="AA3035" s="344" t="s">
        <v>594</v>
      </c>
      <c r="AB3035" s="344">
        <v>4</v>
      </c>
      <c r="AC3035" s="344" t="e">
        <v>#N/A</v>
      </c>
      <c r="AD3035" s="1058" t="s">
        <v>597</v>
      </c>
      <c r="AE3035" s="1059" t="e">
        <v>#N/A</v>
      </c>
      <c r="AF3035" s="889" t="s">
        <v>459</v>
      </c>
      <c r="AG3035" s="889" t="s">
        <v>459</v>
      </c>
    </row>
    <row r="3036" spans="26:33" x14ac:dyDescent="0.35">
      <c r="Z3036" s="344">
        <v>7907</v>
      </c>
      <c r="AA3036" s="344" t="s">
        <v>594</v>
      </c>
      <c r="AB3036" s="344">
        <v>4</v>
      </c>
      <c r="AC3036" s="344" t="e">
        <v>#N/A</v>
      </c>
      <c r="AD3036" s="1058" t="s">
        <v>597</v>
      </c>
      <c r="AE3036" s="1059" t="e">
        <v>#N/A</v>
      </c>
      <c r="AF3036" s="889" t="s">
        <v>459</v>
      </c>
      <c r="AG3036" s="889" t="s">
        <v>459</v>
      </c>
    </row>
    <row r="3037" spans="26:33" x14ac:dyDescent="0.35">
      <c r="Z3037" s="344">
        <v>7908</v>
      </c>
      <c r="AA3037" s="344" t="s">
        <v>594</v>
      </c>
      <c r="AB3037" s="344">
        <v>4</v>
      </c>
      <c r="AC3037" s="344" t="e">
        <v>#N/A</v>
      </c>
      <c r="AD3037" s="1058" t="s">
        <v>597</v>
      </c>
      <c r="AE3037" s="1059" t="e">
        <v>#N/A</v>
      </c>
      <c r="AF3037" s="889" t="s">
        <v>459</v>
      </c>
      <c r="AG3037" s="889" t="s">
        <v>459</v>
      </c>
    </row>
    <row r="3038" spans="26:33" x14ac:dyDescent="0.35">
      <c r="Z3038" s="344">
        <v>7909</v>
      </c>
      <c r="AA3038" s="344" t="s">
        <v>594</v>
      </c>
      <c r="AB3038" s="344">
        <v>4</v>
      </c>
      <c r="AC3038" s="344" t="e">
        <v>#N/A</v>
      </c>
      <c r="AD3038" s="1058" t="s">
        <v>597</v>
      </c>
      <c r="AE3038" s="1059" t="e">
        <v>#N/A</v>
      </c>
      <c r="AF3038" s="889" t="s">
        <v>459</v>
      </c>
      <c r="AG3038" s="889" t="s">
        <v>459</v>
      </c>
    </row>
    <row r="3039" spans="26:33" x14ac:dyDescent="0.35">
      <c r="Z3039" s="344">
        <v>7910</v>
      </c>
      <c r="AA3039" s="344" t="s">
        <v>594</v>
      </c>
      <c r="AB3039" s="344">
        <v>4</v>
      </c>
      <c r="AC3039" s="344" t="e">
        <v>#N/A</v>
      </c>
      <c r="AD3039" s="1058" t="s">
        <v>597</v>
      </c>
      <c r="AE3039" s="1059" t="e">
        <v>#N/A</v>
      </c>
      <c r="AF3039" s="889" t="s">
        <v>459</v>
      </c>
      <c r="AG3039" s="889" t="s">
        <v>459</v>
      </c>
    </row>
    <row r="3040" spans="26:33" x14ac:dyDescent="0.35">
      <c r="Z3040" s="344">
        <v>7911</v>
      </c>
      <c r="AA3040" s="344" t="s">
        <v>594</v>
      </c>
      <c r="AB3040" s="344">
        <v>4</v>
      </c>
      <c r="AC3040" s="344" t="e">
        <v>#N/A</v>
      </c>
      <c r="AD3040" s="1058" t="s">
        <v>597</v>
      </c>
      <c r="AE3040" s="1059" t="e">
        <v>#N/A</v>
      </c>
      <c r="AF3040" s="889" t="s">
        <v>459</v>
      </c>
      <c r="AG3040" s="889" t="s">
        <v>459</v>
      </c>
    </row>
    <row r="3041" spans="26:33" x14ac:dyDescent="0.35">
      <c r="Z3041" s="344">
        <v>7912</v>
      </c>
      <c r="AA3041" s="344" t="s">
        <v>594</v>
      </c>
      <c r="AB3041" s="344">
        <v>4</v>
      </c>
      <c r="AC3041" s="344" t="e">
        <v>#N/A</v>
      </c>
      <c r="AD3041" s="1058" t="s">
        <v>597</v>
      </c>
      <c r="AE3041" s="1059" t="e">
        <v>#N/A</v>
      </c>
      <c r="AF3041" s="889" t="s">
        <v>459</v>
      </c>
      <c r="AG3041" s="889" t="s">
        <v>459</v>
      </c>
    </row>
    <row r="3042" spans="26:33" x14ac:dyDescent="0.35">
      <c r="Z3042" s="344">
        <v>7913</v>
      </c>
      <c r="AA3042" s="344" t="s">
        <v>594</v>
      </c>
      <c r="AB3042" s="344">
        <v>4</v>
      </c>
      <c r="AC3042" s="344" t="e">
        <v>#N/A</v>
      </c>
      <c r="AD3042" s="1058" t="s">
        <v>597</v>
      </c>
      <c r="AE3042" s="1059" t="e">
        <v>#N/A</v>
      </c>
      <c r="AF3042" s="889" t="s">
        <v>459</v>
      </c>
      <c r="AG3042" s="889" t="s">
        <v>459</v>
      </c>
    </row>
    <row r="3043" spans="26:33" x14ac:dyDescent="0.35">
      <c r="Z3043" s="344">
        <v>7914</v>
      </c>
      <c r="AA3043" s="344" t="s">
        <v>594</v>
      </c>
      <c r="AB3043" s="344">
        <v>4</v>
      </c>
      <c r="AC3043" s="344" t="e">
        <v>#N/A</v>
      </c>
      <c r="AD3043" s="1058" t="s">
        <v>597</v>
      </c>
      <c r="AE3043" s="1059" t="e">
        <v>#N/A</v>
      </c>
      <c r="AF3043" s="889" t="s">
        <v>459</v>
      </c>
      <c r="AG3043" s="889" t="s">
        <v>459</v>
      </c>
    </row>
    <row r="3044" spans="26:33" x14ac:dyDescent="0.35">
      <c r="Z3044" s="344">
        <v>7915</v>
      </c>
      <c r="AA3044" s="344" t="s">
        <v>594</v>
      </c>
      <c r="AB3044" s="344">
        <v>4</v>
      </c>
      <c r="AC3044" s="344" t="e">
        <v>#N/A</v>
      </c>
      <c r="AD3044" s="1058" t="s">
        <v>597</v>
      </c>
      <c r="AE3044" s="1059" t="e">
        <v>#N/A</v>
      </c>
      <c r="AF3044" s="889" t="s">
        <v>459</v>
      </c>
      <c r="AG3044" s="889" t="s">
        <v>459</v>
      </c>
    </row>
    <row r="3045" spans="26:33" x14ac:dyDescent="0.35">
      <c r="Z3045" s="344">
        <v>7916</v>
      </c>
      <c r="AA3045" s="344" t="s">
        <v>594</v>
      </c>
      <c r="AB3045" s="344">
        <v>4</v>
      </c>
      <c r="AC3045" s="344" t="e">
        <v>#N/A</v>
      </c>
      <c r="AD3045" s="1058" t="s">
        <v>597</v>
      </c>
      <c r="AE3045" s="1059" t="e">
        <v>#N/A</v>
      </c>
      <c r="AF3045" s="889" t="s">
        <v>459</v>
      </c>
      <c r="AG3045" s="889" t="s">
        <v>459</v>
      </c>
    </row>
    <row r="3046" spans="26:33" x14ac:dyDescent="0.35">
      <c r="Z3046" s="344">
        <v>7917</v>
      </c>
      <c r="AA3046" s="344" t="s">
        <v>594</v>
      </c>
      <c r="AB3046" s="344">
        <v>4</v>
      </c>
      <c r="AC3046" s="344" t="e">
        <v>#N/A</v>
      </c>
      <c r="AD3046" s="1058" t="s">
        <v>597</v>
      </c>
      <c r="AE3046" s="1059" t="e">
        <v>#N/A</v>
      </c>
      <c r="AF3046" s="889" t="s">
        <v>459</v>
      </c>
      <c r="AG3046" s="889" t="s">
        <v>459</v>
      </c>
    </row>
    <row r="3047" spans="26:33" x14ac:dyDescent="0.35">
      <c r="Z3047" s="344">
        <v>7918</v>
      </c>
      <c r="AA3047" s="344" t="s">
        <v>594</v>
      </c>
      <c r="AB3047" s="344">
        <v>4</v>
      </c>
      <c r="AC3047" s="344" t="e">
        <v>#N/A</v>
      </c>
      <c r="AD3047" s="1058" t="s">
        <v>597</v>
      </c>
      <c r="AE3047" s="1059" t="e">
        <v>#N/A</v>
      </c>
      <c r="AF3047" s="889" t="s">
        <v>459</v>
      </c>
      <c r="AG3047" s="889" t="s">
        <v>459</v>
      </c>
    </row>
    <row r="3048" spans="26:33" x14ac:dyDescent="0.35">
      <c r="Z3048" s="344">
        <v>7919</v>
      </c>
      <c r="AA3048" s="344" t="s">
        <v>594</v>
      </c>
      <c r="AB3048" s="344">
        <v>4</v>
      </c>
      <c r="AC3048" s="344" t="e">
        <v>#N/A</v>
      </c>
      <c r="AD3048" s="1058" t="s">
        <v>597</v>
      </c>
      <c r="AE3048" s="1059" t="e">
        <v>#N/A</v>
      </c>
      <c r="AF3048" s="889" t="s">
        <v>459</v>
      </c>
      <c r="AG3048" s="889" t="s">
        <v>459</v>
      </c>
    </row>
    <row r="3049" spans="26:33" x14ac:dyDescent="0.35">
      <c r="Z3049" s="344">
        <v>7920</v>
      </c>
      <c r="AA3049" s="344" t="s">
        <v>594</v>
      </c>
      <c r="AB3049" s="344">
        <v>4</v>
      </c>
      <c r="AC3049" s="344" t="e">
        <v>#N/A</v>
      </c>
      <c r="AD3049" s="1058" t="s">
        <v>597</v>
      </c>
      <c r="AE3049" s="1059" t="e">
        <v>#N/A</v>
      </c>
      <c r="AF3049" s="889" t="s">
        <v>459</v>
      </c>
      <c r="AG3049" s="889" t="s">
        <v>459</v>
      </c>
    </row>
    <row r="3050" spans="26:33" x14ac:dyDescent="0.35">
      <c r="Z3050" s="344">
        <v>7921</v>
      </c>
      <c r="AA3050" s="344" t="s">
        <v>594</v>
      </c>
      <c r="AB3050" s="344">
        <v>4</v>
      </c>
      <c r="AC3050" s="344" t="e">
        <v>#N/A</v>
      </c>
      <c r="AD3050" s="1058" t="s">
        <v>597</v>
      </c>
      <c r="AE3050" s="1059" t="e">
        <v>#N/A</v>
      </c>
      <c r="AF3050" s="889" t="s">
        <v>459</v>
      </c>
      <c r="AG3050" s="889" t="s">
        <v>459</v>
      </c>
    </row>
    <row r="3051" spans="26:33" x14ac:dyDescent="0.35">
      <c r="Z3051" s="344">
        <v>7922</v>
      </c>
      <c r="AA3051" s="344" t="s">
        <v>594</v>
      </c>
      <c r="AB3051" s="344">
        <v>4</v>
      </c>
      <c r="AC3051" s="344" t="e">
        <v>#N/A</v>
      </c>
      <c r="AD3051" s="1058" t="s">
        <v>597</v>
      </c>
      <c r="AE3051" s="1059" t="e">
        <v>#N/A</v>
      </c>
      <c r="AF3051" s="889" t="s">
        <v>459</v>
      </c>
      <c r="AG3051" s="889" t="s">
        <v>459</v>
      </c>
    </row>
    <row r="3052" spans="26:33" x14ac:dyDescent="0.35">
      <c r="Z3052" s="344">
        <v>7923</v>
      </c>
      <c r="AA3052" s="344" t="s">
        <v>594</v>
      </c>
      <c r="AB3052" s="344">
        <v>4</v>
      </c>
      <c r="AC3052" s="344" t="e">
        <v>#N/A</v>
      </c>
      <c r="AD3052" s="1058" t="s">
        <v>597</v>
      </c>
      <c r="AE3052" s="1059" t="e">
        <v>#N/A</v>
      </c>
      <c r="AF3052" s="889" t="s">
        <v>459</v>
      </c>
      <c r="AG3052" s="889" t="s">
        <v>459</v>
      </c>
    </row>
    <row r="3053" spans="26:33" x14ac:dyDescent="0.35">
      <c r="Z3053" s="344">
        <v>2540</v>
      </c>
      <c r="AA3053" s="344" t="s">
        <v>572</v>
      </c>
      <c r="AB3053" s="344">
        <v>2</v>
      </c>
      <c r="AC3053" s="344" t="e">
        <v>#N/A</v>
      </c>
      <c r="AD3053" s="74" t="s">
        <v>599</v>
      </c>
      <c r="AE3053" s="344" t="e">
        <v>#N/A</v>
      </c>
      <c r="AF3053" s="889" t="s">
        <v>459</v>
      </c>
      <c r="AG3053" s="889" t="s">
        <v>459</v>
      </c>
    </row>
    <row r="3054" spans="26:33" x14ac:dyDescent="0.35">
      <c r="Z3054" s="344">
        <v>2611</v>
      </c>
      <c r="AA3054" s="344" t="s">
        <v>539</v>
      </c>
      <c r="AB3054" s="344">
        <v>1</v>
      </c>
      <c r="AC3054" s="344" t="e">
        <v>#N/A</v>
      </c>
      <c r="AD3054" s="74" t="s">
        <v>540</v>
      </c>
      <c r="AE3054" s="344" t="e">
        <v>#N/A</v>
      </c>
      <c r="AF3054" s="889" t="s">
        <v>459</v>
      </c>
      <c r="AG3054" s="889" t="s">
        <v>459</v>
      </c>
    </row>
    <row r="3055" spans="26:33" x14ac:dyDescent="0.35">
      <c r="Z3055" s="344">
        <v>2618</v>
      </c>
      <c r="AA3055" s="344" t="s">
        <v>539</v>
      </c>
      <c r="AB3055" s="344">
        <v>1</v>
      </c>
      <c r="AC3055" s="344" t="e">
        <v>#N/A</v>
      </c>
      <c r="AD3055" s="74" t="s">
        <v>540</v>
      </c>
      <c r="AE3055" s="344" t="e">
        <v>#N/A</v>
      </c>
      <c r="AF3055" s="889" t="s">
        <v>459</v>
      </c>
      <c r="AG3055" s="889" t="s">
        <v>459</v>
      </c>
    </row>
    <row r="3056" spans="26:33" x14ac:dyDescent="0.35">
      <c r="Z3056" s="344">
        <v>2620</v>
      </c>
      <c r="AA3056" s="344" t="s">
        <v>572</v>
      </c>
      <c r="AB3056" s="344">
        <v>1</v>
      </c>
      <c r="AC3056" s="344" t="e">
        <v>#N/A</v>
      </c>
      <c r="AD3056" s="74" t="s">
        <v>573</v>
      </c>
      <c r="AE3056" s="344" t="e">
        <v>#N/A</v>
      </c>
      <c r="AF3056" s="889" t="s">
        <v>459</v>
      </c>
      <c r="AG3056" s="889" t="s">
        <v>459</v>
      </c>
    </row>
    <row r="3057" spans="26:33" x14ac:dyDescent="0.35">
      <c r="Z3057" s="344">
        <v>4380</v>
      </c>
      <c r="AA3057" s="344" t="s">
        <v>539</v>
      </c>
      <c r="AB3057" s="344">
        <v>4</v>
      </c>
      <c r="AC3057" s="344" t="e">
        <v>#N/A</v>
      </c>
      <c r="AD3057" s="74" t="s">
        <v>569</v>
      </c>
      <c r="AE3057" s="344" t="e">
        <v>#N/A</v>
      </c>
      <c r="AF3057" s="889" t="s">
        <v>459</v>
      </c>
      <c r="AG3057" s="889" t="s">
        <v>459</v>
      </c>
    </row>
    <row r="3058" spans="26:33" x14ac:dyDescent="0.35">
      <c r="Z3058" s="344">
        <v>2678</v>
      </c>
      <c r="AA3058" s="344" t="s">
        <v>539</v>
      </c>
      <c r="AB3058" s="344">
        <v>1</v>
      </c>
      <c r="AC3058" s="344" t="e">
        <v>#N/A</v>
      </c>
      <c r="AD3058" s="74" t="s">
        <v>540</v>
      </c>
      <c r="AE3058" s="344" t="e">
        <v>#N/A</v>
      </c>
      <c r="AF3058" s="889" t="s">
        <v>459</v>
      </c>
      <c r="AG3058" s="889" t="s">
        <v>459</v>
      </c>
    </row>
    <row r="3059" spans="26:33" x14ac:dyDescent="0.35">
      <c r="Z3059" s="344">
        <v>2406</v>
      </c>
      <c r="AA3059" s="344" t="s">
        <v>579</v>
      </c>
      <c r="AB3059" s="344">
        <v>4</v>
      </c>
      <c r="AC3059" s="344" t="e">
        <v>#N/A</v>
      </c>
      <c r="AD3059" s="74" t="s">
        <v>581</v>
      </c>
      <c r="AE3059" s="344" t="e">
        <v>#N/A</v>
      </c>
      <c r="AF3059" s="889" t="s">
        <v>459</v>
      </c>
      <c r="AG3059" s="889" t="s">
        <v>459</v>
      </c>
    </row>
    <row r="3060" spans="26:33" x14ac:dyDescent="0.35">
      <c r="Z3060" s="344">
        <v>2817</v>
      </c>
      <c r="AA3060" s="344" t="s">
        <v>539</v>
      </c>
      <c r="AB3060" s="344">
        <v>4</v>
      </c>
      <c r="AC3060" s="344" t="e">
        <v>#N/A</v>
      </c>
      <c r="AD3060" s="74" t="s">
        <v>569</v>
      </c>
      <c r="AE3060" s="344" t="e">
        <v>#N/A</v>
      </c>
      <c r="AF3060" s="889" t="s">
        <v>459</v>
      </c>
      <c r="AG3060" s="889" t="s">
        <v>459</v>
      </c>
    </row>
    <row r="3061" spans="26:33" x14ac:dyDescent="0.35">
      <c r="Z3061" s="344">
        <v>2818</v>
      </c>
      <c r="AA3061" s="344" t="s">
        <v>539</v>
      </c>
      <c r="AB3061" s="344">
        <v>4</v>
      </c>
      <c r="AC3061" s="344" t="e">
        <v>#N/A</v>
      </c>
      <c r="AD3061" s="74" t="s">
        <v>569</v>
      </c>
      <c r="AE3061" s="344" t="e">
        <v>#N/A</v>
      </c>
      <c r="AF3061" s="889" t="s">
        <v>459</v>
      </c>
      <c r="AG3061" s="889" t="s">
        <v>459</v>
      </c>
    </row>
    <row r="3062" spans="26:33" x14ac:dyDescent="0.35">
      <c r="Z3062" s="344">
        <v>2822</v>
      </c>
      <c r="AA3062" s="344" t="s">
        <v>539</v>
      </c>
      <c r="AB3062" s="344">
        <v>4</v>
      </c>
      <c r="AC3062" s="344" t="e">
        <v>#N/A</v>
      </c>
      <c r="AD3062" s="74" t="s">
        <v>569</v>
      </c>
      <c r="AE3062" s="344" t="e">
        <v>#N/A</v>
      </c>
      <c r="AF3062" s="889" t="s">
        <v>459</v>
      </c>
      <c r="AG3062" s="889" t="s">
        <v>459</v>
      </c>
    </row>
    <row r="3063" spans="26:33" x14ac:dyDescent="0.35">
      <c r="Z3063" s="344">
        <v>2826</v>
      </c>
      <c r="AA3063" s="344" t="s">
        <v>539</v>
      </c>
      <c r="AB3063" s="344">
        <v>4</v>
      </c>
      <c r="AC3063" s="344" t="e">
        <v>#N/A</v>
      </c>
      <c r="AD3063" s="74" t="s">
        <v>569</v>
      </c>
      <c r="AE3063" s="344" t="e">
        <v>#N/A</v>
      </c>
      <c r="AF3063" s="889" t="s">
        <v>459</v>
      </c>
      <c r="AG3063" s="889" t="s">
        <v>459</v>
      </c>
    </row>
    <row r="3064" spans="26:33" x14ac:dyDescent="0.35">
      <c r="Z3064" s="344">
        <v>2838</v>
      </c>
      <c r="AA3064" s="344" t="s">
        <v>539</v>
      </c>
      <c r="AB3064" s="344">
        <v>4</v>
      </c>
      <c r="AC3064" s="344" t="e">
        <v>#N/A</v>
      </c>
      <c r="AD3064" s="74" t="s">
        <v>569</v>
      </c>
      <c r="AE3064" s="344" t="e">
        <v>#N/A</v>
      </c>
      <c r="AF3064" s="889" t="s">
        <v>459</v>
      </c>
      <c r="AG3064" s="889" t="s">
        <v>459</v>
      </c>
    </row>
    <row r="3065" spans="26:33" x14ac:dyDescent="0.35">
      <c r="Z3065" s="344">
        <v>3358</v>
      </c>
      <c r="AA3065" s="344" t="s">
        <v>574</v>
      </c>
      <c r="AB3065" s="344">
        <v>2</v>
      </c>
      <c r="AC3065" s="344" t="e">
        <v>#N/A</v>
      </c>
      <c r="AD3065" s="74" t="s">
        <v>577</v>
      </c>
      <c r="AE3065" s="344" t="e">
        <v>#N/A</v>
      </c>
      <c r="AF3065" s="889" t="s">
        <v>459</v>
      </c>
      <c r="AG3065" s="889" t="s">
        <v>459</v>
      </c>
    </row>
    <row r="3066" spans="26:33" x14ac:dyDescent="0.35">
      <c r="Z3066" s="344">
        <v>3477</v>
      </c>
      <c r="AA3066" s="344" t="s">
        <v>574</v>
      </c>
      <c r="AB3066" s="344">
        <v>4</v>
      </c>
      <c r="AC3066" s="344" t="e">
        <v>#N/A</v>
      </c>
      <c r="AD3066" s="74" t="s">
        <v>578</v>
      </c>
      <c r="AE3066" s="344" t="e">
        <v>#N/A</v>
      </c>
      <c r="AF3066" s="889" t="s">
        <v>459</v>
      </c>
      <c r="AG3066" s="889" t="s">
        <v>459</v>
      </c>
    </row>
    <row r="3067" spans="26:33" x14ac:dyDescent="0.35">
      <c r="Z3067" s="344">
        <v>3691</v>
      </c>
      <c r="AA3067" s="344" t="s">
        <v>539</v>
      </c>
      <c r="AB3067" s="344">
        <v>2</v>
      </c>
      <c r="AC3067" s="344" t="e">
        <v>#N/A</v>
      </c>
      <c r="AD3067" s="74" t="s">
        <v>570</v>
      </c>
      <c r="AE3067" s="344" t="e">
        <v>#N/A</v>
      </c>
      <c r="AF3067" s="889" t="s">
        <v>459</v>
      </c>
      <c r="AG3067" s="889" t="s">
        <v>459</v>
      </c>
    </row>
    <row r="3068" spans="26:33" x14ac:dyDescent="0.35">
      <c r="Z3068" s="344">
        <v>3644</v>
      </c>
      <c r="AA3068" s="344" t="s">
        <v>539</v>
      </c>
      <c r="AB3068" s="344">
        <v>4</v>
      </c>
      <c r="AC3068" s="344" t="e">
        <v>#N/A</v>
      </c>
      <c r="AD3068" s="74" t="s">
        <v>569</v>
      </c>
      <c r="AE3068" s="344" t="e">
        <v>#N/A</v>
      </c>
      <c r="AF3068" s="889" t="s">
        <v>459</v>
      </c>
      <c r="AG3068" s="889" t="s">
        <v>459</v>
      </c>
    </row>
    <row r="3069" spans="26:33" x14ac:dyDescent="0.35">
      <c r="Z3069" s="344">
        <v>3707</v>
      </c>
      <c r="AA3069" s="344" t="s">
        <v>539</v>
      </c>
      <c r="AB3069" s="344">
        <v>4</v>
      </c>
      <c r="AC3069" s="344" t="e">
        <v>#N/A</v>
      </c>
      <c r="AD3069" s="74" t="s">
        <v>569</v>
      </c>
      <c r="AE3069" s="344" t="e">
        <v>#N/A</v>
      </c>
      <c r="AF3069" s="889" t="s">
        <v>459</v>
      </c>
      <c r="AG3069" s="889" t="s">
        <v>459</v>
      </c>
    </row>
    <row r="3070" spans="26:33" x14ac:dyDescent="0.35">
      <c r="Z3070" s="344">
        <v>3832</v>
      </c>
      <c r="AA3070" s="344" t="s">
        <v>574</v>
      </c>
      <c r="AB3070" s="344">
        <v>4</v>
      </c>
      <c r="AC3070" s="344" t="e">
        <v>#N/A</v>
      </c>
      <c r="AD3070" s="74" t="s">
        <v>578</v>
      </c>
      <c r="AE3070" s="344" t="e">
        <v>#N/A</v>
      </c>
      <c r="AF3070" s="889" t="s">
        <v>459</v>
      </c>
      <c r="AG3070" s="889" t="s">
        <v>459</v>
      </c>
    </row>
    <row r="3071" spans="26:33" x14ac:dyDescent="0.35">
      <c r="Z3071" s="344">
        <v>4230</v>
      </c>
      <c r="AA3071" s="344" t="s">
        <v>579</v>
      </c>
      <c r="AB3071" s="344">
        <v>1</v>
      </c>
      <c r="AC3071" s="344" t="e">
        <v>#N/A</v>
      </c>
      <c r="AD3071" s="74" t="s">
        <v>580</v>
      </c>
      <c r="AE3071" s="344" t="e">
        <v>#N/A</v>
      </c>
      <c r="AF3071" s="889" t="s">
        <v>459</v>
      </c>
      <c r="AG3071" s="889" t="s">
        <v>459</v>
      </c>
    </row>
    <row r="3072" spans="26:33" x14ac:dyDescent="0.35">
      <c r="Z3072" s="344">
        <v>4314</v>
      </c>
      <c r="AA3072" s="344" t="s">
        <v>579</v>
      </c>
      <c r="AB3072" s="344">
        <v>4</v>
      </c>
      <c r="AC3072" s="344" t="e">
        <v>#N/A</v>
      </c>
      <c r="AD3072" s="74" t="s">
        <v>581</v>
      </c>
      <c r="AE3072" s="344" t="e">
        <v>#N/A</v>
      </c>
      <c r="AF3072" s="889" t="s">
        <v>459</v>
      </c>
      <c r="AG3072" s="889" t="s">
        <v>459</v>
      </c>
    </row>
    <row r="3073" spans="26:33" x14ac:dyDescent="0.35">
      <c r="Z3073" s="344">
        <v>4375</v>
      </c>
      <c r="AA3073" s="344" t="s">
        <v>539</v>
      </c>
      <c r="AB3073" s="344">
        <v>4</v>
      </c>
      <c r="AC3073" s="344" t="e">
        <v>#N/A</v>
      </c>
      <c r="AD3073" s="74" t="s">
        <v>569</v>
      </c>
      <c r="AE3073" s="344" t="e">
        <v>#N/A</v>
      </c>
      <c r="AF3073" s="889" t="s">
        <v>459</v>
      </c>
      <c r="AG3073" s="889" t="s">
        <v>459</v>
      </c>
    </row>
    <row r="3074" spans="26:33" x14ac:dyDescent="0.35">
      <c r="Z3074" s="344">
        <v>4377</v>
      </c>
      <c r="AA3074" s="344" t="s">
        <v>539</v>
      </c>
      <c r="AB3074" s="344">
        <v>4</v>
      </c>
      <c r="AC3074" s="344" t="e">
        <v>#N/A</v>
      </c>
      <c r="AD3074" s="74" t="s">
        <v>569</v>
      </c>
      <c r="AE3074" s="344" t="e">
        <v>#N/A</v>
      </c>
      <c r="AF3074" s="889" t="s">
        <v>459</v>
      </c>
      <c r="AG3074" s="889" t="s">
        <v>459</v>
      </c>
    </row>
    <row r="3075" spans="26:33" x14ac:dyDescent="0.35">
      <c r="Z3075" s="344">
        <v>4383</v>
      </c>
      <c r="AA3075" s="344" t="s">
        <v>539</v>
      </c>
      <c r="AB3075" s="344">
        <v>4</v>
      </c>
      <c r="AC3075" s="344" t="e">
        <v>#N/A</v>
      </c>
      <c r="AD3075" s="74" t="s">
        <v>569</v>
      </c>
      <c r="AE3075" s="344" t="e">
        <v>#N/A</v>
      </c>
      <c r="AF3075" s="889" t="s">
        <v>459</v>
      </c>
      <c r="AG3075" s="889" t="s">
        <v>459</v>
      </c>
    </row>
    <row r="3076" spans="26:33" x14ac:dyDescent="0.35">
      <c r="Z3076" s="344">
        <v>4385</v>
      </c>
      <c r="AA3076" s="344" t="s">
        <v>539</v>
      </c>
      <c r="AB3076" s="344">
        <v>4</v>
      </c>
      <c r="AC3076" s="344" t="e">
        <v>#N/A</v>
      </c>
      <c r="AD3076" s="74" t="s">
        <v>569</v>
      </c>
      <c r="AE3076" s="344" t="e">
        <v>#N/A</v>
      </c>
      <c r="AF3076" s="889" t="s">
        <v>459</v>
      </c>
      <c r="AG3076" s="889" t="s">
        <v>459</v>
      </c>
    </row>
    <row r="3077" spans="26:33" x14ac:dyDescent="0.35">
      <c r="Z3077" s="344">
        <v>4672</v>
      </c>
      <c r="AA3077" s="344" t="s">
        <v>579</v>
      </c>
      <c r="AB3077" s="344">
        <v>4</v>
      </c>
      <c r="AC3077" s="344" t="e">
        <v>#N/A</v>
      </c>
      <c r="AD3077" s="74" t="s">
        <v>581</v>
      </c>
      <c r="AE3077" s="344" t="e">
        <v>#N/A</v>
      </c>
      <c r="AF3077" s="889" t="s">
        <v>459</v>
      </c>
      <c r="AG3077" s="889" t="s">
        <v>459</v>
      </c>
    </row>
    <row r="3078" spans="26:33" x14ac:dyDescent="0.35">
      <c r="Z3078" s="344">
        <v>4892</v>
      </c>
      <c r="AA3078" s="344" t="s">
        <v>579</v>
      </c>
      <c r="AB3078" s="344">
        <v>4</v>
      </c>
      <c r="AC3078" s="344" t="e">
        <v>#N/A</v>
      </c>
      <c r="AD3078" s="74" t="s">
        <v>581</v>
      </c>
      <c r="AE3078" s="344" t="e">
        <v>#N/A</v>
      </c>
      <c r="AF3078" s="889" t="s">
        <v>459</v>
      </c>
      <c r="AG3078" s="889" t="s">
        <v>459</v>
      </c>
    </row>
    <row r="3079" spans="26:33" x14ac:dyDescent="0.35">
      <c r="Z3079" s="344">
        <v>5611</v>
      </c>
      <c r="AA3079" s="344" t="s">
        <v>584</v>
      </c>
      <c r="AB3079" s="344">
        <v>4</v>
      </c>
      <c r="AC3079" s="344" t="e">
        <v>#N/A</v>
      </c>
      <c r="AD3079" s="74" t="s">
        <v>586</v>
      </c>
      <c r="AE3079" s="344" t="e">
        <v>#N/A</v>
      </c>
      <c r="AF3079" s="889" t="s">
        <v>459</v>
      </c>
      <c r="AG3079" s="889" t="s">
        <v>459</v>
      </c>
    </row>
    <row r="3080" spans="26:33" x14ac:dyDescent="0.35">
      <c r="Z3080" s="344">
        <v>5701</v>
      </c>
      <c r="AA3080" s="344" t="s">
        <v>584</v>
      </c>
      <c r="AB3080" s="344">
        <v>4</v>
      </c>
      <c r="AC3080" s="344" t="e">
        <v>#N/A</v>
      </c>
      <c r="AD3080" s="74" t="s">
        <v>586</v>
      </c>
      <c r="AE3080" s="344" t="e">
        <v>#N/A</v>
      </c>
      <c r="AF3080" s="889" t="s">
        <v>459</v>
      </c>
      <c r="AG3080" s="889" t="s">
        <v>459</v>
      </c>
    </row>
    <row r="3081" spans="26:33" x14ac:dyDescent="0.35">
      <c r="Z3081" s="344">
        <v>5713</v>
      </c>
      <c r="AA3081" s="344" t="s">
        <v>584</v>
      </c>
      <c r="AB3081" s="344">
        <v>4</v>
      </c>
      <c r="AC3081" s="344" t="e">
        <v>#N/A</v>
      </c>
      <c r="AD3081" s="74" t="s">
        <v>586</v>
      </c>
      <c r="AE3081" s="344" t="e">
        <v>#N/A</v>
      </c>
      <c r="AF3081" s="889" t="s">
        <v>459</v>
      </c>
      <c r="AG3081" s="889" t="s">
        <v>459</v>
      </c>
    </row>
    <row r="3082" spans="26:33" x14ac:dyDescent="0.35">
      <c r="Z3082" s="344">
        <v>5715</v>
      </c>
      <c r="AA3082" s="344" t="s">
        <v>584</v>
      </c>
      <c r="AB3082" s="344">
        <v>4</v>
      </c>
      <c r="AC3082" s="344" t="e">
        <v>#N/A</v>
      </c>
      <c r="AD3082" s="74" t="s">
        <v>586</v>
      </c>
      <c r="AE3082" s="344" t="e">
        <v>#N/A</v>
      </c>
      <c r="AF3082" s="889" t="s">
        <v>459</v>
      </c>
      <c r="AG3082" s="889" t="s">
        <v>459</v>
      </c>
    </row>
    <row r="3083" spans="26:33" x14ac:dyDescent="0.35">
      <c r="Z3083" s="344">
        <v>5717</v>
      </c>
      <c r="AA3083" s="344" t="s">
        <v>584</v>
      </c>
      <c r="AB3083" s="344">
        <v>4</v>
      </c>
      <c r="AC3083" s="344" t="e">
        <v>#N/A</v>
      </c>
      <c r="AD3083" s="74" t="s">
        <v>586</v>
      </c>
      <c r="AE3083" s="344" t="e">
        <v>#N/A</v>
      </c>
      <c r="AF3083" s="889" t="s">
        <v>459</v>
      </c>
      <c r="AG3083" s="889" t="s">
        <v>459</v>
      </c>
    </row>
    <row r="3084" spans="26:33" x14ac:dyDescent="0.35">
      <c r="Z3084" s="344">
        <v>5950</v>
      </c>
      <c r="AA3084" s="344" t="s">
        <v>584</v>
      </c>
      <c r="AB3084" s="344">
        <v>4</v>
      </c>
      <c r="AC3084" s="344" t="e">
        <v>#N/A</v>
      </c>
      <c r="AD3084" s="74" t="s">
        <v>586</v>
      </c>
      <c r="AE3084" s="344" t="e">
        <v>#N/A</v>
      </c>
      <c r="AF3084" s="889" t="s">
        <v>459</v>
      </c>
      <c r="AG3084" s="889" t="s">
        <v>459</v>
      </c>
    </row>
    <row r="3085" spans="26:33" x14ac:dyDescent="0.35">
      <c r="Z3085" s="344">
        <v>4825</v>
      </c>
      <c r="AA3085" s="344" t="s">
        <v>456</v>
      </c>
      <c r="AB3085" s="344">
        <v>3</v>
      </c>
      <c r="AC3085" s="344" t="e">
        <v>#N/A</v>
      </c>
      <c r="AD3085" s="74" t="s">
        <v>503</v>
      </c>
      <c r="AE3085" s="344" t="e">
        <v>#N/A</v>
      </c>
      <c r="AF3085" s="889" t="s">
        <v>460</v>
      </c>
      <c r="AG3085" s="889" t="s">
        <v>459</v>
      </c>
    </row>
    <row r="3086" spans="26:33" x14ac:dyDescent="0.35">
      <c r="Z3086" s="344">
        <v>834</v>
      </c>
      <c r="AA3086" s="344" t="s">
        <v>456</v>
      </c>
      <c r="AB3086" s="344">
        <v>2</v>
      </c>
      <c r="AC3086" s="344" t="e">
        <v>#N/A</v>
      </c>
      <c r="AD3086" s="74" t="s">
        <v>510</v>
      </c>
      <c r="AE3086" s="344" t="e">
        <v>#N/A</v>
      </c>
      <c r="AF3086" s="889" t="s">
        <v>459</v>
      </c>
      <c r="AG3086" s="889" t="s">
        <v>459</v>
      </c>
    </row>
    <row r="3087" spans="26:33" x14ac:dyDescent="0.35">
      <c r="Z3087" s="344">
        <v>839</v>
      </c>
      <c r="AA3087" s="344" t="s">
        <v>456</v>
      </c>
      <c r="AB3087" s="344">
        <v>2</v>
      </c>
      <c r="AC3087" s="344" t="e">
        <v>#N/A</v>
      </c>
      <c r="AD3087" s="74" t="s">
        <v>510</v>
      </c>
      <c r="AE3087" s="344" t="e">
        <v>#N/A</v>
      </c>
      <c r="AF3087" s="889" t="s">
        <v>459</v>
      </c>
      <c r="AG3087" s="889" t="s">
        <v>459</v>
      </c>
    </row>
    <row r="3088" spans="26:33" x14ac:dyDescent="0.35">
      <c r="Z3088" s="344">
        <v>872</v>
      </c>
      <c r="AA3088" s="344" t="s">
        <v>584</v>
      </c>
      <c r="AB3088" s="344">
        <v>4</v>
      </c>
      <c r="AC3088" s="344" t="e">
        <v>#N/A</v>
      </c>
      <c r="AD3088" s="74" t="s">
        <v>586</v>
      </c>
      <c r="AE3088" s="344" t="e">
        <v>#N/A</v>
      </c>
      <c r="AF3088" s="889" t="s">
        <v>459</v>
      </c>
      <c r="AG3088" s="889" t="s">
        <v>459</v>
      </c>
    </row>
    <row r="3089" spans="26:33" x14ac:dyDescent="0.35">
      <c r="Z3089" s="344">
        <v>872</v>
      </c>
      <c r="AA3089" s="344" t="s">
        <v>589</v>
      </c>
      <c r="AB3089" s="344">
        <v>4</v>
      </c>
      <c r="AC3089" s="344" t="e">
        <v>#N/A</v>
      </c>
      <c r="AD3089" s="74" t="s">
        <v>591</v>
      </c>
      <c r="AE3089" s="344" t="e">
        <v>#N/A</v>
      </c>
      <c r="AF3089" s="889" t="s">
        <v>459</v>
      </c>
      <c r="AG3089" s="889" t="s">
        <v>459</v>
      </c>
    </row>
    <row r="3090" spans="26:33" x14ac:dyDescent="0.35">
      <c r="Z3090" s="344">
        <v>873</v>
      </c>
      <c r="AA3090" s="344" t="s">
        <v>456</v>
      </c>
      <c r="AB3090" s="344">
        <v>4</v>
      </c>
      <c r="AC3090" s="344" t="e">
        <v>#N/A</v>
      </c>
      <c r="AD3090" s="74" t="s">
        <v>463</v>
      </c>
      <c r="AE3090" s="344" t="e">
        <v>#N/A</v>
      </c>
      <c r="AF3090" s="889" t="s">
        <v>459</v>
      </c>
      <c r="AG3090" s="889" t="s">
        <v>459</v>
      </c>
    </row>
    <row r="3091" spans="26:33" x14ac:dyDescent="0.35">
      <c r="Z3091" s="344">
        <v>874</v>
      </c>
      <c r="AA3091" s="344" t="s">
        <v>456</v>
      </c>
      <c r="AB3091" s="344">
        <v>4</v>
      </c>
      <c r="AC3091" s="344" t="e">
        <v>#N/A</v>
      </c>
      <c r="AD3091" s="74" t="s">
        <v>463</v>
      </c>
      <c r="AE3091" s="344" t="e">
        <v>#N/A</v>
      </c>
      <c r="AF3091" s="889" t="s">
        <v>459</v>
      </c>
      <c r="AG3091" s="889" t="s">
        <v>459</v>
      </c>
    </row>
    <row r="3092" spans="26:33" x14ac:dyDescent="0.35">
      <c r="Z3092" s="344">
        <v>875</v>
      </c>
      <c r="AA3092" s="344" t="s">
        <v>456</v>
      </c>
      <c r="AB3092" s="344">
        <v>3</v>
      </c>
      <c r="AC3092" s="344" t="e">
        <v>#N/A</v>
      </c>
      <c r="AD3092" s="74" t="s">
        <v>503</v>
      </c>
      <c r="AE3092" s="344" t="e">
        <v>#N/A</v>
      </c>
      <c r="AF3092" s="889" t="s">
        <v>459</v>
      </c>
      <c r="AG3092" s="889" t="s">
        <v>459</v>
      </c>
    </row>
    <row r="3093" spans="26:33" x14ac:dyDescent="0.35">
      <c r="Z3093" s="344">
        <v>885</v>
      </c>
      <c r="AA3093" s="344" t="s">
        <v>456</v>
      </c>
      <c r="AB3093" s="344">
        <v>4</v>
      </c>
      <c r="AC3093" s="344" t="e">
        <v>#N/A</v>
      </c>
      <c r="AD3093" s="74" t="s">
        <v>463</v>
      </c>
      <c r="AE3093" s="344" t="e">
        <v>#N/A</v>
      </c>
      <c r="AF3093" s="889" t="s">
        <v>459</v>
      </c>
      <c r="AG3093" s="889" t="s">
        <v>459</v>
      </c>
    </row>
  </sheetData>
  <sheetProtection algorithmName="SHA-512" hashValue="75rD8YoK6WiYs+Hu/s8lJRZ+Qnei6/dBiLT5fsS3K2D2nUk90hf/qZ38NiUnAWRp0DduB3ezFYOdoZQ7ewyAfw==" saltValue="soF71P+me70dhTCMhuUgqw==" spinCount="100000" sheet="1" objects="1" scenarios="1"/>
  <autoFilter ref="Z1:AE3048" xr:uid="{00000000-0009-0000-0000-000006000000}"/>
  <mergeCells count="11">
    <mergeCell ref="B32:C32"/>
    <mergeCell ref="F13:I13"/>
    <mergeCell ref="B13:D13"/>
    <mergeCell ref="B40:E41"/>
    <mergeCell ref="F22:I22"/>
    <mergeCell ref="AI1:AJ1"/>
    <mergeCell ref="B5:D5"/>
    <mergeCell ref="B6:D6"/>
    <mergeCell ref="F31:H31"/>
    <mergeCell ref="B7:D7"/>
    <mergeCell ref="B8:D8"/>
  </mergeCells>
  <phoneticPr fontId="34" type="noConversion"/>
  <dataValidations count="1">
    <dataValidation type="list" allowBlank="1" showInputMessage="1" showErrorMessage="1" sqref="C39" xr:uid="{00000000-0002-0000-0600-000000000000}">
      <formula1>"Y,N"</formula1>
    </dataValidation>
  </dataValidations>
  <pageMargins left="0.75" right="0.75" top="1" bottom="1" header="0.5" footer="0.5"/>
  <pageSetup paperSize="9" orientation="portrait" horizontalDpi="1200" verticalDpi="12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3561" r:id="rId4" name="Drop Down 9">
              <controlPr defaultSize="0" autoLine="0" autoPict="0" macro="[0]!DropDown9_Change">
                <anchor moveWithCells="1">
                  <from>
                    <xdr:col>8</xdr:col>
                    <xdr:colOff>28575</xdr:colOff>
                    <xdr:row>0</xdr:row>
                    <xdr:rowOff>381000</xdr:rowOff>
                  </from>
                  <to>
                    <xdr:col>8</xdr:col>
                    <xdr:colOff>914400</xdr:colOff>
                    <xdr:row>2</xdr:row>
                    <xdr:rowOff>28575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dimension ref="A1:W36"/>
  <sheetViews>
    <sheetView workbookViewId="0">
      <selection activeCell="C20" sqref="C20:W30"/>
    </sheetView>
  </sheetViews>
  <sheetFormatPr defaultRowHeight="12.75" x14ac:dyDescent="0.35"/>
  <cols>
    <col min="1" max="1" width="31.73046875" bestFit="1" customWidth="1"/>
    <col min="2" max="2" width="6" bestFit="1" customWidth="1"/>
    <col min="3" max="3" width="8.59765625" bestFit="1" customWidth="1"/>
    <col min="4" max="14" width="12.3984375" bestFit="1" customWidth="1"/>
    <col min="15" max="23" width="13.73046875" bestFit="1" customWidth="1"/>
  </cols>
  <sheetData>
    <row r="1" spans="1:23" ht="28.5" x14ac:dyDescent="0.85">
      <c r="D1" s="1460" t="s">
        <v>600</v>
      </c>
      <c r="E1" s="1460"/>
      <c r="F1" s="1460"/>
      <c r="G1" s="1460"/>
      <c r="H1" s="1460"/>
      <c r="I1" s="1460"/>
      <c r="J1" s="1460"/>
      <c r="K1" s="1460"/>
      <c r="L1" s="1460"/>
      <c r="M1" s="1460"/>
      <c r="N1" s="1460"/>
      <c r="O1" s="1460"/>
      <c r="P1" s="1460"/>
      <c r="Q1" s="1460"/>
      <c r="R1" s="1460"/>
      <c r="S1" s="1460"/>
      <c r="T1" s="1460"/>
      <c r="U1" s="1460"/>
      <c r="V1" s="1460"/>
      <c r="W1" s="1460"/>
    </row>
    <row r="2" spans="1:23" ht="13.15" x14ac:dyDescent="0.4">
      <c r="D2" s="1461" t="s">
        <v>601</v>
      </c>
      <c r="E2" s="1461"/>
      <c r="F2" s="1461"/>
      <c r="G2" s="1461"/>
      <c r="H2" s="1461"/>
      <c r="I2" s="1461"/>
      <c r="J2" s="1461"/>
      <c r="K2" s="1461"/>
      <c r="L2" s="1461"/>
      <c r="M2" s="1461"/>
      <c r="N2" s="1461"/>
      <c r="O2" s="1461"/>
      <c r="P2" s="1461"/>
      <c r="Q2" s="1461"/>
      <c r="R2" s="1461"/>
      <c r="S2" s="1461"/>
      <c r="T2" s="1461"/>
      <c r="U2" s="1461"/>
      <c r="V2" s="1461"/>
      <c r="W2" s="1461"/>
    </row>
    <row r="3" spans="1:23" ht="13.15" x14ac:dyDescent="0.4">
      <c r="D3" s="1461" t="s">
        <v>602</v>
      </c>
      <c r="E3" s="1461"/>
      <c r="F3" s="1461"/>
      <c r="G3" s="1461"/>
      <c r="H3" s="1461"/>
      <c r="I3" s="1461"/>
      <c r="J3" s="1461"/>
      <c r="K3" s="1461"/>
      <c r="L3" s="1461"/>
      <c r="M3" s="1461"/>
      <c r="N3" s="1461"/>
      <c r="O3" s="1461"/>
      <c r="P3" s="1461"/>
      <c r="Q3" s="1461"/>
      <c r="R3" s="1461"/>
      <c r="S3" s="1461"/>
      <c r="T3" s="1461"/>
      <c r="U3" s="1461"/>
      <c r="V3" s="1461"/>
      <c r="W3" s="1461"/>
    </row>
    <row r="4" spans="1:23" x14ac:dyDescent="0.35">
      <c r="D4" s="1462" t="s">
        <v>603</v>
      </c>
      <c r="E4" s="1462"/>
      <c r="F4" s="1462"/>
      <c r="G4" s="1462"/>
      <c r="H4" s="1462"/>
      <c r="I4" s="1462"/>
      <c r="J4" s="1462"/>
      <c r="K4" s="1462"/>
      <c r="L4" s="1462"/>
      <c r="M4" s="1462"/>
      <c r="N4" s="1462"/>
      <c r="O4" s="1462"/>
      <c r="P4" s="1462"/>
      <c r="Q4" s="1462"/>
      <c r="R4" s="1462"/>
      <c r="S4" s="1462"/>
      <c r="T4" s="1462"/>
      <c r="U4" s="1462"/>
      <c r="V4" s="1462"/>
      <c r="W4" s="1462"/>
    </row>
    <row r="5" spans="1:23" ht="9" customHeight="1" thickBot="1" x14ac:dyDescent="0.4">
      <c r="D5" s="891"/>
      <c r="E5" s="891"/>
      <c r="F5" s="891"/>
      <c r="G5" s="891"/>
      <c r="H5" s="891"/>
      <c r="I5" s="891"/>
      <c r="J5" s="891"/>
      <c r="K5" s="891"/>
      <c r="L5" s="891"/>
      <c r="M5" s="891"/>
      <c r="N5" s="891"/>
      <c r="O5" s="891"/>
      <c r="P5" s="891"/>
      <c r="Q5" s="891"/>
      <c r="R5" s="891"/>
      <c r="S5" s="891"/>
      <c r="T5" s="891"/>
      <c r="U5" s="891"/>
      <c r="V5" s="891"/>
      <c r="W5" s="891"/>
    </row>
    <row r="6" spans="1:23" ht="51.75" customHeight="1" thickBot="1" x14ac:dyDescent="0.9">
      <c r="A6" s="906" t="s">
        <v>604</v>
      </c>
      <c r="B6" s="908"/>
      <c r="C6" s="908" t="s">
        <v>766</v>
      </c>
      <c r="D6" s="908" t="s">
        <v>767</v>
      </c>
      <c r="E6" s="908" t="s">
        <v>768</v>
      </c>
      <c r="F6" s="908" t="s">
        <v>769</v>
      </c>
      <c r="G6" s="908" t="s">
        <v>770</v>
      </c>
      <c r="H6" s="908" t="s">
        <v>771</v>
      </c>
      <c r="I6" s="908" t="s">
        <v>772</v>
      </c>
      <c r="J6" s="908" t="s">
        <v>773</v>
      </c>
      <c r="K6" s="908" t="s">
        <v>774</v>
      </c>
      <c r="L6" s="908" t="s">
        <v>775</v>
      </c>
      <c r="M6" s="908" t="s">
        <v>776</v>
      </c>
      <c r="N6" s="908" t="s">
        <v>777</v>
      </c>
      <c r="O6" s="909" t="s">
        <v>778</v>
      </c>
      <c r="P6" s="909" t="s">
        <v>779</v>
      </c>
      <c r="Q6" s="909" t="s">
        <v>780</v>
      </c>
      <c r="R6" s="909" t="s">
        <v>781</v>
      </c>
      <c r="S6" s="909" t="s">
        <v>782</v>
      </c>
      <c r="T6" s="909" t="s">
        <v>783</v>
      </c>
      <c r="U6" s="909"/>
      <c r="V6" s="909"/>
      <c r="W6" s="907"/>
    </row>
    <row r="7" spans="1:23" ht="13.9" thickBot="1" x14ac:dyDescent="0.4">
      <c r="A7" s="908" t="s">
        <v>605</v>
      </c>
      <c r="B7" s="907" t="s">
        <v>69</v>
      </c>
      <c r="C7" s="915">
        <v>0</v>
      </c>
      <c r="D7" s="916">
        <v>26000.000001</v>
      </c>
      <c r="E7" s="916">
        <v>39000.000001</v>
      </c>
      <c r="F7" s="916">
        <v>51000.000001</v>
      </c>
      <c r="G7" s="916">
        <v>64000.000001</v>
      </c>
      <c r="H7" s="916">
        <v>77000.000000999993</v>
      </c>
      <c r="I7" s="916">
        <v>103000.00000099999</v>
      </c>
      <c r="J7" s="916">
        <v>129000.00000099999</v>
      </c>
      <c r="K7" s="916">
        <v>154000.00000100001</v>
      </c>
      <c r="L7" s="916">
        <v>180000.00000100001</v>
      </c>
      <c r="M7" s="916">
        <v>206000.00000100001</v>
      </c>
      <c r="N7" s="916">
        <v>257000.00000100001</v>
      </c>
      <c r="O7" s="917">
        <v>321000.00000100001</v>
      </c>
      <c r="P7" s="917">
        <v>386000.00000100001</v>
      </c>
      <c r="Q7" s="917">
        <v>643000.00000100001</v>
      </c>
      <c r="R7" s="917">
        <v>900000.00000100001</v>
      </c>
      <c r="S7" s="917">
        <v>1157000.000001</v>
      </c>
      <c r="T7" s="917">
        <v>1414000.000001</v>
      </c>
      <c r="U7" s="917"/>
      <c r="V7" s="917"/>
      <c r="W7" s="918"/>
    </row>
    <row r="8" spans="1:23" x14ac:dyDescent="0.35">
      <c r="A8" s="892" t="s">
        <v>8</v>
      </c>
      <c r="B8" s="903" t="s">
        <v>519</v>
      </c>
      <c r="C8" s="893">
        <v>596.75</v>
      </c>
      <c r="D8" s="922">
        <v>596.75</v>
      </c>
      <c r="E8" s="893">
        <v>603.34424814431554</v>
      </c>
      <c r="F8" s="893">
        <v>627.46464943361048</v>
      </c>
      <c r="G8" s="894">
        <v>668.9426667324027</v>
      </c>
      <c r="H8" s="894">
        <v>732.47262512607142</v>
      </c>
      <c r="I8" s="894">
        <v>811.65253829743608</v>
      </c>
      <c r="J8" s="894">
        <v>885.36899811115848</v>
      </c>
      <c r="K8" s="894">
        <v>967.66327893090215</v>
      </c>
      <c r="L8" s="894">
        <v>1010.4808809045049</v>
      </c>
      <c r="M8" s="894">
        <v>1073.3002084955115</v>
      </c>
      <c r="N8" s="894">
        <v>1196.7851384864184</v>
      </c>
      <c r="O8" s="895">
        <v>1343.3383270100026</v>
      </c>
      <c r="P8" s="895">
        <v>1380.7263454948334</v>
      </c>
      <c r="Q8" s="895">
        <v>1408.7401086161206</v>
      </c>
      <c r="R8" s="895">
        <v>1427.4159506969788</v>
      </c>
      <c r="S8" s="895">
        <v>1446.0917927778369</v>
      </c>
      <c r="T8" s="895">
        <v>1446.0917927778369</v>
      </c>
      <c r="U8" s="895"/>
      <c r="V8" s="895"/>
      <c r="W8" s="896"/>
    </row>
    <row r="9" spans="1:23" x14ac:dyDescent="0.35">
      <c r="A9" s="892" t="s">
        <v>606</v>
      </c>
      <c r="B9" s="903" t="s">
        <v>522</v>
      </c>
      <c r="C9" s="893">
        <v>693.53649798451374</v>
      </c>
      <c r="D9" s="893">
        <v>693.53649798451374</v>
      </c>
      <c r="E9" s="893">
        <v>693.53649798451374</v>
      </c>
      <c r="F9" s="893">
        <v>717.77593722414645</v>
      </c>
      <c r="G9" s="894">
        <v>759.45861647129084</v>
      </c>
      <c r="H9" s="894">
        <v>823.30198555000743</v>
      </c>
      <c r="I9" s="894">
        <v>902.87260976072366</v>
      </c>
      <c r="J9" s="894">
        <v>976.95276830028536</v>
      </c>
      <c r="K9" s="894">
        <v>1059.6531449986564</v>
      </c>
      <c r="L9" s="894">
        <v>1102.6819350119947</v>
      </c>
      <c r="M9" s="894">
        <v>1165.8113060732046</v>
      </c>
      <c r="N9" s="894">
        <v>1289.9055111304517</v>
      </c>
      <c r="O9" s="895">
        <v>1437.1816823547967</v>
      </c>
      <c r="P9" s="895">
        <v>1474.7542846825015</v>
      </c>
      <c r="Q9" s="895">
        <v>1502.9063511496156</v>
      </c>
      <c r="R9" s="895">
        <v>1521.6743954610249</v>
      </c>
      <c r="S9" s="895">
        <v>1540.4424397724345</v>
      </c>
      <c r="T9" s="895">
        <v>1540.4424397724345</v>
      </c>
      <c r="U9" s="895"/>
      <c r="V9" s="895"/>
      <c r="W9" s="896"/>
    </row>
    <row r="10" spans="1:23" x14ac:dyDescent="0.35">
      <c r="A10" s="892" t="s">
        <v>607</v>
      </c>
      <c r="B10" s="903" t="s">
        <v>523</v>
      </c>
      <c r="C10" s="893">
        <v>765.24761764872619</v>
      </c>
      <c r="D10" s="893">
        <v>765.24761764872619</v>
      </c>
      <c r="E10" s="893">
        <v>765.24761764872619</v>
      </c>
      <c r="F10" s="893">
        <v>789.42586393582542</v>
      </c>
      <c r="G10" s="894">
        <v>831.00334362643264</v>
      </c>
      <c r="H10" s="894">
        <v>894.68563038364346</v>
      </c>
      <c r="I10" s="894">
        <v>974.05546800575894</v>
      </c>
      <c r="J10" s="894">
        <v>1047.9486759731176</v>
      </c>
      <c r="K10" s="894">
        <v>1130.4403870330402</v>
      </c>
      <c r="L10" s="894">
        <v>1173.360599238373</v>
      </c>
      <c r="M10" s="894">
        <v>1236.3306711715236</v>
      </c>
      <c r="N10" s="894">
        <v>1360.1117399131299</v>
      </c>
      <c r="O10" s="895">
        <v>1507.016278009098</v>
      </c>
      <c r="P10" s="895">
        <v>1544.4940335570741</v>
      </c>
      <c r="Q10" s="895">
        <v>1572.5750340696977</v>
      </c>
      <c r="R10" s="895">
        <v>1591.2957010781133</v>
      </c>
      <c r="S10" s="895">
        <v>1610.0163680865289</v>
      </c>
      <c r="T10" s="895">
        <v>1610.0163680865289</v>
      </c>
      <c r="U10" s="895"/>
      <c r="V10" s="895"/>
      <c r="W10" s="896"/>
    </row>
    <row r="11" spans="1:23" x14ac:dyDescent="0.35">
      <c r="A11" s="897" t="s">
        <v>608</v>
      </c>
      <c r="B11" s="903" t="s">
        <v>525</v>
      </c>
      <c r="C11" s="893">
        <v>848.64940553620681</v>
      </c>
      <c r="D11" s="893">
        <v>848.64940553620681</v>
      </c>
      <c r="E11" s="893">
        <v>848.64940553620681</v>
      </c>
      <c r="F11" s="893">
        <v>848.64940553620681</v>
      </c>
      <c r="G11" s="894">
        <v>889.88733939233111</v>
      </c>
      <c r="H11" s="894">
        <v>953.04958655966095</v>
      </c>
      <c r="I11" s="894">
        <v>1031.7711539797426</v>
      </c>
      <c r="J11" s="894">
        <v>1105.0608745204111</v>
      </c>
      <c r="K11" s="894">
        <v>1186.8788556521695</v>
      </c>
      <c r="L11" s="894">
        <v>1229.4485375566901</v>
      </c>
      <c r="M11" s="894">
        <v>1291.9043315512481</v>
      </c>
      <c r="N11" s="894">
        <v>1414.6744776288822</v>
      </c>
      <c r="O11" s="895">
        <v>1560.379279868557</v>
      </c>
      <c r="P11" s="895">
        <v>1597.5509537768814</v>
      </c>
      <c r="Q11" s="895">
        <v>1625.4026161513402</v>
      </c>
      <c r="R11" s="895">
        <v>1643.9703910676462</v>
      </c>
      <c r="S11" s="895">
        <v>1662.538165983952</v>
      </c>
      <c r="T11" s="895">
        <v>1662.538165983952</v>
      </c>
      <c r="U11" s="895"/>
      <c r="V11" s="895"/>
      <c r="W11" s="896"/>
    </row>
    <row r="12" spans="1:23" x14ac:dyDescent="0.35">
      <c r="A12" s="898" t="s">
        <v>609</v>
      </c>
      <c r="B12" s="904" t="s">
        <v>526</v>
      </c>
      <c r="C12" s="893">
        <v>907.87294713658821</v>
      </c>
      <c r="D12" s="893">
        <v>907.87294713658821</v>
      </c>
      <c r="E12" s="893">
        <v>907.87294713658821</v>
      </c>
      <c r="F12" s="893">
        <v>907.87294713658821</v>
      </c>
      <c r="G12" s="893">
        <v>948.77133515822959</v>
      </c>
      <c r="H12" s="893">
        <v>1011.4135427356784</v>
      </c>
      <c r="I12" s="893">
        <v>1089.4868399537263</v>
      </c>
      <c r="J12" s="893">
        <v>1162.1730730677045</v>
      </c>
      <c r="K12" s="893">
        <v>1243.3173242712987</v>
      </c>
      <c r="L12" s="893">
        <v>1285.5364758750072</v>
      </c>
      <c r="M12" s="893">
        <v>1347.4779919309726</v>
      </c>
      <c r="N12" s="893">
        <v>1469.2372153446345</v>
      </c>
      <c r="O12" s="893">
        <v>1613.742281728016</v>
      </c>
      <c r="P12" s="893">
        <v>1650.6078739966888</v>
      </c>
      <c r="Q12" s="893">
        <v>1678.2301982329827</v>
      </c>
      <c r="R12" s="893">
        <v>1696.6450810571791</v>
      </c>
      <c r="S12" s="893">
        <v>1715.0599638813751</v>
      </c>
      <c r="T12" s="893">
        <v>1715.0599638813751</v>
      </c>
      <c r="U12" s="893"/>
      <c r="V12" s="893"/>
      <c r="W12" s="899"/>
    </row>
    <row r="13" spans="1:23" x14ac:dyDescent="0.35">
      <c r="A13" s="898" t="s">
        <v>610</v>
      </c>
      <c r="B13" s="904" t="s">
        <v>527</v>
      </c>
      <c r="C13" s="893">
        <v>967.0964887369696</v>
      </c>
      <c r="D13" s="893">
        <v>967.0964887369696</v>
      </c>
      <c r="E13" s="893">
        <v>967.0964887369696</v>
      </c>
      <c r="F13" s="893">
        <v>967.0964887369696</v>
      </c>
      <c r="G13" s="893">
        <v>1007.6553309241281</v>
      </c>
      <c r="H13" s="893">
        <v>1069.7774989116961</v>
      </c>
      <c r="I13" s="893">
        <v>1147.20252592771</v>
      </c>
      <c r="J13" s="893">
        <v>1219.285271614998</v>
      </c>
      <c r="K13" s="893">
        <v>1299.755792890428</v>
      </c>
      <c r="L13" s="893">
        <v>1341.6244141933244</v>
      </c>
      <c r="M13" s="893">
        <v>1403.0516523106971</v>
      </c>
      <c r="N13" s="893">
        <v>1523.7999530603868</v>
      </c>
      <c r="O13" s="893">
        <v>1667.105283587475</v>
      </c>
      <c r="P13" s="893">
        <v>1703.6647942164961</v>
      </c>
      <c r="Q13" s="893">
        <v>1731.0577803146252</v>
      </c>
      <c r="R13" s="893">
        <v>1749.319771046712</v>
      </c>
      <c r="S13" s="893">
        <v>1767.5817617787982</v>
      </c>
      <c r="T13" s="893">
        <v>1767.5817617787982</v>
      </c>
      <c r="U13" s="893"/>
      <c r="V13" s="893"/>
      <c r="W13" s="899"/>
    </row>
    <row r="14" spans="1:23" x14ac:dyDescent="0.35">
      <c r="A14" s="898" t="s">
        <v>611</v>
      </c>
      <c r="B14" s="904" t="s">
        <v>529</v>
      </c>
      <c r="C14" s="893">
        <v>1026.320030337351</v>
      </c>
      <c r="D14" s="893">
        <v>1026.320030337351</v>
      </c>
      <c r="E14" s="893">
        <v>1026.320030337351</v>
      </c>
      <c r="F14" s="893">
        <v>1026.320030337351</v>
      </c>
      <c r="G14" s="893">
        <v>1066.5393266900264</v>
      </c>
      <c r="H14" s="893">
        <v>1128.1414550877134</v>
      </c>
      <c r="I14" s="893">
        <v>1204.9182119016937</v>
      </c>
      <c r="J14" s="893">
        <v>1276.3974701622915</v>
      </c>
      <c r="K14" s="893">
        <v>1356.1942615095572</v>
      </c>
      <c r="L14" s="893">
        <v>1397.7123525116415</v>
      </c>
      <c r="M14" s="893">
        <v>1458.6253126904217</v>
      </c>
      <c r="N14" s="893">
        <v>1578.3626907761391</v>
      </c>
      <c r="O14" s="893">
        <v>1720.468285446934</v>
      </c>
      <c r="P14" s="893">
        <v>1756.7217144363035</v>
      </c>
      <c r="Q14" s="893">
        <v>1783.8853623962677</v>
      </c>
      <c r="R14" s="893">
        <v>1801.994461036245</v>
      </c>
      <c r="S14" s="893">
        <v>1820.1035596762213</v>
      </c>
      <c r="T14" s="893">
        <v>1820.1035596762213</v>
      </c>
      <c r="U14" s="893"/>
      <c r="V14" s="893"/>
      <c r="W14" s="899"/>
    </row>
    <row r="15" spans="1:23" x14ac:dyDescent="0.35">
      <c r="A15" s="898" t="s">
        <v>612</v>
      </c>
      <c r="B15" s="904" t="s">
        <v>531</v>
      </c>
      <c r="C15" s="893">
        <v>1085.5435719377324</v>
      </c>
      <c r="D15" s="893">
        <v>1085.5435719377324</v>
      </c>
      <c r="E15" s="893">
        <v>1085.5435719377324</v>
      </c>
      <c r="F15" s="893">
        <v>1085.5435719377324</v>
      </c>
      <c r="G15" s="893">
        <v>1125.4233224559248</v>
      </c>
      <c r="H15" s="893">
        <v>1186.5054112637308</v>
      </c>
      <c r="I15" s="893">
        <v>1262.6338978756773</v>
      </c>
      <c r="J15" s="893">
        <v>1333.509668709585</v>
      </c>
      <c r="K15" s="893">
        <v>1412.6327301286865</v>
      </c>
      <c r="L15" s="893">
        <v>1453.8002908299586</v>
      </c>
      <c r="M15" s="893">
        <v>1514.1989730701462</v>
      </c>
      <c r="N15" s="893">
        <v>1632.9254284918914</v>
      </c>
      <c r="O15" s="893">
        <v>1773.8312873063931</v>
      </c>
      <c r="P15" s="893">
        <v>1809.7786346561109</v>
      </c>
      <c r="Q15" s="893">
        <v>1836.7129444779102</v>
      </c>
      <c r="R15" s="893">
        <v>1854.6691510257779</v>
      </c>
      <c r="S15" s="893">
        <v>1872.6253575736444</v>
      </c>
      <c r="T15" s="893">
        <v>1872.6253575736444</v>
      </c>
      <c r="U15" s="893"/>
      <c r="V15" s="893"/>
      <c r="W15" s="899"/>
    </row>
    <row r="16" spans="1:23" x14ac:dyDescent="0.35">
      <c r="A16" s="898" t="s">
        <v>613</v>
      </c>
      <c r="B16" s="904" t="s">
        <v>532</v>
      </c>
      <c r="C16" s="893">
        <v>1144.7671135381138</v>
      </c>
      <c r="D16" s="893">
        <v>1144.7671135381138</v>
      </c>
      <c r="E16" s="893">
        <v>1144.7671135381138</v>
      </c>
      <c r="F16" s="893">
        <v>1144.7671135381138</v>
      </c>
      <c r="G16" s="893">
        <v>1184.3073182218232</v>
      </c>
      <c r="H16" s="893">
        <v>1244.8693674397482</v>
      </c>
      <c r="I16" s="893">
        <v>1320.349583849661</v>
      </c>
      <c r="J16" s="893">
        <v>1390.6218672568784</v>
      </c>
      <c r="K16" s="893">
        <v>1469.0711987478157</v>
      </c>
      <c r="L16" s="893">
        <v>1509.8882291482757</v>
      </c>
      <c r="M16" s="893">
        <v>1569.7726334498707</v>
      </c>
      <c r="N16" s="893">
        <v>1687.4881662076436</v>
      </c>
      <c r="O16" s="893">
        <v>1827.1942891658521</v>
      </c>
      <c r="P16" s="893">
        <v>1862.8355548759182</v>
      </c>
      <c r="Q16" s="893">
        <v>1889.5405265595527</v>
      </c>
      <c r="R16" s="893">
        <v>1907.3438410153108</v>
      </c>
      <c r="S16" s="893">
        <v>1925.1471554710674</v>
      </c>
      <c r="T16" s="893">
        <v>1925.1471554710674</v>
      </c>
      <c r="U16" s="893"/>
      <c r="V16" s="893"/>
      <c r="W16" s="899"/>
    </row>
    <row r="17" spans="1:23" x14ac:dyDescent="0.35">
      <c r="A17" s="898" t="s">
        <v>614</v>
      </c>
      <c r="B17" s="904" t="s">
        <v>534</v>
      </c>
      <c r="C17" s="893">
        <v>1203.9906551384952</v>
      </c>
      <c r="D17" s="893">
        <v>1203.9906551384952</v>
      </c>
      <c r="E17" s="893">
        <v>1203.9906551384952</v>
      </c>
      <c r="F17" s="893">
        <v>1203.9906551384952</v>
      </c>
      <c r="G17" s="893">
        <v>1243.1913139877215</v>
      </c>
      <c r="H17" s="893">
        <v>1303.2333236157656</v>
      </c>
      <c r="I17" s="893">
        <v>1378.0652698236447</v>
      </c>
      <c r="J17" s="893">
        <v>1447.7340658041719</v>
      </c>
      <c r="K17" s="893">
        <v>1525.509667366945</v>
      </c>
      <c r="L17" s="893">
        <v>1565.9761674665929</v>
      </c>
      <c r="M17" s="893">
        <v>1625.3462938295952</v>
      </c>
      <c r="N17" s="893">
        <v>1742.0509039233959</v>
      </c>
      <c r="O17" s="893">
        <v>1880.5572910253111</v>
      </c>
      <c r="P17" s="893">
        <v>1915.8924750957256</v>
      </c>
      <c r="Q17" s="893">
        <v>1942.3681086411952</v>
      </c>
      <c r="R17" s="893">
        <v>1960.0185310048437</v>
      </c>
      <c r="S17" s="893">
        <v>1977.6689533684905</v>
      </c>
      <c r="T17" s="893">
        <v>1977.6689533684905</v>
      </c>
      <c r="U17" s="893"/>
      <c r="V17" s="893"/>
      <c r="W17" s="899"/>
    </row>
    <row r="18" spans="1:23" ht="13.15" thickBot="1" x14ac:dyDescent="0.4">
      <c r="A18" s="898" t="s">
        <v>615</v>
      </c>
      <c r="B18" s="904" t="s">
        <v>535</v>
      </c>
      <c r="C18" s="893">
        <v>1263.2141967388766</v>
      </c>
      <c r="D18" s="893">
        <v>1263.2141967388766</v>
      </c>
      <c r="E18" s="893">
        <v>1263.2141967388766</v>
      </c>
      <c r="F18" s="893">
        <v>1263.2141967388766</v>
      </c>
      <c r="G18" s="893">
        <v>1302.0753097536199</v>
      </c>
      <c r="H18" s="893">
        <v>1361.597279791783</v>
      </c>
      <c r="I18" s="893">
        <v>1435.7809557976284</v>
      </c>
      <c r="J18" s="893">
        <v>1504.8462643514654</v>
      </c>
      <c r="K18" s="893">
        <v>1581.9481359860742</v>
      </c>
      <c r="L18" s="893">
        <v>1622.06410578491</v>
      </c>
      <c r="M18" s="893">
        <v>1680.9199542093197</v>
      </c>
      <c r="N18" s="893">
        <v>1796.6136416391482</v>
      </c>
      <c r="O18" s="893">
        <v>1933.9202928847701</v>
      </c>
      <c r="P18" s="893">
        <v>1968.9493953155329</v>
      </c>
      <c r="Q18" s="893">
        <v>1995.1956907228378</v>
      </c>
      <c r="R18" s="893">
        <v>2012.6932209943766</v>
      </c>
      <c r="S18" s="893">
        <v>2030.1907512659136</v>
      </c>
      <c r="T18" s="893">
        <v>2030.1907512659136</v>
      </c>
      <c r="U18" s="893"/>
      <c r="V18" s="893"/>
      <c r="W18" s="899"/>
    </row>
    <row r="19" spans="1:23" ht="13.15" thickBot="1" x14ac:dyDescent="0.4">
      <c r="A19" s="910"/>
      <c r="B19" s="911"/>
      <c r="C19" s="912"/>
      <c r="D19" s="912"/>
      <c r="E19" s="912"/>
      <c r="F19" s="912"/>
      <c r="G19" s="912"/>
      <c r="H19" s="912"/>
      <c r="I19" s="912"/>
      <c r="J19" s="912"/>
      <c r="K19" s="912"/>
      <c r="L19" s="912"/>
      <c r="M19" s="912"/>
      <c r="N19" s="912"/>
      <c r="O19" s="913"/>
      <c r="P19" s="913"/>
      <c r="Q19" s="913"/>
      <c r="R19" s="913"/>
      <c r="S19" s="913"/>
      <c r="T19" s="913"/>
      <c r="U19" s="913"/>
      <c r="V19" s="913"/>
      <c r="W19" s="914"/>
    </row>
    <row r="20" spans="1:23" x14ac:dyDescent="0.35">
      <c r="A20" s="892" t="s">
        <v>616</v>
      </c>
      <c r="B20" s="904" t="s">
        <v>548</v>
      </c>
      <c r="C20" s="893">
        <v>410.47</v>
      </c>
      <c r="D20" s="893">
        <v>410.47</v>
      </c>
      <c r="E20" s="893">
        <v>410.47</v>
      </c>
      <c r="F20" s="894">
        <v>410.47</v>
      </c>
      <c r="G20" s="894">
        <v>410.47</v>
      </c>
      <c r="H20" s="894">
        <v>461.87637501714954</v>
      </c>
      <c r="I20" s="894">
        <v>540.60288591231256</v>
      </c>
      <c r="J20" s="894">
        <v>613.89727175603059</v>
      </c>
      <c r="K20" s="894">
        <v>695.7203915296966</v>
      </c>
      <c r="L20" s="894">
        <v>738.29277494149756</v>
      </c>
      <c r="M20" s="894">
        <v>800.75246883810553</v>
      </c>
      <c r="N20" s="894">
        <v>923.53035311290159</v>
      </c>
      <c r="O20" s="895">
        <v>1069.2443758041836</v>
      </c>
      <c r="P20" s="895">
        <v>1106.4183926415567</v>
      </c>
      <c r="Q20" s="895">
        <v>1134.2718105051279</v>
      </c>
      <c r="R20" s="895">
        <v>1152.8407557475084</v>
      </c>
      <c r="S20" s="895">
        <v>1171.4097009898892</v>
      </c>
      <c r="T20" s="895">
        <v>1171.4097009898892</v>
      </c>
      <c r="U20" s="895"/>
      <c r="V20" s="895"/>
      <c r="W20" s="896"/>
    </row>
    <row r="21" spans="1:23" x14ac:dyDescent="0.35">
      <c r="A21" s="892" t="s">
        <v>617</v>
      </c>
      <c r="B21" s="904" t="s">
        <v>549</v>
      </c>
      <c r="C21" s="893">
        <v>418.7843568683075</v>
      </c>
      <c r="D21" s="893">
        <v>418.7843568683075</v>
      </c>
      <c r="E21" s="893">
        <v>435.31628507404747</v>
      </c>
      <c r="F21" s="894">
        <v>459.3434042590867</v>
      </c>
      <c r="G21" s="894">
        <v>500.66101142673813</v>
      </c>
      <c r="H21" s="894">
        <v>563.9452770505743</v>
      </c>
      <c r="I21" s="894">
        <v>642.81898274201399</v>
      </c>
      <c r="J21" s="894">
        <v>716.25031823734048</v>
      </c>
      <c r="K21" s="894">
        <v>798.22641153539462</v>
      </c>
      <c r="L21" s="894">
        <v>840.87834922596858</v>
      </c>
      <c r="M21" s="894">
        <v>903.45476905984412</v>
      </c>
      <c r="N21" s="894">
        <v>1026.4621208703993</v>
      </c>
      <c r="O21" s="895">
        <v>1172.4485364930315</v>
      </c>
      <c r="P21" s="895">
        <v>1209.69196231556</v>
      </c>
      <c r="Q21" s="895">
        <v>1237.5973863283582</v>
      </c>
      <c r="R21" s="895">
        <v>1256.2010023368905</v>
      </c>
      <c r="S21" s="895">
        <v>1274.8046183454228</v>
      </c>
      <c r="T21" s="895">
        <v>1274.8046183454228</v>
      </c>
      <c r="U21" s="895"/>
      <c r="V21" s="895"/>
      <c r="W21" s="896"/>
    </row>
    <row r="22" spans="1:23" x14ac:dyDescent="0.35">
      <c r="A22" s="892" t="s">
        <v>618</v>
      </c>
      <c r="B22" s="904" t="s">
        <v>550</v>
      </c>
      <c r="C22" s="893">
        <v>530.70800368721098</v>
      </c>
      <c r="D22" s="893">
        <v>530.70800368721098</v>
      </c>
      <c r="E22" s="893">
        <v>547.33683506119257</v>
      </c>
      <c r="F22" s="894">
        <v>571.50479776872942</v>
      </c>
      <c r="G22" s="894">
        <v>613.06460281661111</v>
      </c>
      <c r="H22" s="894">
        <v>676.71983171825366</v>
      </c>
      <c r="I22" s="894">
        <v>756.05587450460791</v>
      </c>
      <c r="J22" s="894">
        <v>829.91769091229617</v>
      </c>
      <c r="K22" s="894">
        <v>912.3742793299034</v>
      </c>
      <c r="L22" s="894">
        <v>955.2762365546306</v>
      </c>
      <c r="M22" s="894">
        <v>1018.219507343968</v>
      </c>
      <c r="N22" s="894">
        <v>1141.9479475556752</v>
      </c>
      <c r="O22" s="895">
        <v>1288.7900036797223</v>
      </c>
      <c r="P22" s="895">
        <v>1326.2518560205667</v>
      </c>
      <c r="Q22" s="895">
        <v>1354.3209407191002</v>
      </c>
      <c r="R22" s="895">
        <v>1373.0336638514559</v>
      </c>
      <c r="S22" s="895">
        <v>1391.7463869838118</v>
      </c>
      <c r="T22" s="895">
        <v>1391.7463869838118</v>
      </c>
      <c r="U22" s="895"/>
      <c r="V22" s="895"/>
      <c r="W22" s="896"/>
    </row>
    <row r="23" spans="1:23" x14ac:dyDescent="0.35">
      <c r="A23" s="897" t="s">
        <v>619</v>
      </c>
      <c r="B23" s="904" t="s">
        <v>551</v>
      </c>
      <c r="C23" s="893">
        <v>659.35738504833762</v>
      </c>
      <c r="D23" s="893">
        <v>659.35738504833762</v>
      </c>
      <c r="E23" s="893">
        <v>659.35738504833762</v>
      </c>
      <c r="F23" s="894">
        <v>683.66619127837214</v>
      </c>
      <c r="G23" s="894">
        <v>725.4681942064841</v>
      </c>
      <c r="H23" s="894">
        <v>789.49438638593301</v>
      </c>
      <c r="I23" s="894">
        <v>869.29276626720184</v>
      </c>
      <c r="J23" s="894">
        <v>943.58506358725185</v>
      </c>
      <c r="K23" s="894">
        <v>1026.5221471244122</v>
      </c>
      <c r="L23" s="894">
        <v>1069.6741238832926</v>
      </c>
      <c r="M23" s="894">
        <v>1132.9842456280917</v>
      </c>
      <c r="N23" s="894">
        <v>1257.4337742409512</v>
      </c>
      <c r="O23" s="895">
        <v>1405.1314708664131</v>
      </c>
      <c r="P23" s="895">
        <v>1442.8117497255735</v>
      </c>
      <c r="Q23" s="895">
        <v>1471.0444951098423</v>
      </c>
      <c r="R23" s="895">
        <v>1489.8663253660216</v>
      </c>
      <c r="S23" s="895">
        <v>1508.6881556222008</v>
      </c>
      <c r="T23" s="895">
        <v>1508.6881556222008</v>
      </c>
      <c r="U23" s="895"/>
      <c r="V23" s="895"/>
      <c r="W23" s="896"/>
    </row>
    <row r="24" spans="1:23" x14ac:dyDescent="0.35">
      <c r="A24" s="898" t="s">
        <v>620</v>
      </c>
      <c r="B24" s="904" t="s">
        <v>552</v>
      </c>
      <c r="C24" s="893">
        <v>771.37793503548266</v>
      </c>
      <c r="D24" s="893">
        <v>771.37793503548266</v>
      </c>
      <c r="E24" s="893">
        <v>771.37793503548266</v>
      </c>
      <c r="F24" s="893">
        <v>795.82758478801486</v>
      </c>
      <c r="G24" s="893">
        <v>837.87178559635709</v>
      </c>
      <c r="H24" s="893">
        <v>902.26894105361237</v>
      </c>
      <c r="I24" s="893">
        <v>982.52965802979577</v>
      </c>
      <c r="J24" s="893">
        <v>1057.2524362622075</v>
      </c>
      <c r="K24" s="893">
        <v>1140.670014918921</v>
      </c>
      <c r="L24" s="893">
        <v>1184.0720112119548</v>
      </c>
      <c r="M24" s="893">
        <v>1247.7489839122154</v>
      </c>
      <c r="N24" s="893">
        <v>1372.9196009262271</v>
      </c>
      <c r="O24" s="893">
        <v>1521.4729380531039</v>
      </c>
      <c r="P24" s="893">
        <v>1559.3716434305802</v>
      </c>
      <c r="Q24" s="893">
        <v>1587.7680495005843</v>
      </c>
      <c r="R24" s="893">
        <v>1606.6989868805872</v>
      </c>
      <c r="S24" s="893">
        <v>1625.6299242605899</v>
      </c>
      <c r="T24" s="893">
        <v>1625.6299242605899</v>
      </c>
      <c r="U24" s="893"/>
      <c r="V24" s="893"/>
      <c r="W24" s="899"/>
    </row>
    <row r="25" spans="1:23" x14ac:dyDescent="0.35">
      <c r="A25" s="898" t="s">
        <v>621</v>
      </c>
      <c r="B25" s="904" t="s">
        <v>553</v>
      </c>
      <c r="C25" s="893">
        <v>883.39848502262771</v>
      </c>
      <c r="D25" s="893">
        <v>883.39848502262771</v>
      </c>
      <c r="E25" s="893">
        <v>883.39848502262771</v>
      </c>
      <c r="F25" s="893">
        <v>907.98897829765758</v>
      </c>
      <c r="G25" s="893">
        <v>950.27537698623007</v>
      </c>
      <c r="H25" s="893">
        <v>1015.0434957212917</v>
      </c>
      <c r="I25" s="893">
        <v>1095.7665497923897</v>
      </c>
      <c r="J25" s="893">
        <v>1170.9198089371632</v>
      </c>
      <c r="K25" s="893">
        <v>1254.8178827134298</v>
      </c>
      <c r="L25" s="893">
        <v>1298.4698985406167</v>
      </c>
      <c r="M25" s="893">
        <v>1362.5137221963391</v>
      </c>
      <c r="N25" s="893">
        <v>1488.405427611503</v>
      </c>
      <c r="O25" s="893">
        <v>1637.8144052397947</v>
      </c>
      <c r="P25" s="893">
        <v>1675.931537135587</v>
      </c>
      <c r="Q25" s="893">
        <v>1704.4916038913263</v>
      </c>
      <c r="R25" s="893">
        <v>1723.5316483951528</v>
      </c>
      <c r="S25" s="893">
        <v>1742.5716928989789</v>
      </c>
      <c r="T25" s="893">
        <v>1742.5716928989789</v>
      </c>
      <c r="U25" s="893"/>
      <c r="V25" s="893"/>
      <c r="W25" s="899"/>
    </row>
    <row r="26" spans="1:23" x14ac:dyDescent="0.35">
      <c r="A26" s="898" t="s">
        <v>622</v>
      </c>
      <c r="B26" s="904" t="s">
        <v>554</v>
      </c>
      <c r="C26" s="893">
        <v>995.41903500977276</v>
      </c>
      <c r="D26" s="893">
        <v>995.41903500977276</v>
      </c>
      <c r="E26" s="893">
        <v>995.41903500977276</v>
      </c>
      <c r="F26" s="893">
        <v>1020.1503718073003</v>
      </c>
      <c r="G26" s="893">
        <v>1062.6789683761031</v>
      </c>
      <c r="H26" s="893">
        <v>1127.8180503889712</v>
      </c>
      <c r="I26" s="893">
        <v>1209.0034415549835</v>
      </c>
      <c r="J26" s="893">
        <v>1284.5871816121189</v>
      </c>
      <c r="K26" s="893">
        <v>1368.9657505079385</v>
      </c>
      <c r="L26" s="893">
        <v>1412.8677858692786</v>
      </c>
      <c r="M26" s="893">
        <v>1477.2784604804629</v>
      </c>
      <c r="N26" s="893">
        <v>1603.8912542967789</v>
      </c>
      <c r="O26" s="893">
        <v>1754.1558724264855</v>
      </c>
      <c r="P26" s="893">
        <v>1792.4914308405937</v>
      </c>
      <c r="Q26" s="893">
        <v>1821.2151582820684</v>
      </c>
      <c r="R26" s="893">
        <v>1840.3643099097185</v>
      </c>
      <c r="S26" s="893">
        <v>1859.5134615373679</v>
      </c>
      <c r="T26" s="893">
        <v>1859.5134615373679</v>
      </c>
      <c r="U26" s="893"/>
      <c r="V26" s="893"/>
      <c r="W26" s="899"/>
    </row>
    <row r="27" spans="1:23" x14ac:dyDescent="0.35">
      <c r="A27" s="898" t="s">
        <v>623</v>
      </c>
      <c r="B27" s="904" t="s">
        <v>555</v>
      </c>
      <c r="C27" s="893">
        <v>1107.4395849969178</v>
      </c>
      <c r="D27" s="893">
        <v>1107.4395849969178</v>
      </c>
      <c r="E27" s="893">
        <v>1107.4395849969178</v>
      </c>
      <c r="F27" s="893">
        <v>1132.3117653169429</v>
      </c>
      <c r="G27" s="893">
        <v>1175.0825597659759</v>
      </c>
      <c r="H27" s="893">
        <v>1240.5926050566504</v>
      </c>
      <c r="I27" s="893">
        <v>1322.2403333175776</v>
      </c>
      <c r="J27" s="893">
        <v>1398.2545542870746</v>
      </c>
      <c r="K27" s="893">
        <v>1483.1136183024473</v>
      </c>
      <c r="L27" s="893">
        <v>1527.2656731979405</v>
      </c>
      <c r="M27" s="893">
        <v>1592.0431987645866</v>
      </c>
      <c r="N27" s="893">
        <v>1719.3770809820548</v>
      </c>
      <c r="O27" s="893">
        <v>1870.4973396131763</v>
      </c>
      <c r="P27" s="893">
        <v>1909.0513245456004</v>
      </c>
      <c r="Q27" s="893">
        <v>1937.9387126728104</v>
      </c>
      <c r="R27" s="893">
        <v>1957.1969714242841</v>
      </c>
      <c r="S27" s="893">
        <v>1976.4552301757569</v>
      </c>
      <c r="T27" s="893">
        <v>1976.4552301757569</v>
      </c>
      <c r="U27" s="893"/>
      <c r="V27" s="893"/>
      <c r="W27" s="899"/>
    </row>
    <row r="28" spans="1:23" x14ac:dyDescent="0.35">
      <c r="A28" s="898" t="s">
        <v>624</v>
      </c>
      <c r="B28" s="904" t="s">
        <v>556</v>
      </c>
      <c r="C28" s="893">
        <v>1219.4601349840627</v>
      </c>
      <c r="D28" s="893">
        <v>1219.4601349840627</v>
      </c>
      <c r="E28" s="893">
        <v>1219.4601349840627</v>
      </c>
      <c r="F28" s="893">
        <v>1244.4731588265856</v>
      </c>
      <c r="G28" s="893">
        <v>1287.4861511558488</v>
      </c>
      <c r="H28" s="893">
        <v>1353.3671597243297</v>
      </c>
      <c r="I28" s="893">
        <v>1435.4772250801716</v>
      </c>
      <c r="J28" s="893">
        <v>1511.9219269620303</v>
      </c>
      <c r="K28" s="893">
        <v>1597.2614860969561</v>
      </c>
      <c r="L28" s="893">
        <v>1641.6635605266024</v>
      </c>
      <c r="M28" s="893">
        <v>1706.8079370487103</v>
      </c>
      <c r="N28" s="893">
        <v>1834.8629076673308</v>
      </c>
      <c r="O28" s="893">
        <v>1986.8388067998671</v>
      </c>
      <c r="P28" s="893">
        <v>2025.6112182506072</v>
      </c>
      <c r="Q28" s="893">
        <v>2054.6622670635525</v>
      </c>
      <c r="R28" s="893">
        <v>2074.0296329388498</v>
      </c>
      <c r="S28" s="893">
        <v>2093.3969988141462</v>
      </c>
      <c r="T28" s="893">
        <v>2093.3969988141462</v>
      </c>
      <c r="U28" s="893"/>
      <c r="V28" s="893"/>
      <c r="W28" s="899"/>
    </row>
    <row r="29" spans="1:23" x14ac:dyDescent="0.35">
      <c r="A29" s="898" t="s">
        <v>625</v>
      </c>
      <c r="B29" s="904" t="s">
        <v>557</v>
      </c>
      <c r="C29" s="893">
        <v>1331.4806849712077</v>
      </c>
      <c r="D29" s="893">
        <v>1331.4806849712077</v>
      </c>
      <c r="E29" s="893">
        <v>1331.4806849712077</v>
      </c>
      <c r="F29" s="893">
        <v>1356.6345523362284</v>
      </c>
      <c r="G29" s="893">
        <v>1399.8897425457217</v>
      </c>
      <c r="H29" s="893">
        <v>1466.1417143920089</v>
      </c>
      <c r="I29" s="893">
        <v>1548.7141168427656</v>
      </c>
      <c r="J29" s="893">
        <v>1625.589299636986</v>
      </c>
      <c r="K29" s="893">
        <v>1711.4093538914649</v>
      </c>
      <c r="L29" s="893">
        <v>1756.0614478552643</v>
      </c>
      <c r="M29" s="893">
        <v>1821.572675332834</v>
      </c>
      <c r="N29" s="893">
        <v>1950.3487343526067</v>
      </c>
      <c r="O29" s="893">
        <v>2103.1802739865579</v>
      </c>
      <c r="P29" s="893">
        <v>2142.1711119556139</v>
      </c>
      <c r="Q29" s="893">
        <v>2171.3858214542943</v>
      </c>
      <c r="R29" s="893">
        <v>2190.8622944534154</v>
      </c>
      <c r="S29" s="893">
        <v>2210.3387674525352</v>
      </c>
      <c r="T29" s="893">
        <v>2210.3387674525352</v>
      </c>
      <c r="U29" s="893"/>
      <c r="V29" s="893"/>
      <c r="W29" s="899"/>
    </row>
    <row r="30" spans="1:23" ht="13.15" thickBot="1" x14ac:dyDescent="0.4">
      <c r="A30" s="900" t="s">
        <v>626</v>
      </c>
      <c r="B30" s="905" t="s">
        <v>558</v>
      </c>
      <c r="C30" s="901">
        <v>1443.5012349583526</v>
      </c>
      <c r="D30" s="901">
        <v>1443.5012349583526</v>
      </c>
      <c r="E30" s="901">
        <v>1443.5012349583526</v>
      </c>
      <c r="F30" s="901">
        <v>1468.7959458458711</v>
      </c>
      <c r="G30" s="901">
        <v>1512.2933339355945</v>
      </c>
      <c r="H30" s="901">
        <v>1578.9162690596881</v>
      </c>
      <c r="I30" s="901">
        <v>1661.9510086053597</v>
      </c>
      <c r="J30" s="901">
        <v>1739.2566723119417</v>
      </c>
      <c r="K30" s="901">
        <v>1825.5572216859737</v>
      </c>
      <c r="L30" s="901">
        <v>1870.4593351839262</v>
      </c>
      <c r="M30" s="901">
        <v>1936.3374136169577</v>
      </c>
      <c r="N30" s="901">
        <v>2065.8345610378828</v>
      </c>
      <c r="O30" s="901">
        <v>2219.5217411732488</v>
      </c>
      <c r="P30" s="901">
        <v>2258.7310056606207</v>
      </c>
      <c r="Q30" s="901">
        <v>2288.1093758450361</v>
      </c>
      <c r="R30" s="901">
        <v>2307.6949559679811</v>
      </c>
      <c r="S30" s="901">
        <v>2327.2805360909242</v>
      </c>
      <c r="T30" s="901">
        <v>2327.2805360909242</v>
      </c>
      <c r="U30" s="901"/>
      <c r="V30" s="901"/>
      <c r="W30" s="902"/>
    </row>
    <row r="36" spans="1:1" x14ac:dyDescent="0.35">
      <c r="A36" s="746"/>
    </row>
  </sheetData>
  <sheetProtection algorithmName="SHA-512" hashValue="uH816tWPDi1Y7W0YsS4xC5k5RI6OLeg/wwmPbZdib8twvfv9WSBGDEkA5/ySF7b0o6Shd7LB/CS5POq3oYiz6A==" saltValue="nXksJpZAP6V51oUkJyKgzg==" spinCount="100000" sheet="1" objects="1" scenarios="1"/>
  <mergeCells count="4">
    <mergeCell ref="D1:W1"/>
    <mergeCell ref="D2:W2"/>
    <mergeCell ref="D4:W4"/>
    <mergeCell ref="D3:W3"/>
  </mergeCells>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B2:Q110"/>
  <sheetViews>
    <sheetView showGridLines="0" zoomScale="80" zoomScaleNormal="80" workbookViewId="0">
      <selection activeCell="A39" sqref="A39"/>
    </sheetView>
  </sheetViews>
  <sheetFormatPr defaultColWidth="9.265625" defaultRowHeight="12.75" x14ac:dyDescent="0.35"/>
  <cols>
    <col min="1" max="1" width="4.265625" customWidth="1"/>
    <col min="2" max="2" width="22.265625" customWidth="1"/>
    <col min="3" max="7" width="18.73046875" customWidth="1"/>
    <col min="8" max="8" width="24.59765625" customWidth="1"/>
    <col min="9" max="9" width="14.3984375" customWidth="1"/>
    <col min="10" max="10" width="15.3984375" customWidth="1"/>
    <col min="11" max="11" width="18.73046875" customWidth="1"/>
    <col min="12" max="12" width="20" customWidth="1"/>
    <col min="13" max="13" width="18.73046875" customWidth="1"/>
    <col min="14" max="14" width="20.3984375" customWidth="1"/>
    <col min="15" max="15" width="20" customWidth="1"/>
    <col min="16" max="16" width="18.73046875" customWidth="1"/>
    <col min="17" max="18" width="16" customWidth="1"/>
    <col min="19" max="20" width="13.73046875" customWidth="1"/>
    <col min="21" max="21" width="35" customWidth="1"/>
    <col min="22" max="22" width="14.73046875" customWidth="1"/>
    <col min="23" max="23" width="11.73046875" customWidth="1"/>
  </cols>
  <sheetData>
    <row r="2" spans="2:12" ht="14.25" customHeight="1" x14ac:dyDescent="0.4">
      <c r="F2" s="41"/>
      <c r="G2" s="836"/>
      <c r="K2" s="41"/>
      <c r="L2" s="836"/>
    </row>
    <row r="3" spans="2:12" ht="32.25" customHeight="1" x14ac:dyDescent="0.75">
      <c r="C3" s="1124" t="s">
        <v>627</v>
      </c>
      <c r="F3" s="41"/>
      <c r="G3" s="836"/>
      <c r="L3" s="836"/>
    </row>
    <row r="4" spans="2:12" ht="20.25" customHeight="1" thickBot="1" x14ac:dyDescent="0.65">
      <c r="C4" s="1125" t="s">
        <v>628</v>
      </c>
      <c r="G4" s="41"/>
    </row>
    <row r="5" spans="2:12" ht="14.25" customHeight="1" thickBot="1" x14ac:dyDescent="0.45">
      <c r="C5" s="831" t="s">
        <v>629</v>
      </c>
      <c r="D5" s="827" t="s">
        <v>52</v>
      </c>
      <c r="E5" s="828"/>
      <c r="F5" s="828"/>
      <c r="G5" s="826"/>
    </row>
    <row r="6" spans="2:12" ht="14.25" customHeight="1" thickBot="1" x14ac:dyDescent="0.45">
      <c r="C6" s="830" t="s">
        <v>630</v>
      </c>
      <c r="D6" s="829" t="s">
        <v>631</v>
      </c>
      <c r="E6" s="829" t="s">
        <v>632</v>
      </c>
      <c r="F6" s="829" t="s">
        <v>633</v>
      </c>
      <c r="G6" s="829" t="s">
        <v>634</v>
      </c>
    </row>
    <row r="7" spans="2:12" ht="14.25" customHeight="1" x14ac:dyDescent="0.35">
      <c r="B7" s="1126" t="s">
        <v>635</v>
      </c>
      <c r="D7" s="837">
        <v>0.6</v>
      </c>
      <c r="E7" s="837">
        <v>0.7</v>
      </c>
      <c r="F7" s="837">
        <v>0.8</v>
      </c>
      <c r="G7" s="837">
        <v>0.95</v>
      </c>
    </row>
    <row r="8" spans="2:12" ht="14.25" customHeight="1" x14ac:dyDescent="0.4">
      <c r="B8" s="1127">
        <v>1</v>
      </c>
      <c r="C8" s="1128" t="s">
        <v>636</v>
      </c>
      <c r="D8" s="1129">
        <v>99999999</v>
      </c>
      <c r="E8" s="1129">
        <v>7000000</v>
      </c>
      <c r="F8" s="1129">
        <v>4000000</v>
      </c>
      <c r="G8" s="1129">
        <v>1425000</v>
      </c>
    </row>
    <row r="9" spans="2:12" ht="14.25" customHeight="1" x14ac:dyDescent="0.4">
      <c r="B9" s="1127">
        <v>2</v>
      </c>
      <c r="C9" s="1128" t="s">
        <v>637</v>
      </c>
      <c r="D9" s="1129">
        <v>99999999</v>
      </c>
      <c r="E9" s="1129">
        <v>2100000</v>
      </c>
      <c r="F9" s="1129">
        <v>1200000</v>
      </c>
      <c r="G9" s="1129">
        <v>712500</v>
      </c>
    </row>
    <row r="10" spans="2:12" ht="14.25" customHeight="1" x14ac:dyDescent="0.4">
      <c r="B10" s="1127">
        <v>3</v>
      </c>
      <c r="C10" s="1128" t="s">
        <v>638</v>
      </c>
      <c r="D10" s="1129">
        <v>99999999</v>
      </c>
      <c r="E10" s="1129">
        <v>2100000</v>
      </c>
      <c r="F10" s="1129">
        <v>1200000</v>
      </c>
      <c r="G10" s="1129">
        <v>712500</v>
      </c>
    </row>
    <row r="11" spans="2:12" ht="14.25" customHeight="1" x14ac:dyDescent="0.4">
      <c r="B11" s="1127">
        <v>4</v>
      </c>
      <c r="C11" s="1128" t="s">
        <v>639</v>
      </c>
      <c r="D11" s="1128">
        <v>0</v>
      </c>
      <c r="E11" s="1128">
        <v>0</v>
      </c>
      <c r="F11" s="1128">
        <v>0</v>
      </c>
      <c r="G11" s="1128">
        <v>-1</v>
      </c>
    </row>
    <row r="12" spans="2:12" ht="14.25" customHeight="1" x14ac:dyDescent="0.35"/>
    <row r="13" spans="2:12" ht="21.75" customHeight="1" thickBot="1" x14ac:dyDescent="0.65">
      <c r="C13" s="1125" t="s">
        <v>640</v>
      </c>
    </row>
    <row r="14" spans="2:12" ht="14.25" customHeight="1" x14ac:dyDescent="0.4">
      <c r="C14" s="1130" t="s">
        <v>641</v>
      </c>
      <c r="D14" s="1130" t="s">
        <v>642</v>
      </c>
    </row>
    <row r="15" spans="2:12" ht="14.25" customHeight="1" x14ac:dyDescent="0.4">
      <c r="C15" s="1128" t="s">
        <v>643</v>
      </c>
      <c r="D15" s="1131">
        <v>0.8</v>
      </c>
    </row>
    <row r="16" spans="2:12" ht="14.25" customHeight="1" x14ac:dyDescent="0.4">
      <c r="C16" s="1128" t="s">
        <v>644</v>
      </c>
      <c r="D16" s="1131">
        <v>0.8</v>
      </c>
    </row>
    <row r="17" spans="3:8" ht="14.25" customHeight="1" x14ac:dyDescent="0.4">
      <c r="C17" s="1128" t="s">
        <v>645</v>
      </c>
      <c r="D17" s="1131">
        <v>0.8</v>
      </c>
    </row>
    <row r="18" spans="3:8" ht="14.25" customHeight="1" x14ac:dyDescent="0.4">
      <c r="C18" s="1128" t="s">
        <v>646</v>
      </c>
      <c r="D18" s="1131">
        <v>0.9</v>
      </c>
    </row>
    <row r="19" spans="3:8" ht="26.25" x14ac:dyDescent="0.4">
      <c r="C19" s="1128" t="s">
        <v>647</v>
      </c>
      <c r="D19" s="1129">
        <v>7000000</v>
      </c>
    </row>
    <row r="20" spans="3:8" ht="29.25" customHeight="1" x14ac:dyDescent="0.4">
      <c r="C20" s="1128" t="s">
        <v>648</v>
      </c>
      <c r="D20" s="1129">
        <v>10000000</v>
      </c>
    </row>
    <row r="21" spans="3:8" ht="29.25" customHeight="1" x14ac:dyDescent="0.4">
      <c r="C21" s="1128" t="s">
        <v>649</v>
      </c>
      <c r="D21" s="1129">
        <v>5000000</v>
      </c>
    </row>
    <row r="22" spans="3:8" ht="29.25" customHeight="1" x14ac:dyDescent="0.4">
      <c r="C22" s="1128" t="s">
        <v>649</v>
      </c>
      <c r="D22" s="1129">
        <v>1500000</v>
      </c>
    </row>
    <row r="23" spans="3:8" ht="29.25" customHeight="1" x14ac:dyDescent="0.4">
      <c r="C23" s="1128" t="s">
        <v>650</v>
      </c>
      <c r="D23" s="1129">
        <v>3000000</v>
      </c>
    </row>
    <row r="24" spans="3:8" ht="29.25" customHeight="1" x14ac:dyDescent="0.4">
      <c r="C24" s="1128" t="s">
        <v>651</v>
      </c>
      <c r="D24" s="1129">
        <v>1500000</v>
      </c>
    </row>
    <row r="25" spans="3:8" ht="29.25" customHeight="1" x14ac:dyDescent="0.4">
      <c r="C25" s="1128" t="s">
        <v>652</v>
      </c>
      <c r="D25" s="1129">
        <v>750000</v>
      </c>
    </row>
    <row r="26" spans="3:8" ht="14.25" customHeight="1" x14ac:dyDescent="0.35"/>
    <row r="27" spans="3:8" ht="21" customHeight="1" x14ac:dyDescent="0.75">
      <c r="C27" s="1124" t="s">
        <v>653</v>
      </c>
    </row>
    <row r="28" spans="3:8" ht="24" customHeight="1" thickBot="1" x14ac:dyDescent="0.65">
      <c r="C28" s="1125" t="s">
        <v>654</v>
      </c>
    </row>
    <row r="29" spans="3:8" ht="14.25" customHeight="1" x14ac:dyDescent="0.4">
      <c r="C29" s="1130" t="s">
        <v>655</v>
      </c>
      <c r="D29" s="1130">
        <v>0.6</v>
      </c>
      <c r="E29" s="1130">
        <v>0.7</v>
      </c>
      <c r="F29" s="1130">
        <v>0.8</v>
      </c>
      <c r="G29" s="1130">
        <v>0.95</v>
      </c>
      <c r="H29" s="831" t="s">
        <v>656</v>
      </c>
    </row>
    <row r="30" spans="3:8" ht="14.25" customHeight="1" x14ac:dyDescent="0.4">
      <c r="C30" s="1128">
        <v>1</v>
      </c>
      <c r="D30" s="1129">
        <f t="shared" ref="D30:G35" ca="1" si="0">MIN(OFFSET($C$7,MATCH($G40,$B$8:$B$11,0),MATCH(D$29,$D$7:$G$7,0)),$D40*D$29)</f>
        <v>3480000</v>
      </c>
      <c r="E30" s="1129">
        <f t="shared" ca="1" si="0"/>
        <v>4059999.9999999995</v>
      </c>
      <c r="F30" s="1129">
        <f t="shared" ca="1" si="0"/>
        <v>4000000</v>
      </c>
      <c r="G30" s="1129">
        <f t="shared" ca="1" si="0"/>
        <v>1425000</v>
      </c>
      <c r="H30" s="1129">
        <f ca="1">IF(AND(G40=1,D40&gt;$D$20),MAX(D30,$D$19),IF(AND(G40=1,D40&gt;$D$21),E30,IF(AND(G40=1,D40&gt;$D$22),F30,IF(AND(G40=1,D40&lt;=$D$22),G30,IF(AND(G40=2,D40&gt;$D$23),D30,IF(AND(G40=2,D40&gt;$D$24),E30,IF(AND(G40=2,D40&gt;$D$25),F30,IF(AND(G40=2,D40&lt;=$D$25),G30,IF(AND(G40=3,D40&gt;$D$23),D30,IF(AND(G40=3,D40&gt;$D$24),E30,IF(AND(G40=3,D40&gt;$D$25),F30,IF(AND(G40=3,D40&lt;=$D$25),G30,0))))))))))))</f>
        <v>4059999.9999999995</v>
      </c>
    </row>
    <row r="31" spans="3:8" ht="14.25" customHeight="1" x14ac:dyDescent="0.4">
      <c r="C31" s="1128">
        <v>2</v>
      </c>
      <c r="D31" s="1129" t="e">
        <f t="shared" ca="1" si="0"/>
        <v>#N/A</v>
      </c>
      <c r="E31" s="1129" t="e">
        <f t="shared" ca="1" si="0"/>
        <v>#N/A</v>
      </c>
      <c r="F31" s="1129" t="e">
        <f t="shared" ca="1" si="0"/>
        <v>#N/A</v>
      </c>
      <c r="G31" s="1129" t="e">
        <f t="shared" ca="1" si="0"/>
        <v>#N/A</v>
      </c>
      <c r="H31" s="1129" t="e">
        <f t="shared" ref="H31:H35" si="1">IF(AND(G41=1,D41&gt;$D$20),MAX(D31,$D$19),IF(AND(G41=1,D41&gt;$D$21),E31,IF(AND(G41=1,D41&gt;$D$22),F31,IF(AND(G41=1,D41&lt;=$D$22),G31,IF(AND(G41=2,D41&gt;$D$23),D31,IF(AND(G41=2,D41&gt;$D$24),E31,IF(AND(G41=2,D41&gt;$D$25),F31,IF(AND(G41=2,D41&lt;=$D$25),G31,IF(AND(G41=3,D41&gt;$D$23),D31,IF(AND(G41=3,D41&gt;$D$24),E31,IF(AND(G41=3,D41&gt;$D$25),F31,IF(AND(G41=3,D41&lt;=$D$25),G31,0))))))))))))</f>
        <v>#N/A</v>
      </c>
    </row>
    <row r="32" spans="3:8" ht="14.25" customHeight="1" x14ac:dyDescent="0.4">
      <c r="C32" s="1128">
        <v>3</v>
      </c>
      <c r="D32" s="1129" t="e">
        <f t="shared" ca="1" si="0"/>
        <v>#N/A</v>
      </c>
      <c r="E32" s="1129" t="e">
        <f t="shared" ca="1" si="0"/>
        <v>#N/A</v>
      </c>
      <c r="F32" s="1129" t="e">
        <f t="shared" ca="1" si="0"/>
        <v>#N/A</v>
      </c>
      <c r="G32" s="1129" t="e">
        <f t="shared" ca="1" si="0"/>
        <v>#N/A</v>
      </c>
      <c r="H32" s="1129" t="e">
        <f t="shared" si="1"/>
        <v>#N/A</v>
      </c>
    </row>
    <row r="33" spans="3:17" ht="14.25" customHeight="1" x14ac:dyDescent="0.4">
      <c r="C33" s="1128">
        <v>4</v>
      </c>
      <c r="D33" s="1129" t="e">
        <f t="shared" ca="1" si="0"/>
        <v>#N/A</v>
      </c>
      <c r="E33" s="1129" t="e">
        <f t="shared" ca="1" si="0"/>
        <v>#N/A</v>
      </c>
      <c r="F33" s="1129" t="e">
        <f t="shared" ca="1" si="0"/>
        <v>#N/A</v>
      </c>
      <c r="G33" s="1129" t="e">
        <f t="shared" ca="1" si="0"/>
        <v>#N/A</v>
      </c>
      <c r="H33" s="1129" t="e">
        <f t="shared" si="1"/>
        <v>#N/A</v>
      </c>
    </row>
    <row r="34" spans="3:17" ht="14.25" customHeight="1" x14ac:dyDescent="0.4">
      <c r="C34" s="1128">
        <v>5</v>
      </c>
      <c r="D34" s="1129" t="e">
        <f t="shared" ca="1" si="0"/>
        <v>#N/A</v>
      </c>
      <c r="E34" s="1129" t="e">
        <f t="shared" ca="1" si="0"/>
        <v>#N/A</v>
      </c>
      <c r="F34" s="1129" t="e">
        <f t="shared" ca="1" si="0"/>
        <v>#N/A</v>
      </c>
      <c r="G34" s="1129" t="e">
        <f t="shared" ca="1" si="0"/>
        <v>#N/A</v>
      </c>
      <c r="H34" s="1129" t="e">
        <f t="shared" si="1"/>
        <v>#N/A</v>
      </c>
    </row>
    <row r="35" spans="3:17" ht="14.25" customHeight="1" x14ac:dyDescent="0.4">
      <c r="C35" s="1128">
        <v>6</v>
      </c>
      <c r="D35" s="1129" t="e">
        <f t="shared" ca="1" si="0"/>
        <v>#N/A</v>
      </c>
      <c r="E35" s="1129" t="e">
        <f t="shared" ca="1" si="0"/>
        <v>#N/A</v>
      </c>
      <c r="F35" s="1129" t="e">
        <f t="shared" ca="1" si="0"/>
        <v>#N/A</v>
      </c>
      <c r="G35" s="1129" t="e">
        <f t="shared" ca="1" si="0"/>
        <v>#N/A</v>
      </c>
      <c r="H35" s="1129" t="e">
        <f t="shared" si="1"/>
        <v>#N/A</v>
      </c>
    </row>
    <row r="36" spans="3:17" ht="14.25" customHeight="1" x14ac:dyDescent="0.35"/>
    <row r="37" spans="3:17" ht="19.5" customHeight="1" thickBot="1" x14ac:dyDescent="0.65">
      <c r="C37" s="1125" t="s">
        <v>657</v>
      </c>
    </row>
    <row r="38" spans="3:17" ht="33.75" customHeight="1" thickBot="1" x14ac:dyDescent="0.4">
      <c r="C38" s="1132"/>
      <c r="D38" s="1132"/>
      <c r="E38" s="1132"/>
      <c r="F38" s="1132"/>
      <c r="G38" s="1132"/>
      <c r="H38" s="1133" t="s">
        <v>658</v>
      </c>
      <c r="I38" s="1463" t="s">
        <v>659</v>
      </c>
      <c r="J38" s="1464"/>
      <c r="K38" s="1463" t="s">
        <v>660</v>
      </c>
      <c r="L38" s="1464"/>
      <c r="M38" s="1463" t="s">
        <v>661</v>
      </c>
      <c r="N38" s="1464"/>
      <c r="O38" s="1463" t="s">
        <v>662</v>
      </c>
      <c r="P38" s="1464"/>
      <c r="Q38" s="1465" t="s">
        <v>663</v>
      </c>
    </row>
    <row r="39" spans="3:17" ht="33.75" customHeight="1" thickBot="1" x14ac:dyDescent="0.4">
      <c r="C39" s="1134" t="s">
        <v>655</v>
      </c>
      <c r="D39" s="1134" t="s">
        <v>664</v>
      </c>
      <c r="E39" s="1134" t="s">
        <v>28</v>
      </c>
      <c r="F39" s="1134" t="s">
        <v>665</v>
      </c>
      <c r="G39" s="1134" t="s">
        <v>666</v>
      </c>
      <c r="H39" s="1134" t="s">
        <v>667</v>
      </c>
      <c r="I39" s="1134" t="s">
        <v>668</v>
      </c>
      <c r="J39" s="1134" t="s">
        <v>663</v>
      </c>
      <c r="K39" s="1134" t="s">
        <v>669</v>
      </c>
      <c r="L39" s="1134" t="s">
        <v>663</v>
      </c>
      <c r="M39" s="1134" t="s">
        <v>670</v>
      </c>
      <c r="N39" s="1134" t="s">
        <v>663</v>
      </c>
      <c r="O39" s="1134" t="s">
        <v>646</v>
      </c>
      <c r="P39" s="1134" t="s">
        <v>663</v>
      </c>
      <c r="Q39" s="1466"/>
    </row>
    <row r="40" spans="3:17" ht="14.25" customHeight="1" x14ac:dyDescent="0.4">
      <c r="C40" s="1128">
        <v>1</v>
      </c>
      <c r="D40" s="1129">
        <f>SecVal1</f>
        <v>5800000</v>
      </c>
      <c r="E40" s="1128">
        <f>PostCode1</f>
        <v>2076</v>
      </c>
      <c r="F40" s="1128" t="str">
        <f>VLOOKUP(E40,References!Z:AA,2,0)</f>
        <v>NSW</v>
      </c>
      <c r="G40" s="1128">
        <f>VLOOKUP(E40,References!Z:AD,3,0)</f>
        <v>1</v>
      </c>
      <c r="H40" s="1129">
        <f ca="1">H30</f>
        <v>4059999.9999999995</v>
      </c>
      <c r="I40" s="1128" t="str">
        <f>IF(VLOOKUP(E40,References!$Z$1:$AG$3093,7,FALSE)="","No",VLOOKUP(E40,References!$Z$1:$AG$3093,7,FALSE))</f>
        <v>No</v>
      </c>
      <c r="J40" s="1129">
        <f t="shared" ref="J40:J45" ca="1" si="2">IF(I40="Yes",D40*RestrictedCap,H40)</f>
        <v>4059999.9999999995</v>
      </c>
      <c r="K40" s="1128" t="str">
        <f t="shared" ref="K40:K45" ca="1" si="3">IF(H40="#N/A",H40,IF(Acct1IntOnlyPrd+Acct2IntOnlyPrd+Acct3IntOnlyPrd+Acct4IntOnlyPrd+Acct5IntOnlyPrd+Acct6IntOnlyPrd&gt;0,"Yes","No"))</f>
        <v>Yes</v>
      </c>
      <c r="L40" s="1129">
        <f t="shared" ref="L40:L45" ca="1" si="4">IF(K40="Yes",D40*IOCap,H40)</f>
        <v>4640000</v>
      </c>
      <c r="M40" s="1128" t="str">
        <f t="shared" ref="M40:M45" ca="1" si="5">IF(H40="#N/A",H40,IF(SecCount&gt;1,"Yes","No"))</f>
        <v>No</v>
      </c>
      <c r="N40" s="1129">
        <f t="shared" ref="N40:N45" ca="1" si="6">IF(M40="Yes",D40*MultiCap,H40)</f>
        <v>4059999.9999999995</v>
      </c>
      <c r="O40" s="1128" t="str">
        <f ca="1">IF(H40="#N/A",H40,IF(OR(product=3,SecInv1="Y"),"Yes","No"))</f>
        <v>Yes</v>
      </c>
      <c r="P40" s="1129">
        <f t="shared" ref="P40:P45" ca="1" si="7">IF(O40="Yes",D40*InvestorCap,J40)</f>
        <v>5220000</v>
      </c>
      <c r="Q40" s="1129">
        <f ca="1">MIN(H40,J40,L40,N40,P40)</f>
        <v>4059999.9999999995</v>
      </c>
    </row>
    <row r="41" spans="3:17" ht="14.25" customHeight="1" x14ac:dyDescent="0.4">
      <c r="C41" s="1128">
        <v>2</v>
      </c>
      <c r="D41" s="1129">
        <f>SecVal2</f>
        <v>0</v>
      </c>
      <c r="E41" s="1128">
        <f>PostCode2</f>
        <v>0</v>
      </c>
      <c r="F41" s="1128" t="e">
        <f>VLOOKUP(E41,References!Z:AA,2,0)</f>
        <v>#N/A</v>
      </c>
      <c r="G41" s="1128" t="e">
        <f>VLOOKUP(E41,References!Z:AD,3,0)</f>
        <v>#N/A</v>
      </c>
      <c r="H41" s="1129" t="e">
        <f t="shared" ref="H41:H45" si="8">H31</f>
        <v>#N/A</v>
      </c>
      <c r="I41" s="1128" t="e">
        <f>IF(VLOOKUP(E41,References!$Z$1:$AG$3093,7,FALSE)="","No",VLOOKUP(E41,References!$Z$1:$AG$3093,7,FALSE))</f>
        <v>#N/A</v>
      </c>
      <c r="J41" s="1129" t="e">
        <f t="shared" si="2"/>
        <v>#N/A</v>
      </c>
      <c r="K41" s="1128" t="e">
        <f t="shared" si="3"/>
        <v>#N/A</v>
      </c>
      <c r="L41" s="1129" t="e">
        <f t="shared" si="4"/>
        <v>#N/A</v>
      </c>
      <c r="M41" s="1128" t="e">
        <f t="shared" si="5"/>
        <v>#N/A</v>
      </c>
      <c r="N41" s="1129" t="e">
        <f t="shared" si="6"/>
        <v>#N/A</v>
      </c>
      <c r="O41" s="1128" t="e">
        <f>IF(H41="#N/A",H41,IF(OR(product=3,SecInv2="Y"),"Yes","No"))</f>
        <v>#N/A</v>
      </c>
      <c r="P41" s="1129" t="e">
        <f t="shared" si="7"/>
        <v>#N/A</v>
      </c>
      <c r="Q41" s="1129" t="e">
        <f t="shared" ref="Q41:Q45" si="9">MIN(H41,J41,L41,N41,P41)</f>
        <v>#N/A</v>
      </c>
    </row>
    <row r="42" spans="3:17" ht="14.25" customHeight="1" x14ac:dyDescent="0.4">
      <c r="C42" s="1128">
        <v>3</v>
      </c>
      <c r="D42" s="1129">
        <f>SecVal3</f>
        <v>0</v>
      </c>
      <c r="E42" s="1128">
        <f>PostCode3</f>
        <v>0</v>
      </c>
      <c r="F42" s="1128" t="e">
        <f>VLOOKUP(E42,References!Z:AA,2,0)</f>
        <v>#N/A</v>
      </c>
      <c r="G42" s="1128" t="e">
        <f>VLOOKUP(E42,References!Z:AD,3,0)</f>
        <v>#N/A</v>
      </c>
      <c r="H42" s="1129" t="e">
        <f t="shared" si="8"/>
        <v>#N/A</v>
      </c>
      <c r="I42" s="1128" t="e">
        <f>IF(VLOOKUP(E42,References!$Z$1:$AG$3093,7,FALSE)="","No",VLOOKUP(E42,References!$Z$1:$AG$3093,7,FALSE))</f>
        <v>#N/A</v>
      </c>
      <c r="J42" s="1129" t="e">
        <f t="shared" si="2"/>
        <v>#N/A</v>
      </c>
      <c r="K42" s="1128" t="e">
        <f t="shared" si="3"/>
        <v>#N/A</v>
      </c>
      <c r="L42" s="1129" t="e">
        <f t="shared" si="4"/>
        <v>#N/A</v>
      </c>
      <c r="M42" s="1128" t="e">
        <f t="shared" si="5"/>
        <v>#N/A</v>
      </c>
      <c r="N42" s="1129" t="e">
        <f t="shared" si="6"/>
        <v>#N/A</v>
      </c>
      <c r="O42" s="1128" t="e">
        <f>IF(H42="#N/A",H42,IF(OR(product=3,SecInv3="Y"),"Yes","No"))</f>
        <v>#N/A</v>
      </c>
      <c r="P42" s="1129" t="e">
        <f t="shared" si="7"/>
        <v>#N/A</v>
      </c>
      <c r="Q42" s="1129" t="e">
        <f t="shared" si="9"/>
        <v>#N/A</v>
      </c>
    </row>
    <row r="43" spans="3:17" ht="14.25" customHeight="1" x14ac:dyDescent="0.4">
      <c r="C43" s="1128">
        <v>4</v>
      </c>
      <c r="D43" s="1129">
        <f>SecVal4</f>
        <v>0</v>
      </c>
      <c r="E43" s="1128">
        <f>PostCode4</f>
        <v>0</v>
      </c>
      <c r="F43" s="1128" t="e">
        <f>VLOOKUP(E43,References!Z:AA,2,0)</f>
        <v>#N/A</v>
      </c>
      <c r="G43" s="1128" t="e">
        <f>VLOOKUP(E43,References!Z:AD,3,0)</f>
        <v>#N/A</v>
      </c>
      <c r="H43" s="1129" t="e">
        <f t="shared" si="8"/>
        <v>#N/A</v>
      </c>
      <c r="I43" s="1128" t="e">
        <f>IF(VLOOKUP(E43,References!$Z$1:$AG$3093,7,FALSE)="","No",VLOOKUP(E43,References!$Z$1:$AG$3093,7,FALSE))</f>
        <v>#N/A</v>
      </c>
      <c r="J43" s="1129" t="e">
        <f t="shared" si="2"/>
        <v>#N/A</v>
      </c>
      <c r="K43" s="1128" t="e">
        <f t="shared" si="3"/>
        <v>#N/A</v>
      </c>
      <c r="L43" s="1129" t="e">
        <f t="shared" si="4"/>
        <v>#N/A</v>
      </c>
      <c r="M43" s="1128" t="e">
        <f t="shared" si="5"/>
        <v>#N/A</v>
      </c>
      <c r="N43" s="1129" t="e">
        <f t="shared" si="6"/>
        <v>#N/A</v>
      </c>
      <c r="O43" s="1128" t="e">
        <f>IF(H43="#N/A",H43,IF(OR(product=3,SecInv4="Y"),"Yes","No"))</f>
        <v>#N/A</v>
      </c>
      <c r="P43" s="1129" t="e">
        <f t="shared" si="7"/>
        <v>#N/A</v>
      </c>
      <c r="Q43" s="1129" t="e">
        <f t="shared" si="9"/>
        <v>#N/A</v>
      </c>
    </row>
    <row r="44" spans="3:17" ht="14.25" customHeight="1" x14ac:dyDescent="0.4">
      <c r="C44" s="1128">
        <v>5</v>
      </c>
      <c r="D44" s="1129">
        <f>SecVal5</f>
        <v>0</v>
      </c>
      <c r="E44" s="1128">
        <f>PostCode5</f>
        <v>0</v>
      </c>
      <c r="F44" s="1128" t="e">
        <f>VLOOKUP(E44,References!Z:AA,2,0)</f>
        <v>#N/A</v>
      </c>
      <c r="G44" s="1128" t="e">
        <f>VLOOKUP(E44,References!Z:AD,3,0)</f>
        <v>#N/A</v>
      </c>
      <c r="H44" s="1129" t="e">
        <f t="shared" si="8"/>
        <v>#N/A</v>
      </c>
      <c r="I44" s="1128" t="e">
        <f>IF(VLOOKUP(E44,References!$Z$1:$AG$3093,7,FALSE)="","No",VLOOKUP(E44,References!$Z$1:$AG$3093,7,FALSE))</f>
        <v>#N/A</v>
      </c>
      <c r="J44" s="1129" t="e">
        <f t="shared" si="2"/>
        <v>#N/A</v>
      </c>
      <c r="K44" s="1128" t="e">
        <f t="shared" si="3"/>
        <v>#N/A</v>
      </c>
      <c r="L44" s="1129" t="e">
        <f t="shared" si="4"/>
        <v>#N/A</v>
      </c>
      <c r="M44" s="1128" t="e">
        <f t="shared" si="5"/>
        <v>#N/A</v>
      </c>
      <c r="N44" s="1129" t="e">
        <f t="shared" si="6"/>
        <v>#N/A</v>
      </c>
      <c r="O44" s="1128" t="e">
        <f>IF(H44="#N/A",H44,IF(OR(product=3,SecInv5="Y"),"Yes","No"))</f>
        <v>#N/A</v>
      </c>
      <c r="P44" s="1129" t="e">
        <f t="shared" si="7"/>
        <v>#N/A</v>
      </c>
      <c r="Q44" s="1129" t="e">
        <f t="shared" si="9"/>
        <v>#N/A</v>
      </c>
    </row>
    <row r="45" spans="3:17" ht="14.25" customHeight="1" x14ac:dyDescent="0.4">
      <c r="C45" s="1128">
        <v>6</v>
      </c>
      <c r="D45" s="1129">
        <f>SecVal6</f>
        <v>0</v>
      </c>
      <c r="E45" s="1128">
        <f>PostCode6</f>
        <v>0</v>
      </c>
      <c r="F45" s="1128" t="e">
        <f>VLOOKUP(E45,References!Z:AA,2,0)</f>
        <v>#N/A</v>
      </c>
      <c r="G45" s="1128" t="e">
        <f>VLOOKUP(E45,References!Z:AD,3,0)</f>
        <v>#N/A</v>
      </c>
      <c r="H45" s="1129" t="e">
        <f t="shared" si="8"/>
        <v>#N/A</v>
      </c>
      <c r="I45" s="1128" t="e">
        <f>IF(VLOOKUP(E45,References!$Z$1:$AG$3093,7,FALSE)="","No",VLOOKUP(E45,References!$Z$1:$AG$3093,7,FALSE))</f>
        <v>#N/A</v>
      </c>
      <c r="J45" s="1129" t="e">
        <f t="shared" si="2"/>
        <v>#N/A</v>
      </c>
      <c r="K45" s="1128" t="e">
        <f t="shared" si="3"/>
        <v>#N/A</v>
      </c>
      <c r="L45" s="1129" t="e">
        <f t="shared" si="4"/>
        <v>#N/A</v>
      </c>
      <c r="M45" s="1128" t="e">
        <f t="shared" si="5"/>
        <v>#N/A</v>
      </c>
      <c r="N45" s="1129" t="e">
        <f t="shared" si="6"/>
        <v>#N/A</v>
      </c>
      <c r="O45" s="1128" t="e">
        <f>IF(H45="#N/A",H45,IF(OR(product=3,SecInv6="Y"),"Yes","No"))</f>
        <v>#N/A</v>
      </c>
      <c r="P45" s="1129" t="e">
        <f t="shared" si="7"/>
        <v>#N/A</v>
      </c>
      <c r="Q45" s="1129" t="e">
        <f t="shared" si="9"/>
        <v>#N/A</v>
      </c>
    </row>
    <row r="46" spans="3:17" ht="14.25" customHeight="1" thickBot="1" x14ac:dyDescent="0.45">
      <c r="Q46" s="1129">
        <f ca="1">SUMIFS(Q40:Q45,Q40:Q45,"&gt;0")</f>
        <v>4059999.9999999995</v>
      </c>
    </row>
    <row r="47" spans="3:17" ht="14.25" customHeight="1" x14ac:dyDescent="0.4">
      <c r="C47" s="1134" t="s">
        <v>671</v>
      </c>
      <c r="D47" s="1128">
        <f>COUNTIFS(D40:D45,"&gt;0")</f>
        <v>1</v>
      </c>
    </row>
    <row r="48" spans="3:17" ht="14.25" customHeight="1" x14ac:dyDescent="0.35"/>
    <row r="49" spans="3:16" ht="25.5" customHeight="1" thickBot="1" x14ac:dyDescent="0.8">
      <c r="C49" s="1124" t="s">
        <v>672</v>
      </c>
    </row>
    <row r="50" spans="3:16" ht="14.25" customHeight="1" x14ac:dyDescent="0.4">
      <c r="C50" s="1130" t="s">
        <v>673</v>
      </c>
      <c r="D50" s="1130" t="s">
        <v>674</v>
      </c>
    </row>
    <row r="51" spans="3:16" ht="27.75" customHeight="1" x14ac:dyDescent="0.4">
      <c r="C51" s="1128" t="s">
        <v>675</v>
      </c>
      <c r="D51" s="1135" t="s">
        <v>676</v>
      </c>
    </row>
    <row r="52" spans="3:16" ht="55.5" customHeight="1" x14ac:dyDescent="0.4">
      <c r="C52" s="1128" t="s">
        <v>677</v>
      </c>
      <c r="D52" s="1135" t="s">
        <v>678</v>
      </c>
    </row>
    <row r="53" spans="3:16" ht="14.25" customHeight="1" x14ac:dyDescent="0.35"/>
    <row r="54" spans="3:16" ht="14.25" customHeight="1" x14ac:dyDescent="0.35"/>
    <row r="55" spans="3:16" ht="14.25" customHeight="1" x14ac:dyDescent="0.35"/>
    <row r="56" spans="3:16" ht="14.25" customHeight="1" x14ac:dyDescent="0.35"/>
    <row r="57" spans="3:16" ht="14.25" customHeight="1" x14ac:dyDescent="0.35"/>
    <row r="58" spans="3:16" ht="14.25" customHeight="1" x14ac:dyDescent="0.35"/>
    <row r="59" spans="3:16" ht="14.25" customHeight="1" x14ac:dyDescent="0.35">
      <c r="J59" s="746"/>
    </row>
    <row r="60" spans="3:16" s="735" customFormat="1" ht="27.75" customHeight="1" x14ac:dyDescent="0.35">
      <c r="K60"/>
      <c r="L60"/>
      <c r="M60"/>
      <c r="N60"/>
      <c r="O60"/>
      <c r="P60"/>
    </row>
    <row r="61" spans="3:16" ht="14.25" customHeight="1" x14ac:dyDescent="0.35"/>
    <row r="62" spans="3:16" ht="14.25" customHeight="1" x14ac:dyDescent="0.35"/>
    <row r="63" spans="3:16" ht="14.25" customHeight="1" x14ac:dyDescent="0.35"/>
    <row r="64" spans="3:16" ht="14.25" customHeight="1" x14ac:dyDescent="0.35"/>
    <row r="65" spans="2:16" ht="14.25" customHeight="1" x14ac:dyDescent="0.35"/>
    <row r="66" spans="2:16" ht="14.25" customHeight="1" x14ac:dyDescent="0.35"/>
    <row r="67" spans="2:16" ht="14.25" customHeight="1" x14ac:dyDescent="0.35"/>
    <row r="68" spans="2:16" ht="14.25" customHeight="1" x14ac:dyDescent="0.35">
      <c r="D68" s="56"/>
    </row>
    <row r="69" spans="2:16" ht="14.25" customHeight="1" x14ac:dyDescent="0.35">
      <c r="D69" s="56"/>
    </row>
    <row r="70" spans="2:16" s="735" customFormat="1" ht="70.5" customHeight="1" x14ac:dyDescent="0.35">
      <c r="O70"/>
      <c r="P70"/>
    </row>
    <row r="71" spans="2:16" ht="14.25" customHeight="1" x14ac:dyDescent="0.35"/>
    <row r="72" spans="2:16" ht="14.25" customHeight="1" x14ac:dyDescent="0.35"/>
    <row r="73" spans="2:16" ht="14.25" customHeight="1" x14ac:dyDescent="0.35"/>
    <row r="74" spans="2:16" ht="14.25" customHeight="1" x14ac:dyDescent="0.35"/>
    <row r="75" spans="2:16" ht="14.25" customHeight="1" x14ac:dyDescent="0.35"/>
    <row r="76" spans="2:16" ht="14.25" customHeight="1" x14ac:dyDescent="0.35"/>
    <row r="77" spans="2:16" ht="14.25" customHeight="1" x14ac:dyDescent="0.35"/>
    <row r="78" spans="2:16" ht="14.25" customHeight="1" x14ac:dyDescent="0.35"/>
    <row r="79" spans="2:16" ht="14.25" customHeight="1" x14ac:dyDescent="0.35">
      <c r="D79" s="56"/>
    </row>
    <row r="80" spans="2:16" ht="14.25" customHeight="1" x14ac:dyDescent="0.4">
      <c r="B80" s="1136" t="s">
        <v>679</v>
      </c>
      <c r="D80" s="41" t="s">
        <v>680</v>
      </c>
    </row>
    <row r="81" spans="2:4" ht="14.25" customHeight="1" x14ac:dyDescent="0.35">
      <c r="B81" s="736">
        <v>0</v>
      </c>
      <c r="C81" s="1137"/>
      <c r="D81" t="s">
        <v>681</v>
      </c>
    </row>
    <row r="82" spans="2:4" ht="14.25" customHeight="1" x14ac:dyDescent="0.35">
      <c r="B82" s="737">
        <v>1</v>
      </c>
      <c r="C82" s="1138" t="s">
        <v>682</v>
      </c>
      <c r="D82" t="s">
        <v>683</v>
      </c>
    </row>
    <row r="83" spans="2:4" ht="14.25" customHeight="1" x14ac:dyDescent="0.35">
      <c r="B83" s="738">
        <v>2</v>
      </c>
      <c r="C83" s="1138" t="s">
        <v>684</v>
      </c>
      <c r="D83" t="s">
        <v>685</v>
      </c>
    </row>
    <row r="85" spans="2:4" ht="12.75" customHeight="1" x14ac:dyDescent="0.35"/>
    <row r="86" spans="2:4" ht="15.75" customHeight="1" x14ac:dyDescent="0.35"/>
    <row r="87" spans="2:4" ht="15.75" customHeight="1" x14ac:dyDescent="0.35"/>
    <row r="110" ht="15" customHeight="1" x14ac:dyDescent="0.35"/>
  </sheetData>
  <mergeCells count="5">
    <mergeCell ref="K38:L38"/>
    <mergeCell ref="M38:N38"/>
    <mergeCell ref="O38:P38"/>
    <mergeCell ref="Q38:Q39"/>
    <mergeCell ref="I38:J38"/>
  </mergeCells>
  <phoneticPr fontId="106" type="noConversion"/>
  <pageMargins left="0.75" right="0.75" top="1" bottom="1" header="0.5" footer="0.5"/>
  <pageSetup paperSize="9" orientation="portrait" horizontalDpi="1200" verticalDpi="1200" r:id="rId1"/>
  <headerFooter alignWithMargins="0"/>
  <ignoredErrors>
    <ignoredError sqref="F40:Q45 D31:G35 D30:G30 H30:H35" evalError="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U89"/>
  <sheetViews>
    <sheetView showGridLines="0" topLeftCell="A13" zoomScale="80" zoomScaleNormal="80" workbookViewId="0">
      <selection activeCell="B56" sqref="B56"/>
    </sheetView>
  </sheetViews>
  <sheetFormatPr defaultColWidth="9.265625" defaultRowHeight="12.75" x14ac:dyDescent="0.35"/>
  <cols>
    <col min="1" max="1" width="27.59765625" style="746" customWidth="1"/>
    <col min="2" max="2" width="14.73046875" style="746" customWidth="1"/>
    <col min="3" max="10" width="14.59765625" style="746" customWidth="1"/>
    <col min="11" max="16384" width="9.265625" style="746"/>
  </cols>
  <sheetData>
    <row r="1" spans="1:21" ht="57.75" customHeight="1" x14ac:dyDescent="0.35">
      <c r="A1" s="744" t="s">
        <v>686</v>
      </c>
      <c r="B1" s="744"/>
      <c r="C1" s="745" t="s">
        <v>687</v>
      </c>
      <c r="D1" s="745" t="s">
        <v>688</v>
      </c>
      <c r="E1" s="745" t="s">
        <v>689</v>
      </c>
      <c r="F1" s="745" t="s">
        <v>690</v>
      </c>
      <c r="G1" s="745" t="s">
        <v>691</v>
      </c>
      <c r="H1" s="745" t="s">
        <v>692</v>
      </c>
      <c r="I1" s="745" t="s">
        <v>693</v>
      </c>
      <c r="J1" s="745" t="s">
        <v>694</v>
      </c>
      <c r="L1" s="744" t="s">
        <v>695</v>
      </c>
      <c r="M1" s="744"/>
      <c r="N1" s="745" t="s">
        <v>687</v>
      </c>
      <c r="O1" s="745" t="s">
        <v>688</v>
      </c>
      <c r="P1" s="745" t="s">
        <v>689</v>
      </c>
      <c r="Q1" s="745" t="s">
        <v>690</v>
      </c>
      <c r="R1" s="745" t="s">
        <v>691</v>
      </c>
      <c r="S1" s="745" t="s">
        <v>692</v>
      </c>
      <c r="T1" s="745" t="s">
        <v>693</v>
      </c>
      <c r="U1" s="745" t="s">
        <v>696</v>
      </c>
    </row>
    <row r="2" spans="1:21" ht="15" customHeight="1" x14ac:dyDescent="0.35">
      <c r="A2" s="744"/>
      <c r="B2" s="1206"/>
      <c r="C2" s="1207">
        <v>0</v>
      </c>
      <c r="D2" s="1207">
        <v>300001</v>
      </c>
      <c r="E2" s="1207">
        <v>500001</v>
      </c>
      <c r="F2" s="1207">
        <v>600001</v>
      </c>
      <c r="G2" s="1207">
        <v>750001</v>
      </c>
      <c r="H2" s="1207">
        <v>1000001</v>
      </c>
      <c r="I2" s="1207">
        <v>1500001</v>
      </c>
      <c r="J2" s="1207">
        <v>2000001</v>
      </c>
      <c r="L2" s="744"/>
      <c r="M2" s="1206"/>
      <c r="N2" s="1207">
        <v>0</v>
      </c>
      <c r="O2" s="1207">
        <v>300001</v>
      </c>
      <c r="P2" s="1207">
        <v>500001</v>
      </c>
      <c r="Q2" s="1207">
        <v>600001</v>
      </c>
      <c r="R2" s="1207">
        <v>750001</v>
      </c>
      <c r="S2" s="1207">
        <v>1000001</v>
      </c>
      <c r="T2" s="1207">
        <v>1500001</v>
      </c>
      <c r="U2" s="1207">
        <v>2000001</v>
      </c>
    </row>
    <row r="3" spans="1:21" ht="15" customHeight="1" x14ac:dyDescent="0.35">
      <c r="A3" s="786" t="s">
        <v>697</v>
      </c>
      <c r="B3" s="1207">
        <v>1</v>
      </c>
      <c r="C3" s="1207">
        <v>2</v>
      </c>
      <c r="D3" s="1207">
        <v>3</v>
      </c>
      <c r="E3" s="1207">
        <v>4</v>
      </c>
      <c r="F3" s="1207">
        <v>5</v>
      </c>
      <c r="G3" s="1207">
        <v>6</v>
      </c>
      <c r="H3" s="1207">
        <v>7</v>
      </c>
      <c r="I3" s="1207">
        <v>8</v>
      </c>
      <c r="J3" s="1207">
        <v>9</v>
      </c>
      <c r="L3" s="786" t="s">
        <v>697</v>
      </c>
      <c r="M3" s="1207">
        <v>1</v>
      </c>
      <c r="N3" s="1207">
        <v>2</v>
      </c>
      <c r="O3" s="1207">
        <v>3</v>
      </c>
      <c r="P3" s="1207">
        <v>4</v>
      </c>
      <c r="Q3" s="1207">
        <v>5</v>
      </c>
      <c r="R3" s="1207">
        <v>6</v>
      </c>
      <c r="S3" s="1207">
        <v>7</v>
      </c>
      <c r="T3" s="1207">
        <v>8</v>
      </c>
      <c r="U3" s="1207">
        <v>9</v>
      </c>
    </row>
    <row r="4" spans="1:21" ht="15" customHeight="1" thickBot="1" x14ac:dyDescent="0.4">
      <c r="A4" s="775" t="s">
        <v>698</v>
      </c>
      <c r="B4" s="947">
        <v>1.0000000000000001E-9</v>
      </c>
      <c r="C4" s="923">
        <v>1200</v>
      </c>
      <c r="D4" s="924">
        <v>1915</v>
      </c>
      <c r="E4" s="925">
        <v>2350</v>
      </c>
      <c r="F4" s="925">
        <v>2350</v>
      </c>
      <c r="G4" s="926">
        <v>3045</v>
      </c>
      <c r="H4" s="927">
        <v>6090</v>
      </c>
      <c r="I4" s="927">
        <v>9360</v>
      </c>
      <c r="J4" s="928">
        <v>12165</v>
      </c>
      <c r="L4" s="775" t="s">
        <v>698</v>
      </c>
      <c r="M4" s="1208">
        <v>1.0000000000000001E-5</v>
      </c>
      <c r="N4" s="776">
        <v>750</v>
      </c>
      <c r="O4" s="776">
        <v>1370</v>
      </c>
      <c r="P4" s="776">
        <v>2940</v>
      </c>
      <c r="Q4" s="776">
        <v>2940</v>
      </c>
      <c r="R4" s="776">
        <v>3810</v>
      </c>
      <c r="S4" s="776">
        <v>7615</v>
      </c>
      <c r="T4" s="776">
        <v>11700</v>
      </c>
      <c r="U4" s="776">
        <v>15210</v>
      </c>
    </row>
    <row r="5" spans="1:21" ht="15" customHeight="1" thickBot="1" x14ac:dyDescent="0.4">
      <c r="A5" s="775" t="s">
        <v>699</v>
      </c>
      <c r="B5" s="947">
        <v>0.60004999999999997</v>
      </c>
      <c r="C5" s="923">
        <v>1200</v>
      </c>
      <c r="D5" s="929">
        <v>1915</v>
      </c>
      <c r="E5" s="925">
        <v>3810</v>
      </c>
      <c r="F5" s="925">
        <v>3810</v>
      </c>
      <c r="G5" s="926">
        <v>4980</v>
      </c>
      <c r="H5" s="927">
        <v>8780</v>
      </c>
      <c r="I5" s="927">
        <v>13165</v>
      </c>
      <c r="J5" s="928">
        <v>17245</v>
      </c>
      <c r="L5" s="775" t="s">
        <v>699</v>
      </c>
      <c r="M5" s="1208">
        <v>0.60001000000000004</v>
      </c>
      <c r="N5" s="776">
        <v>750</v>
      </c>
      <c r="O5" s="776">
        <v>1370</v>
      </c>
      <c r="P5" s="776">
        <v>3810</v>
      </c>
      <c r="Q5" s="776">
        <v>3810</v>
      </c>
      <c r="R5" s="776">
        <v>4975</v>
      </c>
      <c r="S5" s="776">
        <v>8785</v>
      </c>
      <c r="T5" s="776">
        <v>13165</v>
      </c>
      <c r="U5" s="776">
        <v>17250</v>
      </c>
    </row>
    <row r="6" spans="1:21" ht="15" customHeight="1" thickBot="1" x14ac:dyDescent="0.4">
      <c r="A6" s="775" t="s">
        <v>700</v>
      </c>
      <c r="B6" s="947">
        <v>0.65005000000000002</v>
      </c>
      <c r="C6" s="923">
        <v>1200</v>
      </c>
      <c r="D6" s="929">
        <v>1915</v>
      </c>
      <c r="E6" s="925">
        <v>3810</v>
      </c>
      <c r="F6" s="925">
        <v>3810</v>
      </c>
      <c r="G6" s="926">
        <v>4980</v>
      </c>
      <c r="H6" s="927">
        <v>8780</v>
      </c>
      <c r="I6" s="927">
        <v>13165</v>
      </c>
      <c r="J6" s="928">
        <v>17245</v>
      </c>
      <c r="L6" s="775" t="s">
        <v>700</v>
      </c>
      <c r="M6" s="1208">
        <v>0.65000999999999998</v>
      </c>
      <c r="N6" s="776">
        <v>750</v>
      </c>
      <c r="O6" s="776">
        <v>1370</v>
      </c>
      <c r="P6" s="776">
        <v>3810</v>
      </c>
      <c r="Q6" s="776">
        <v>3810</v>
      </c>
      <c r="R6" s="776">
        <v>4975</v>
      </c>
      <c r="S6" s="776">
        <v>8785</v>
      </c>
      <c r="T6" s="776">
        <v>13165</v>
      </c>
      <c r="U6" s="776">
        <v>17250</v>
      </c>
    </row>
    <row r="7" spans="1:21" ht="15" customHeight="1" thickBot="1" x14ac:dyDescent="0.4">
      <c r="A7" s="775" t="s">
        <v>701</v>
      </c>
      <c r="B7" s="947">
        <v>0.70004999999999995</v>
      </c>
      <c r="C7" s="923">
        <v>1200</v>
      </c>
      <c r="D7" s="929">
        <v>1915</v>
      </c>
      <c r="E7" s="925">
        <v>5850</v>
      </c>
      <c r="F7" s="925">
        <v>5850</v>
      </c>
      <c r="G7" s="926">
        <v>8780</v>
      </c>
      <c r="H7" s="927">
        <v>11125</v>
      </c>
      <c r="I7" s="927">
        <v>16375</v>
      </c>
      <c r="J7" s="928">
        <v>21345</v>
      </c>
      <c r="L7" s="775" t="s">
        <v>701</v>
      </c>
      <c r="M7" s="1208">
        <v>0.70001000000000002</v>
      </c>
      <c r="N7" s="776">
        <v>750</v>
      </c>
      <c r="O7" s="776">
        <v>1370</v>
      </c>
      <c r="P7" s="776">
        <v>5855</v>
      </c>
      <c r="Q7" s="776">
        <v>5855</v>
      </c>
      <c r="R7" s="776">
        <v>8785</v>
      </c>
      <c r="S7" s="776">
        <v>11125</v>
      </c>
      <c r="T7" s="776">
        <v>16375</v>
      </c>
      <c r="U7" s="776">
        <v>21350</v>
      </c>
    </row>
    <row r="8" spans="1:21" ht="15" customHeight="1" thickBot="1" x14ac:dyDescent="0.4">
      <c r="A8" s="775" t="s">
        <v>702</v>
      </c>
      <c r="B8" s="947">
        <v>0.75004999999999999</v>
      </c>
      <c r="C8" s="923">
        <v>1200</v>
      </c>
      <c r="D8" s="929">
        <v>1915</v>
      </c>
      <c r="E8" s="925">
        <v>6440</v>
      </c>
      <c r="F8" s="925">
        <v>6440</v>
      </c>
      <c r="G8" s="926">
        <v>9655</v>
      </c>
      <c r="H8" s="927">
        <v>12290</v>
      </c>
      <c r="I8" s="927">
        <v>19010</v>
      </c>
      <c r="J8" s="928">
        <v>24855</v>
      </c>
      <c r="L8" s="775" t="s">
        <v>702</v>
      </c>
      <c r="M8" s="1208">
        <v>0.75000999999999995</v>
      </c>
      <c r="N8" s="776">
        <v>750</v>
      </c>
      <c r="O8" s="776">
        <v>1370</v>
      </c>
      <c r="P8" s="776">
        <v>6445</v>
      </c>
      <c r="Q8" s="776">
        <v>6445</v>
      </c>
      <c r="R8" s="776">
        <v>9655</v>
      </c>
      <c r="S8" s="776">
        <v>12295</v>
      </c>
      <c r="T8" s="776">
        <v>19010</v>
      </c>
      <c r="U8" s="776">
        <v>24860</v>
      </c>
    </row>
    <row r="9" spans="1:21" ht="15" customHeight="1" thickBot="1" x14ac:dyDescent="0.4">
      <c r="A9" s="777" t="s">
        <v>703</v>
      </c>
      <c r="B9" s="947">
        <v>0.80005000000000004</v>
      </c>
      <c r="C9" s="930">
        <v>0.51</v>
      </c>
      <c r="D9" s="931">
        <v>0.59</v>
      </c>
      <c r="E9" s="932">
        <v>0.94</v>
      </c>
      <c r="F9" s="932">
        <v>0.94</v>
      </c>
      <c r="G9" s="933">
        <v>0.94</v>
      </c>
      <c r="H9" s="934">
        <v>0.98</v>
      </c>
      <c r="I9" s="934">
        <v>1.06</v>
      </c>
      <c r="J9" s="935">
        <v>1.08</v>
      </c>
      <c r="L9" s="777" t="s">
        <v>703</v>
      </c>
      <c r="M9" s="1208">
        <v>0.80001</v>
      </c>
      <c r="N9" s="778">
        <v>0.63</v>
      </c>
      <c r="O9" s="778">
        <v>0.74</v>
      </c>
      <c r="P9" s="778">
        <v>1.25</v>
      </c>
      <c r="Q9" s="778">
        <v>1.25</v>
      </c>
      <c r="R9" s="778">
        <v>1.27</v>
      </c>
      <c r="S9" s="778">
        <v>1.27</v>
      </c>
      <c r="T9" s="778">
        <v>1.32</v>
      </c>
      <c r="U9" s="776">
        <v>1.32</v>
      </c>
    </row>
    <row r="10" spans="1:21" ht="15" customHeight="1" thickBot="1" x14ac:dyDescent="0.4">
      <c r="A10" s="777" t="s">
        <v>704</v>
      </c>
      <c r="B10" s="947">
        <v>0.81005000000000005</v>
      </c>
      <c r="C10" s="930">
        <v>0.52</v>
      </c>
      <c r="D10" s="931">
        <v>0.59</v>
      </c>
      <c r="E10" s="932">
        <v>0.94</v>
      </c>
      <c r="F10" s="932">
        <v>0.94</v>
      </c>
      <c r="G10" s="933">
        <v>0.94</v>
      </c>
      <c r="H10" s="934">
        <v>0.98</v>
      </c>
      <c r="I10" s="934">
        <v>1.1100000000000001</v>
      </c>
      <c r="J10" s="935">
        <v>1.1200000000000001</v>
      </c>
      <c r="L10" s="777" t="s">
        <v>704</v>
      </c>
      <c r="M10" s="1208">
        <v>0.81001000000000001</v>
      </c>
      <c r="N10" s="778">
        <v>0.63</v>
      </c>
      <c r="O10" s="778">
        <v>0.74</v>
      </c>
      <c r="P10" s="778">
        <v>1.25</v>
      </c>
      <c r="Q10" s="778">
        <v>1.25</v>
      </c>
      <c r="R10" s="778">
        <v>1.27</v>
      </c>
      <c r="S10" s="778">
        <v>1.27</v>
      </c>
      <c r="T10" s="778">
        <v>1.32</v>
      </c>
      <c r="U10" s="776">
        <v>1.35</v>
      </c>
    </row>
    <row r="11" spans="1:21" ht="15" customHeight="1" thickBot="1" x14ac:dyDescent="0.4">
      <c r="A11" s="777" t="s">
        <v>705</v>
      </c>
      <c r="B11" s="947">
        <v>0.82004999999999995</v>
      </c>
      <c r="C11" s="930">
        <v>0.72</v>
      </c>
      <c r="D11" s="931">
        <v>0.89</v>
      </c>
      <c r="E11" s="932">
        <v>1.1000000000000001</v>
      </c>
      <c r="F11" s="932">
        <v>1.1000000000000001</v>
      </c>
      <c r="G11" s="933">
        <v>1.1000000000000001</v>
      </c>
      <c r="H11" s="934">
        <v>1.26</v>
      </c>
      <c r="I11" s="934">
        <v>1.31</v>
      </c>
      <c r="J11" s="935">
        <v>1.4</v>
      </c>
      <c r="L11" s="777" t="s">
        <v>705</v>
      </c>
      <c r="M11" s="1208">
        <v>0.82001000000000002</v>
      </c>
      <c r="N11" s="778">
        <v>0.88</v>
      </c>
      <c r="O11" s="778">
        <v>1.1299999999999999</v>
      </c>
      <c r="P11" s="778">
        <v>1.44</v>
      </c>
      <c r="Q11" s="778">
        <v>1.44</v>
      </c>
      <c r="R11" s="778">
        <v>1.44</v>
      </c>
      <c r="S11" s="778">
        <v>1.63</v>
      </c>
      <c r="T11" s="778">
        <v>1.69</v>
      </c>
      <c r="U11" s="776">
        <v>1.78</v>
      </c>
    </row>
    <row r="12" spans="1:21" ht="15" customHeight="1" thickBot="1" x14ac:dyDescent="0.4">
      <c r="A12" s="777" t="s">
        <v>706</v>
      </c>
      <c r="B12" s="947">
        <v>0.83004999999999995</v>
      </c>
      <c r="C12" s="930">
        <v>0.72</v>
      </c>
      <c r="D12" s="931">
        <v>0.89</v>
      </c>
      <c r="E12" s="932">
        <v>1.18</v>
      </c>
      <c r="F12" s="932">
        <v>1.18</v>
      </c>
      <c r="G12" s="933">
        <v>1.18</v>
      </c>
      <c r="H12" s="934">
        <v>1.41</v>
      </c>
      <c r="I12" s="934">
        <v>1.47</v>
      </c>
      <c r="J12" s="935">
        <v>1.55</v>
      </c>
      <c r="L12" s="777" t="s">
        <v>706</v>
      </c>
      <c r="M12" s="1208">
        <v>0.83001000000000003</v>
      </c>
      <c r="N12" s="778">
        <v>0.88</v>
      </c>
      <c r="O12" s="778">
        <v>1.1299999999999999</v>
      </c>
      <c r="P12" s="778">
        <v>1.52</v>
      </c>
      <c r="Q12" s="778">
        <v>1.52</v>
      </c>
      <c r="R12" s="778">
        <v>1.52</v>
      </c>
      <c r="S12" s="778">
        <v>1.78</v>
      </c>
      <c r="T12" s="778">
        <v>1.87</v>
      </c>
      <c r="U12" s="776">
        <v>1.97</v>
      </c>
    </row>
    <row r="13" spans="1:21" ht="15" customHeight="1" thickBot="1" x14ac:dyDescent="0.4">
      <c r="A13" s="777" t="s">
        <v>707</v>
      </c>
      <c r="B13" s="947">
        <v>0.84004999999999996</v>
      </c>
      <c r="C13" s="930">
        <v>0.91</v>
      </c>
      <c r="D13" s="931">
        <v>1.19</v>
      </c>
      <c r="E13" s="932">
        <v>1.35</v>
      </c>
      <c r="F13" s="932">
        <v>1.35</v>
      </c>
      <c r="G13" s="933">
        <v>1.36</v>
      </c>
      <c r="H13" s="934">
        <v>1.6</v>
      </c>
      <c r="I13" s="934">
        <v>1.69</v>
      </c>
      <c r="J13" s="935">
        <v>1.77</v>
      </c>
      <c r="L13" s="777" t="s">
        <v>707</v>
      </c>
      <c r="M13" s="1208">
        <v>0.84001000000000003</v>
      </c>
      <c r="N13" s="778">
        <v>1.1399999999999999</v>
      </c>
      <c r="O13" s="778">
        <v>1.43</v>
      </c>
      <c r="P13" s="778">
        <v>1.77</v>
      </c>
      <c r="Q13" s="778">
        <v>1.77</v>
      </c>
      <c r="R13" s="778">
        <v>1.77</v>
      </c>
      <c r="S13" s="778">
        <v>2.08</v>
      </c>
      <c r="T13" s="778">
        <v>2.19</v>
      </c>
      <c r="U13" s="776">
        <v>2.29</v>
      </c>
    </row>
    <row r="14" spans="1:21" ht="15" customHeight="1" thickBot="1" x14ac:dyDescent="0.4">
      <c r="A14" s="777" t="s">
        <v>708</v>
      </c>
      <c r="B14" s="947">
        <v>0.85004999999999997</v>
      </c>
      <c r="C14" s="930">
        <v>0.94</v>
      </c>
      <c r="D14" s="931">
        <v>1.19</v>
      </c>
      <c r="E14" s="932">
        <v>1.48</v>
      </c>
      <c r="F14" s="932">
        <v>1.48</v>
      </c>
      <c r="G14" s="933">
        <v>1.48</v>
      </c>
      <c r="H14" s="934">
        <v>1.78</v>
      </c>
      <c r="I14" s="934">
        <v>1.97</v>
      </c>
      <c r="J14" s="935">
        <v>2.09</v>
      </c>
      <c r="L14" s="777" t="s">
        <v>708</v>
      </c>
      <c r="M14" s="1208">
        <v>0.85001000000000004</v>
      </c>
      <c r="N14" s="776" t="e">
        <v>#N/A</v>
      </c>
      <c r="O14" s="776" t="e">
        <v>#N/A</v>
      </c>
      <c r="P14" s="776" t="e">
        <v>#N/A</v>
      </c>
      <c r="Q14" s="776" t="e">
        <v>#N/A</v>
      </c>
      <c r="R14" s="776" t="e">
        <v>#N/A</v>
      </c>
      <c r="S14" s="776" t="e">
        <v>#N/A</v>
      </c>
      <c r="T14" s="776" t="e">
        <v>#N/A</v>
      </c>
      <c r="U14" s="776" t="e">
        <v>#N/A</v>
      </c>
    </row>
    <row r="15" spans="1:21" ht="15" customHeight="1" thickBot="1" x14ac:dyDescent="0.4">
      <c r="A15" s="777" t="s">
        <v>709</v>
      </c>
      <c r="B15" s="947">
        <v>0.86004999999999998</v>
      </c>
      <c r="C15" s="930">
        <v>1.1100000000000001</v>
      </c>
      <c r="D15" s="931">
        <v>1.34</v>
      </c>
      <c r="E15" s="932">
        <v>1.64</v>
      </c>
      <c r="F15" s="932">
        <v>1.64</v>
      </c>
      <c r="G15" s="933">
        <v>1.66</v>
      </c>
      <c r="H15" s="934">
        <v>1.98</v>
      </c>
      <c r="I15" s="934">
        <v>2.08</v>
      </c>
      <c r="J15" s="935">
        <v>2.11</v>
      </c>
    </row>
    <row r="16" spans="1:21" ht="15" customHeight="1" thickBot="1" x14ac:dyDescent="0.4">
      <c r="A16" s="777" t="s">
        <v>710</v>
      </c>
      <c r="B16" s="947">
        <v>0.87004999999999999</v>
      </c>
      <c r="C16" s="930">
        <v>1.1100000000000001</v>
      </c>
      <c r="D16" s="931">
        <v>1.34</v>
      </c>
      <c r="E16" s="932">
        <v>1.73</v>
      </c>
      <c r="F16" s="932">
        <v>1.73</v>
      </c>
      <c r="G16" s="933">
        <v>1.74</v>
      </c>
      <c r="H16" s="934">
        <v>2.09</v>
      </c>
      <c r="I16" s="934">
        <v>2.19</v>
      </c>
      <c r="J16" s="935">
        <v>2.21</v>
      </c>
      <c r="N16" s="746" t="s">
        <v>711</v>
      </c>
    </row>
    <row r="17" spans="1:10" ht="15" customHeight="1" thickBot="1" x14ac:dyDescent="0.4">
      <c r="A17" s="777" t="s">
        <v>712</v>
      </c>
      <c r="B17" s="947">
        <v>0.88005</v>
      </c>
      <c r="C17" s="930">
        <v>1.44</v>
      </c>
      <c r="D17" s="931">
        <v>1.89</v>
      </c>
      <c r="E17" s="932">
        <v>2.21</v>
      </c>
      <c r="F17" s="932">
        <v>2.21</v>
      </c>
      <c r="G17" s="933">
        <v>2.27</v>
      </c>
      <c r="H17" s="934">
        <v>2.57</v>
      </c>
      <c r="I17" s="934">
        <v>2.68</v>
      </c>
      <c r="J17" s="935">
        <v>2.77</v>
      </c>
    </row>
    <row r="18" spans="1:10" ht="15" customHeight="1" thickBot="1" x14ac:dyDescent="0.4">
      <c r="A18" s="777" t="s">
        <v>713</v>
      </c>
      <c r="B18" s="947">
        <v>0.89005000000000001</v>
      </c>
      <c r="C18" s="930">
        <v>1.58</v>
      </c>
      <c r="D18" s="931">
        <v>2</v>
      </c>
      <c r="E18" s="932">
        <v>2.5499999999999998</v>
      </c>
      <c r="F18" s="932">
        <v>2.5499999999999998</v>
      </c>
      <c r="G18" s="933">
        <v>2.56</v>
      </c>
      <c r="H18" s="934">
        <v>2.81</v>
      </c>
      <c r="I18" s="934">
        <v>2.83</v>
      </c>
      <c r="J18" s="935">
        <v>2.9</v>
      </c>
    </row>
    <row r="19" spans="1:10" ht="15" customHeight="1" thickBot="1" x14ac:dyDescent="0.4">
      <c r="A19" s="777" t="s">
        <v>714</v>
      </c>
      <c r="B19" s="947">
        <v>0.90005000000000002</v>
      </c>
      <c r="C19" s="930">
        <v>2.1800000000000002</v>
      </c>
      <c r="D19" s="931">
        <v>2.81</v>
      </c>
      <c r="E19" s="932">
        <v>3.8</v>
      </c>
      <c r="F19" s="932">
        <v>3.8</v>
      </c>
      <c r="G19" s="933">
        <v>3.86</v>
      </c>
      <c r="H19" s="934">
        <v>4.46</v>
      </c>
      <c r="I19" s="934">
        <v>4.5999999999999996</v>
      </c>
      <c r="J19" s="935">
        <v>4.9800000000000004</v>
      </c>
    </row>
    <row r="20" spans="1:10" ht="15" customHeight="1" thickBot="1" x14ac:dyDescent="0.4">
      <c r="A20" s="777" t="s">
        <v>715</v>
      </c>
      <c r="B20" s="947">
        <v>0.91005000000000003</v>
      </c>
      <c r="C20" s="930">
        <v>2.1800000000000002</v>
      </c>
      <c r="D20" s="931">
        <v>2.81</v>
      </c>
      <c r="E20" s="932">
        <v>3.95</v>
      </c>
      <c r="F20" s="932">
        <v>3.95</v>
      </c>
      <c r="G20" s="933">
        <v>4</v>
      </c>
      <c r="H20" s="934">
        <v>4.66</v>
      </c>
      <c r="I20" s="934">
        <v>4.7699999999999996</v>
      </c>
      <c r="J20" s="935">
        <v>5.17</v>
      </c>
    </row>
    <row r="21" spans="1:10" ht="15" customHeight="1" thickBot="1" x14ac:dyDescent="0.4">
      <c r="A21" s="777" t="s">
        <v>716</v>
      </c>
      <c r="B21" s="947">
        <v>0.92005000000000003</v>
      </c>
      <c r="C21" s="930">
        <v>2.5099999999999998</v>
      </c>
      <c r="D21" s="931">
        <v>3.18</v>
      </c>
      <c r="E21" s="932">
        <v>4.0999999999999996</v>
      </c>
      <c r="F21" s="932">
        <v>4.0999999999999996</v>
      </c>
      <c r="G21" s="933">
        <v>4.1100000000000003</v>
      </c>
      <c r="H21" s="934">
        <v>5.0199999999999996</v>
      </c>
      <c r="I21" s="934">
        <v>5.27</v>
      </c>
      <c r="J21" s="935">
        <v>5.34</v>
      </c>
    </row>
    <row r="22" spans="1:10" ht="15" customHeight="1" thickBot="1" x14ac:dyDescent="0.4">
      <c r="A22" s="777" t="s">
        <v>717</v>
      </c>
      <c r="B22" s="947">
        <v>0.93005000000000004</v>
      </c>
      <c r="C22" s="930">
        <v>2.5099999999999998</v>
      </c>
      <c r="D22" s="931">
        <v>3.18</v>
      </c>
      <c r="E22" s="932">
        <v>4.49</v>
      </c>
      <c r="F22" s="932">
        <v>4.49</v>
      </c>
      <c r="G22" s="933">
        <v>4.5599999999999996</v>
      </c>
      <c r="H22" s="934">
        <v>5.21</v>
      </c>
      <c r="I22" s="934">
        <v>5.46</v>
      </c>
      <c r="J22" s="935">
        <v>5.53</v>
      </c>
    </row>
    <row r="23" spans="1:10" ht="15" customHeight="1" thickBot="1" x14ac:dyDescent="0.4">
      <c r="A23" s="777" t="s">
        <v>718</v>
      </c>
      <c r="B23" s="947">
        <v>0.94005000000000005</v>
      </c>
      <c r="C23" s="936">
        <v>2.79</v>
      </c>
      <c r="D23" s="937">
        <v>3.51</v>
      </c>
      <c r="E23" s="938">
        <v>4.71</v>
      </c>
      <c r="F23" s="938">
        <v>4.71</v>
      </c>
      <c r="G23" s="939">
        <v>4.71</v>
      </c>
      <c r="H23" s="940">
        <v>5.21</v>
      </c>
      <c r="I23" s="940">
        <v>5.46</v>
      </c>
      <c r="J23" s="941">
        <v>5.77</v>
      </c>
    </row>
    <row r="24" spans="1:10" ht="15" customHeight="1" thickBot="1" x14ac:dyDescent="0.4">
      <c r="A24" s="777" t="s">
        <v>719</v>
      </c>
      <c r="B24" s="947">
        <v>0.95004999999999995</v>
      </c>
      <c r="C24" s="776" t="e">
        <v>#N/A</v>
      </c>
      <c r="D24" s="776" t="e">
        <v>#N/A</v>
      </c>
      <c r="E24" s="776" t="e">
        <v>#N/A</v>
      </c>
      <c r="F24" s="776" t="e">
        <v>#N/A</v>
      </c>
      <c r="G24" s="776" t="e">
        <v>#N/A</v>
      </c>
      <c r="H24" s="776" t="e">
        <v>#N/A</v>
      </c>
      <c r="I24" s="776" t="e">
        <v>#N/A</v>
      </c>
      <c r="J24" s="776" t="e">
        <v>#N/A</v>
      </c>
    </row>
    <row r="27" spans="1:10" x14ac:dyDescent="0.35">
      <c r="A27" s="746" t="s">
        <v>720</v>
      </c>
      <c r="B27" s="779" t="s">
        <v>721</v>
      </c>
    </row>
    <row r="28" spans="1:10" x14ac:dyDescent="0.35">
      <c r="A28" s="784">
        <v>0</v>
      </c>
      <c r="B28" s="780">
        <f>MAX(B30:B37)</f>
        <v>0.11</v>
      </c>
      <c r="C28" s="746" t="s">
        <v>722</v>
      </c>
      <c r="F28" s="795" t="s">
        <v>723</v>
      </c>
      <c r="G28" s="820" t="s">
        <v>720</v>
      </c>
    </row>
    <row r="29" spans="1:10" x14ac:dyDescent="0.35">
      <c r="A29" s="748" t="s">
        <v>34</v>
      </c>
      <c r="B29" s="780">
        <v>0</v>
      </c>
      <c r="F29" s="746">
        <v>1</v>
      </c>
      <c r="G29" s="401" t="str">
        <f t="shared" ref="G29:G34" si="0">H29</f>
        <v>NSW</v>
      </c>
      <c r="H29" s="746" t="str">
        <f>VLOOKUP('Serviceability Worksheet'!E40,References!Z:AA,2,0)</f>
        <v>NSW</v>
      </c>
    </row>
    <row r="30" spans="1:10" x14ac:dyDescent="0.35">
      <c r="A30" s="747" t="s">
        <v>539</v>
      </c>
      <c r="B30" s="1209">
        <v>0</v>
      </c>
      <c r="F30" s="746">
        <v>2</v>
      </c>
      <c r="G30" s="819" t="e">
        <f t="shared" si="0"/>
        <v>#N/A</v>
      </c>
      <c r="H30" s="746" t="e">
        <f>VLOOKUP('Serviceability Worksheet'!E41,References!Z:AA,2,0)</f>
        <v>#N/A</v>
      </c>
    </row>
    <row r="31" spans="1:10" x14ac:dyDescent="0.35">
      <c r="A31" s="747" t="s">
        <v>579</v>
      </c>
      <c r="B31" s="781">
        <v>0.09</v>
      </c>
      <c r="F31" s="746">
        <v>3</v>
      </c>
      <c r="G31" s="401" t="e">
        <f t="shared" si="0"/>
        <v>#N/A</v>
      </c>
      <c r="H31" s="746" t="e">
        <f>VLOOKUP('Serviceability Worksheet'!E42,References!Z:AA,2,0)</f>
        <v>#N/A</v>
      </c>
    </row>
    <row r="32" spans="1:10" x14ac:dyDescent="0.35">
      <c r="A32" s="747" t="s">
        <v>574</v>
      </c>
      <c r="B32" s="781">
        <v>0.1</v>
      </c>
      <c r="F32" s="746">
        <v>4</v>
      </c>
      <c r="G32" s="401" t="e">
        <f t="shared" si="0"/>
        <v>#N/A</v>
      </c>
      <c r="H32" s="746" t="e">
        <f>VLOOKUP('Serviceability Worksheet'!E43,References!Z:AA,2,0)</f>
        <v>#N/A</v>
      </c>
    </row>
    <row r="33" spans="1:8" x14ac:dyDescent="0.35">
      <c r="A33" s="747" t="s">
        <v>584</v>
      </c>
      <c r="B33" s="781">
        <v>0.11</v>
      </c>
      <c r="F33" s="746">
        <v>5</v>
      </c>
      <c r="G33" s="401" t="e">
        <f t="shared" si="0"/>
        <v>#N/A</v>
      </c>
      <c r="H33" s="746" t="e">
        <f>VLOOKUP('Serviceability Worksheet'!E44,References!Z:AA,2,0)</f>
        <v>#N/A</v>
      </c>
    </row>
    <row r="34" spans="1:8" x14ac:dyDescent="0.35">
      <c r="A34" s="747" t="s">
        <v>589</v>
      </c>
      <c r="B34" s="781">
        <v>0.1</v>
      </c>
      <c r="F34" s="746">
        <v>6</v>
      </c>
      <c r="G34" s="401" t="e">
        <f t="shared" si="0"/>
        <v>#N/A</v>
      </c>
      <c r="H34" s="746" t="e">
        <f>VLOOKUP('Serviceability Worksheet'!E45,References!Z:AA,2,0)</f>
        <v>#N/A</v>
      </c>
    </row>
    <row r="35" spans="1:8" x14ac:dyDescent="0.35">
      <c r="A35" s="747" t="s">
        <v>594</v>
      </c>
      <c r="B35" s="781">
        <v>0.1</v>
      </c>
    </row>
    <row r="36" spans="1:8" x14ac:dyDescent="0.35">
      <c r="A36" s="747" t="s">
        <v>456</v>
      </c>
      <c r="B36" s="781">
        <v>0.1</v>
      </c>
    </row>
    <row r="37" spans="1:8" x14ac:dyDescent="0.35">
      <c r="A37" s="783" t="s">
        <v>572</v>
      </c>
      <c r="B37" s="782">
        <v>0.06</v>
      </c>
    </row>
    <row r="40" spans="1:8" ht="13.15" x14ac:dyDescent="0.4">
      <c r="A40" s="739" t="s">
        <v>724</v>
      </c>
    </row>
    <row r="41" spans="1:8" x14ac:dyDescent="0.35">
      <c r="A41" s="784" t="s">
        <v>725</v>
      </c>
      <c r="B41" s="792">
        <v>1.05</v>
      </c>
    </row>
    <row r="42" spans="1:8" x14ac:dyDescent="0.35">
      <c r="A42" s="787" t="s">
        <v>726</v>
      </c>
      <c r="B42" s="792">
        <v>1.1000000000000001</v>
      </c>
    </row>
    <row r="43" spans="1:8" x14ac:dyDescent="0.35">
      <c r="A43" s="749" t="s">
        <v>727</v>
      </c>
      <c r="B43" s="792">
        <v>1.1499999999999999</v>
      </c>
    </row>
    <row r="45" spans="1:8" ht="13.15" x14ac:dyDescent="0.4">
      <c r="A45" s="761"/>
      <c r="B45" s="761"/>
      <c r="C45" s="761"/>
    </row>
    <row r="46" spans="1:8" ht="13.15" x14ac:dyDescent="0.4">
      <c r="A46" s="771" t="s">
        <v>728</v>
      </c>
      <c r="B46" s="762" t="s">
        <v>729</v>
      </c>
      <c r="C46" s="763" t="s">
        <v>730</v>
      </c>
    </row>
    <row r="47" spans="1:8" ht="13.15" x14ac:dyDescent="0.4">
      <c r="A47" s="770" t="s">
        <v>731</v>
      </c>
      <c r="B47" s="774">
        <f>SUMIF('Serviceability Worksheet'!G40:G45,"Y",'Serviceability Worksheet'!C40:C45)</f>
        <v>5800000</v>
      </c>
      <c r="C47" s="764">
        <f>B47/($B$47+$B$48)</f>
        <v>1</v>
      </c>
    </row>
    <row r="48" spans="1:8" ht="13.15" x14ac:dyDescent="0.4">
      <c r="A48" s="770" t="s">
        <v>732</v>
      </c>
      <c r="B48" s="774">
        <f>SecValue-'LMI Rates'!B47</f>
        <v>0</v>
      </c>
      <c r="C48" s="764">
        <f>B48/($B$47+$B$48)</f>
        <v>0</v>
      </c>
    </row>
    <row r="49" spans="1:5" ht="13.15" x14ac:dyDescent="0.4">
      <c r="A49" s="771" t="s">
        <v>733</v>
      </c>
      <c r="B49" s="773">
        <f>MAX(C47:C48)</f>
        <v>1</v>
      </c>
      <c r="C49" s="788" t="str">
        <f>IF(C48&gt;C47,A48,A47)</f>
        <v>Investment</v>
      </c>
    </row>
    <row r="51" spans="1:5" ht="13.15" x14ac:dyDescent="0.4">
      <c r="A51" s="770"/>
      <c r="B51" s="770"/>
      <c r="C51" s="770"/>
    </row>
    <row r="52" spans="1:5" ht="13.15" x14ac:dyDescent="0.4">
      <c r="A52" s="791" t="s">
        <v>734</v>
      </c>
      <c r="B52" s="791"/>
      <c r="C52" s="770"/>
    </row>
    <row r="53" spans="1:5" ht="13.15" x14ac:dyDescent="0.4">
      <c r="A53" s="772" t="s">
        <v>735</v>
      </c>
      <c r="B53" s="766">
        <f>Loanamt</f>
        <v>4060000</v>
      </c>
      <c r="C53" s="770"/>
    </row>
    <row r="54" spans="1:5" ht="13.15" x14ac:dyDescent="0.4">
      <c r="A54" s="772" t="s">
        <v>736</v>
      </c>
      <c r="B54" s="767">
        <f>SecValue</f>
        <v>5800000</v>
      </c>
      <c r="C54" s="770"/>
    </row>
    <row r="55" spans="1:5" ht="13.15" x14ac:dyDescent="0.4">
      <c r="A55" s="772" t="s">
        <v>737</v>
      </c>
      <c r="B55" s="768">
        <f>IF(ISERROR(B53/B54),0,B53/B54)</f>
        <v>0.7</v>
      </c>
      <c r="C55" s="770"/>
    </row>
    <row r="58" spans="1:5" ht="13.15" x14ac:dyDescent="0.4">
      <c r="A58" s="771" t="s">
        <v>738</v>
      </c>
      <c r="D58" s="84">
        <f>VLOOKUP(B55,B4:J24,HLOOKUP(B53,C2:J3,2,1),1)</f>
        <v>17245</v>
      </c>
    </row>
    <row r="59" spans="1:5" ht="13.15" x14ac:dyDescent="0.4">
      <c r="A59" s="793" t="s">
        <v>739</v>
      </c>
      <c r="B59" s="794"/>
      <c r="C59" s="769" t="str">
        <f>IF('Serviceability Worksheet'!G54="N","N","Y")</f>
        <v>Y</v>
      </c>
      <c r="D59" s="789">
        <f>IF(C59="Y",B41,1)</f>
        <v>1.05</v>
      </c>
    </row>
    <row r="60" spans="1:5" ht="13.15" x14ac:dyDescent="0.4">
      <c r="A60" s="793" t="s">
        <v>740</v>
      </c>
      <c r="B60" s="794"/>
      <c r="C60" s="769" t="str">
        <f>C49</f>
        <v>Investment</v>
      </c>
      <c r="D60" s="789">
        <f>IF(C60=A47,B43,1)</f>
        <v>1.1499999999999999</v>
      </c>
    </row>
    <row r="61" spans="1:5" ht="13.15" x14ac:dyDescent="0.4">
      <c r="A61" s="793" t="s">
        <v>741</v>
      </c>
      <c r="B61" s="794"/>
      <c r="C61" s="769" t="str">
        <f>IF('Serviceability Worksheet'!C56="N","N","Y")</f>
        <v>Y</v>
      </c>
      <c r="D61" s="789">
        <f>IF(C61="Y",B42,1)</f>
        <v>1.1000000000000001</v>
      </c>
    </row>
    <row r="62" spans="1:5" ht="13.15" x14ac:dyDescent="0.4">
      <c r="C62" s="796" t="s">
        <v>742</v>
      </c>
      <c r="D62" s="790">
        <f>ROUND(PRODUCT(D58:D61),2)</f>
        <v>22905.67</v>
      </c>
      <c r="E62" s="746" t="s">
        <v>743</v>
      </c>
    </row>
    <row r="64" spans="1:5" ht="13.15" x14ac:dyDescent="0.4">
      <c r="A64" s="785"/>
      <c r="C64" s="746" t="s">
        <v>744</v>
      </c>
      <c r="D64" s="799">
        <f>D62/100*B53</f>
        <v>929970201.99999988</v>
      </c>
      <c r="E64" s="746" t="s">
        <v>745</v>
      </c>
    </row>
    <row r="65" spans="1:8" x14ac:dyDescent="0.35">
      <c r="C65" s="746" t="s">
        <v>746</v>
      </c>
      <c r="D65" s="800">
        <f>F82</f>
        <v>0</v>
      </c>
    </row>
    <row r="66" spans="1:8" x14ac:dyDescent="0.35">
      <c r="C66" s="746" t="s">
        <v>747</v>
      </c>
      <c r="D66" s="799">
        <f>D64+D65</f>
        <v>929970201.99999988</v>
      </c>
    </row>
    <row r="68" spans="1:8" ht="13.15" x14ac:dyDescent="0.4">
      <c r="A68" s="41" t="s">
        <v>748</v>
      </c>
      <c r="B68" s="746" t="s">
        <v>749</v>
      </c>
      <c r="C68" s="746" t="s">
        <v>750</v>
      </c>
      <c r="D68" s="799">
        <f>D64*10/11</f>
        <v>845427456.36363614</v>
      </c>
      <c r="E68" s="795" t="s">
        <v>751</v>
      </c>
      <c r="F68" s="799">
        <f>D64-D68</f>
        <v>84542745.636363745</v>
      </c>
    </row>
    <row r="69" spans="1:8" x14ac:dyDescent="0.35">
      <c r="C69" s="746" t="s">
        <v>752</v>
      </c>
      <c r="D69" s="800">
        <f>F68*25%</f>
        <v>21135686.409090936</v>
      </c>
    </row>
    <row r="70" spans="1:8" x14ac:dyDescent="0.35">
      <c r="C70" s="746" t="s">
        <v>744</v>
      </c>
      <c r="D70" s="799">
        <f>D68+D69</f>
        <v>866563142.77272701</v>
      </c>
    </row>
    <row r="71" spans="1:8" x14ac:dyDescent="0.35">
      <c r="C71" s="746" t="s">
        <v>753</v>
      </c>
      <c r="D71" s="800">
        <f>D65</f>
        <v>0</v>
      </c>
    </row>
    <row r="72" spans="1:8" ht="13.15" x14ac:dyDescent="0.4">
      <c r="C72" s="41" t="s">
        <v>754</v>
      </c>
      <c r="D72" s="801">
        <f>MAX(D68+D69+D71,600)</f>
        <v>866563142.77272701</v>
      </c>
      <c r="E72" s="746" t="s">
        <v>755</v>
      </c>
    </row>
    <row r="74" spans="1:8" ht="13.15" x14ac:dyDescent="0.4">
      <c r="A74" s="798" t="s">
        <v>756</v>
      </c>
    </row>
    <row r="75" spans="1:8" ht="13.15" x14ac:dyDescent="0.4">
      <c r="A75" s="765" t="s">
        <v>757</v>
      </c>
      <c r="B75" s="804" t="s">
        <v>447</v>
      </c>
      <c r="C75" s="804" t="s">
        <v>731</v>
      </c>
      <c r="D75" s="804" t="s">
        <v>758</v>
      </c>
      <c r="E75" s="804" t="s">
        <v>759</v>
      </c>
      <c r="F75" s="804" t="s">
        <v>753</v>
      </c>
      <c r="G75" s="804" t="s">
        <v>760</v>
      </c>
      <c r="H75" s="804" t="s">
        <v>761</v>
      </c>
    </row>
    <row r="76" spans="1:8" x14ac:dyDescent="0.35">
      <c r="A76" s="784">
        <f>SecVal1</f>
        <v>5800000</v>
      </c>
      <c r="B76" s="784" t="str">
        <f>IF(ISERROR(SecState1),0,SecState1)</f>
        <v>NSW</v>
      </c>
      <c r="C76" s="784" t="str">
        <f>SecInv1</f>
        <v>Y</v>
      </c>
      <c r="D76" s="802">
        <f t="shared" ref="D76:D81" si="1">VLOOKUP(B76,$A$28:$B$37,2,0)</f>
        <v>0</v>
      </c>
      <c r="E76" s="802">
        <f>A76/SUM($A$76:$A$81)</f>
        <v>1</v>
      </c>
      <c r="F76" s="803">
        <f>ROUND(E76*D76*$D$64,2)</f>
        <v>0</v>
      </c>
      <c r="G76" s="789" t="str">
        <f>IF(AND(A76&gt;0,OR(B76=0,B76="[Please select]")),"Y","N")</f>
        <v>N</v>
      </c>
      <c r="H76" s="789" t="str">
        <f t="shared" ref="H76:H81" si="2">IF(AND(A76&gt;0,OR(C76=0,C76="[Please select]")),"Y","N")</f>
        <v>N</v>
      </c>
    </row>
    <row r="77" spans="1:8" x14ac:dyDescent="0.35">
      <c r="A77" s="784">
        <f>SecVal2</f>
        <v>0</v>
      </c>
      <c r="B77" s="784">
        <f>IF(ISERROR(SecState2),0,SecState2)</f>
        <v>0</v>
      </c>
      <c r="C77" s="784" t="str">
        <f>SecInv2</f>
        <v>[Please select]</v>
      </c>
      <c r="D77" s="802">
        <f>VLOOKUP(B77,$A$28:$B$37,2,0)</f>
        <v>0.11</v>
      </c>
      <c r="E77" s="802">
        <f t="shared" ref="E77:E81" si="3">A77/SUM($A$76:$A$81)</f>
        <v>0</v>
      </c>
      <c r="F77" s="803">
        <f t="shared" ref="F77:F80" si="4">ROUND(E77*D77*$D$64,2)</f>
        <v>0</v>
      </c>
      <c r="G77" s="789" t="str">
        <f t="shared" ref="G77:G81" si="5">IF(AND(A77&gt;0,OR(B77=0,B77="[Please select]")),"Y","N")</f>
        <v>N</v>
      </c>
      <c r="H77" s="789" t="str">
        <f t="shared" si="2"/>
        <v>N</v>
      </c>
    </row>
    <row r="78" spans="1:8" x14ac:dyDescent="0.35">
      <c r="A78" s="784">
        <f>SecVal3</f>
        <v>0</v>
      </c>
      <c r="B78" s="784">
        <f>IF(ISERROR(SecState3),0,SecState3)</f>
        <v>0</v>
      </c>
      <c r="C78" s="784" t="str">
        <f>SecInv3</f>
        <v>[Please select]</v>
      </c>
      <c r="D78" s="802">
        <f t="shared" si="1"/>
        <v>0.11</v>
      </c>
      <c r="E78" s="802">
        <f t="shared" si="3"/>
        <v>0</v>
      </c>
      <c r="F78" s="803">
        <f t="shared" si="4"/>
        <v>0</v>
      </c>
      <c r="G78" s="789" t="str">
        <f t="shared" si="5"/>
        <v>N</v>
      </c>
      <c r="H78" s="789" t="str">
        <f t="shared" si="2"/>
        <v>N</v>
      </c>
    </row>
    <row r="79" spans="1:8" x14ac:dyDescent="0.35">
      <c r="A79" s="784">
        <f>SecVal4</f>
        <v>0</v>
      </c>
      <c r="B79" s="784">
        <f>IF(ISERROR(SecState4),0,SecState4)</f>
        <v>0</v>
      </c>
      <c r="C79" s="784" t="str">
        <f>SecInv4</f>
        <v>[Please select]</v>
      </c>
      <c r="D79" s="802">
        <f t="shared" si="1"/>
        <v>0.11</v>
      </c>
      <c r="E79" s="802">
        <f t="shared" si="3"/>
        <v>0</v>
      </c>
      <c r="F79" s="803">
        <f t="shared" si="4"/>
        <v>0</v>
      </c>
      <c r="G79" s="789" t="str">
        <f t="shared" si="5"/>
        <v>N</v>
      </c>
      <c r="H79" s="789" t="str">
        <f t="shared" si="2"/>
        <v>N</v>
      </c>
    </row>
    <row r="80" spans="1:8" x14ac:dyDescent="0.35">
      <c r="A80" s="784">
        <f>SecVal5</f>
        <v>0</v>
      </c>
      <c r="B80" s="784">
        <f>IF(ISERROR(SecState5),0,SecState5)</f>
        <v>0</v>
      </c>
      <c r="C80" s="784" t="str">
        <f>SecInv5</f>
        <v>[Please select]</v>
      </c>
      <c r="D80" s="802">
        <f t="shared" si="1"/>
        <v>0.11</v>
      </c>
      <c r="E80" s="802">
        <f t="shared" si="3"/>
        <v>0</v>
      </c>
      <c r="F80" s="803">
        <f t="shared" si="4"/>
        <v>0</v>
      </c>
      <c r="G80" s="789" t="str">
        <f t="shared" si="5"/>
        <v>N</v>
      </c>
      <c r="H80" s="789" t="str">
        <f t="shared" si="2"/>
        <v>N</v>
      </c>
    </row>
    <row r="81" spans="1:8" x14ac:dyDescent="0.35">
      <c r="A81" s="784">
        <f>SecVal6</f>
        <v>0</v>
      </c>
      <c r="B81" s="784">
        <f>IF(ISERROR(SecState6),0,SecState6)</f>
        <v>0</v>
      </c>
      <c r="C81" s="784" t="str">
        <f>SecInv6</f>
        <v>[Please select]</v>
      </c>
      <c r="D81" s="802">
        <f t="shared" si="1"/>
        <v>0.11</v>
      </c>
      <c r="E81" s="802">
        <f t="shared" si="3"/>
        <v>0</v>
      </c>
      <c r="F81" s="803">
        <f>ROUND(E81*D81*$D$64,2)</f>
        <v>0</v>
      </c>
      <c r="G81" s="789" t="str">
        <f t="shared" si="5"/>
        <v>N</v>
      </c>
      <c r="H81" s="789" t="str">
        <f t="shared" si="2"/>
        <v>N</v>
      </c>
    </row>
    <row r="82" spans="1:8" ht="13.15" x14ac:dyDescent="0.4">
      <c r="E82" s="796" t="s">
        <v>762</v>
      </c>
      <c r="F82" s="801">
        <f>SUMIF(F76:F81,"&gt;0")</f>
        <v>0</v>
      </c>
      <c r="G82" s="806" t="str">
        <f>IF(ISERROR(MATCH("Y",G76:G81,0)),"N","Y")</f>
        <v>N</v>
      </c>
      <c r="H82" s="806" t="str">
        <f>IF(ISERROR(MATCH("Y",H76:H81,0)),"N","Y")</f>
        <v>N</v>
      </c>
    </row>
    <row r="83" spans="1:8" ht="13.15" x14ac:dyDescent="0.4">
      <c r="E83" s="796"/>
      <c r="F83" s="801"/>
      <c r="G83" s="801"/>
      <c r="H83" s="801"/>
    </row>
    <row r="84" spans="1:8" ht="13.15" x14ac:dyDescent="0.4">
      <c r="A84" s="41" t="s">
        <v>763</v>
      </c>
      <c r="B84" s="1467" t="str">
        <f>IF(OR(G82="Y",H82="Y"),"Enter postcode and investment (Y/N) for the each property for correct LMI premium","")</f>
        <v/>
      </c>
      <c r="C84" s="1468"/>
      <c r="D84" s="1468"/>
      <c r="E84" s="1468"/>
      <c r="F84" s="1468"/>
      <c r="G84" s="1468"/>
      <c r="H84" s="1469"/>
    </row>
    <row r="86" spans="1:8" x14ac:dyDescent="0.35">
      <c r="A86" s="746" t="s">
        <v>764</v>
      </c>
    </row>
    <row r="87" spans="1:8" x14ac:dyDescent="0.35">
      <c r="A87" s="784" t="str">
        <f>IF($B$55&lt;=80%,"N/A",B87)</f>
        <v>N/A</v>
      </c>
      <c r="B87" s="784" t="s">
        <v>34</v>
      </c>
      <c r="D87" s="746" t="s">
        <v>765</v>
      </c>
    </row>
    <row r="88" spans="1:8" x14ac:dyDescent="0.35">
      <c r="A88" s="784" t="str">
        <f>IF($B$55&lt;=80%,"",B88)</f>
        <v/>
      </c>
      <c r="B88" s="784" t="s">
        <v>200</v>
      </c>
    </row>
    <row r="89" spans="1:8" x14ac:dyDescent="0.35">
      <c r="A89" s="784" t="str">
        <f>IF($B$55&lt;=80%,"",B89)</f>
        <v/>
      </c>
      <c r="B89" s="784" t="s">
        <v>32</v>
      </c>
    </row>
  </sheetData>
  <mergeCells count="1">
    <mergeCell ref="B84:H84"/>
  </mergeCells>
  <phoneticPr fontId="0" type="noConversion"/>
  <conditionalFormatting sqref="G29">
    <cfRule type="cellIs" dxfId="11" priority="11" stopIfTrue="1" operator="equal">
      <formula>IF(AND($C29&gt;0,$C$25="Y",OR($G29="",$G29="[Please select]")),$G29,1)</formula>
    </cfRule>
    <cfRule type="cellIs" dxfId="10" priority="12" stopIfTrue="1" operator="equal">
      <formula>IF($C$15="","[Please select]")</formula>
    </cfRule>
  </conditionalFormatting>
  <conditionalFormatting sqref="G31">
    <cfRule type="cellIs" dxfId="9" priority="9" stopIfTrue="1" operator="equal">
      <formula>IF(AND($C31&gt;0,$C$25="Y",OR($G31="",$G31="[Please select]")),$G31,1)</formula>
    </cfRule>
    <cfRule type="cellIs" dxfId="8" priority="10" stopIfTrue="1" operator="equal">
      <formula>IF($C$17="","[Please select]")</formula>
    </cfRule>
  </conditionalFormatting>
  <conditionalFormatting sqref="G30">
    <cfRule type="cellIs" dxfId="7" priority="7" stopIfTrue="1" operator="equal">
      <formula>IF(AND($C30&gt;0,$C$25="Y",OR($G30="",$G30="[Please select]")),$G30,1)</formula>
    </cfRule>
    <cfRule type="cellIs" dxfId="6" priority="8" stopIfTrue="1" operator="equal">
      <formula>IF($C$16="","[Please select]")</formula>
    </cfRule>
  </conditionalFormatting>
  <conditionalFormatting sqref="G32">
    <cfRule type="cellIs" dxfId="5" priority="5" stopIfTrue="1" operator="equal">
      <formula>IF(AND($C32&gt;0,$C$25="Y",OR($G32="",$G32="[Please select]")),$G32,1)</formula>
    </cfRule>
    <cfRule type="cellIs" dxfId="4" priority="6" stopIfTrue="1" operator="equal">
      <formula>IF($C$18="","[Please select]")</formula>
    </cfRule>
  </conditionalFormatting>
  <conditionalFormatting sqref="G34">
    <cfRule type="cellIs" dxfId="3" priority="3" stopIfTrue="1" operator="equal">
      <formula>IF(AND($C34&gt;0,$C$25="Y",OR($G34="",$G34="[Please select]")),$G34,1)</formula>
    </cfRule>
    <cfRule type="cellIs" dxfId="2" priority="4" stopIfTrue="1" operator="equal">
      <formula>IF($C$20="","[Please select]")</formula>
    </cfRule>
  </conditionalFormatting>
  <conditionalFormatting sqref="G33">
    <cfRule type="cellIs" dxfId="1" priority="1" stopIfTrue="1" operator="equal">
      <formula>IF(AND($C33&gt;0,$C$25="Y",OR($G33="",$G33="[Please select]")),$G33,1)</formula>
    </cfRule>
    <cfRule type="cellIs" dxfId="0" priority="2" stopIfTrue="1" operator="equal">
      <formula>IF($C$19="","[Please select]")</formula>
    </cfRule>
  </conditionalFormatting>
  <dataValidations count="1">
    <dataValidation type="list" operator="greaterThanOrEqual" allowBlank="1" showInputMessage="1" showErrorMessage="1" error="Please input correct postcode" sqref="G29:G34" xr:uid="{00000000-0002-0000-0900-000000000000}">
      <formula1>Sec_StateList</formula1>
    </dataValidation>
  </dataValidations>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1D4640B8380984CAEB25D70CFA3709A" ma:contentTypeVersion="18" ma:contentTypeDescription="Create a new document." ma:contentTypeScope="" ma:versionID="c5eaf6813f453dcce5c34db285a1bcb5">
  <xsd:schema xmlns:xsd="http://www.w3.org/2001/XMLSchema" xmlns:xs="http://www.w3.org/2001/XMLSchema" xmlns:p="http://schemas.microsoft.com/office/2006/metadata/properties" xmlns:ns2="484f3cc4-7c76-42d7-a4fc-4430263cf96e" xmlns:ns3="3cc28d3e-53b7-4f6d-99db-34482209c877" xmlns:ns4="3b0738c1-0000-4a3e-a11a-0f14df93f9bd" targetNamespace="http://schemas.microsoft.com/office/2006/metadata/properties" ma:root="true" ma:fieldsID="9fbc479066aed175e905d4969b0c9c9e" ns2:_="" ns3:_="" ns4:_="">
    <xsd:import namespace="484f3cc4-7c76-42d7-a4fc-4430263cf96e"/>
    <xsd:import namespace="3cc28d3e-53b7-4f6d-99db-34482209c877"/>
    <xsd:import namespace="3b0738c1-0000-4a3e-a11a-0f14df93f9bd"/>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Tags" minOccurs="0"/>
                <xsd:element ref="ns2:MediaServiceOCR" minOccurs="0"/>
                <xsd:element ref="ns2:MediaServiceDateTaken" minOccurs="0"/>
                <xsd:element ref="ns2:MediaServiceLocation" minOccurs="0"/>
                <xsd:element ref="ns2:MediaServiceGenerationTime" minOccurs="0"/>
                <xsd:element ref="ns2:MediaServiceEventHashCode" minOccurs="0"/>
                <xsd:element ref="ns2:MediaServiceAutoKeyPoints" minOccurs="0"/>
                <xsd:element ref="ns2:MediaServiceKeyPoints" minOccurs="0"/>
                <xsd:element ref="ns2:lcf76f155ced4ddcb4097134ff3c332f" minOccurs="0"/>
                <xsd:element ref="ns4:TaxCatchAll" minOccurs="0"/>
                <xsd:element ref="ns2:MediaServiceObjectDetectorVersions" minOccurs="0"/>
                <xsd:element ref="ns2:MediaServiceSearchPropertie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84f3cc4-7c76-42d7-a4fc-4430263cf96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ServiceLocation" ma:index="15" nillable="true" ma:displayName="Location" ma:internalName="MediaServiceLocation" ma:readOnly="true">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611d4f9b-f87b-4141-8e07-e8898016638a"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4" nillable="true" ma:displayName="MediaServiceSearchProperties" ma:hidden="true" ma:internalName="MediaServiceSearchProperties" ma:readOnly="true">
      <xsd:simpleType>
        <xsd:restriction base="dms:Note"/>
      </xsd:simpleType>
    </xsd:element>
    <xsd:element name="MediaLengthInSeconds" ma:index="25"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3cc28d3e-53b7-4f6d-99db-34482209c877"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3b0738c1-0000-4a3e-a11a-0f14df93f9bd" elementFormDefault="qualified">
    <xsd:import namespace="http://schemas.microsoft.com/office/2006/documentManagement/types"/>
    <xsd:import namespace="http://schemas.microsoft.com/office/infopath/2007/PartnerControls"/>
    <xsd:element name="TaxCatchAll" ma:index="22" nillable="true" ma:displayName="Taxonomy Catch All Column" ma:hidden="true" ma:list="{3eacc796-5988-4e61-8e13-0ec3ede21170}" ma:internalName="TaxCatchAll" ma:showField="CatchAllData" ma:web="3cc28d3e-53b7-4f6d-99db-34482209c877">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documentManagement>
    <TaxCatchAll xmlns="3b0738c1-0000-4a3e-a11a-0f14df93f9bd" xsi:nil="true"/>
    <SharedWithUsers xmlns="3cc28d3e-53b7-4f6d-99db-34482209c877">
      <UserInfo>
        <DisplayName>Kerrie Klaassen</DisplayName>
        <AccountId>1294</AccountId>
        <AccountType/>
      </UserInfo>
      <UserInfo>
        <DisplayName>Alana Edmonds</DisplayName>
        <AccountId>6272</AccountId>
        <AccountType/>
      </UserInfo>
      <UserInfo>
        <DisplayName>Nicholas Allen</DisplayName>
        <AccountId>3912</AccountId>
        <AccountType/>
      </UserInfo>
      <UserInfo>
        <DisplayName>Tiana Burton</DisplayName>
        <AccountId>9150</AccountId>
        <AccountType/>
      </UserInfo>
      <UserInfo>
        <DisplayName>Sophia Graham</DisplayName>
        <AccountId>678</AccountId>
        <AccountType/>
      </UserInfo>
      <UserInfo>
        <DisplayName>Harry Needle</DisplayName>
        <AccountId>17</AccountId>
        <AccountType/>
      </UserInfo>
    </SharedWithUsers>
    <lcf76f155ced4ddcb4097134ff3c332f xmlns="484f3cc4-7c76-42d7-a4fc-4430263cf96e">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466CF09C-78B3-4D6B-8947-CAAF3A095D3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84f3cc4-7c76-42d7-a4fc-4430263cf96e"/>
    <ds:schemaRef ds:uri="3cc28d3e-53b7-4f6d-99db-34482209c877"/>
    <ds:schemaRef ds:uri="3b0738c1-0000-4a3e-a11a-0f14df93f9b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CA3BB03-007D-40FC-B113-E338A7375BD9}">
  <ds:schemaRefs>
    <ds:schemaRef ds:uri="http://schemas.microsoft.com/sharepoint/v3/contenttype/forms"/>
  </ds:schemaRefs>
</ds:datastoreItem>
</file>

<file path=customXml/itemProps3.xml><?xml version="1.0" encoding="utf-8"?>
<ds:datastoreItem xmlns:ds="http://schemas.openxmlformats.org/officeDocument/2006/customXml" ds:itemID="{1D2517FC-C2DC-4BAB-ABAF-F5DAC2DE9196}">
  <ds:schemaRefs>
    <ds:schemaRef ds:uri="http://schemas.microsoft.com/office/2006/documentManagement/types"/>
    <ds:schemaRef ds:uri="http://schemas.microsoft.com/office/infopath/2007/PartnerControls"/>
    <ds:schemaRef ds:uri="484f3cc4-7c76-42d7-a4fc-4430263cf96e"/>
    <ds:schemaRef ds:uri="http://purl.org/dc/elements/1.1/"/>
    <ds:schemaRef ds:uri="http://schemas.microsoft.com/office/2006/metadata/properties"/>
    <ds:schemaRef ds:uri="3cc28d3e-53b7-4f6d-99db-34482209c877"/>
    <ds:schemaRef ds:uri="http://purl.org/dc/terms/"/>
    <ds:schemaRef ds:uri="http://schemas.openxmlformats.org/package/2006/metadata/core-properties"/>
    <ds:schemaRef ds:uri="3b0738c1-0000-4a3e-a11a-0f14df93f9bd"/>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544</vt:i4>
      </vt:variant>
    </vt:vector>
  </HeadingPairs>
  <TitlesOfParts>
    <vt:vector size="554" baseType="lpstr">
      <vt:lpstr>Serviceability Worksheet</vt:lpstr>
      <vt:lpstr>Guarantor Serviceability</vt:lpstr>
      <vt:lpstr>Self Employed Calculator</vt:lpstr>
      <vt:lpstr>EIV Income Calculator</vt:lpstr>
      <vt:lpstr>Notes and Guidelines</vt:lpstr>
      <vt:lpstr>Pledge Calculator</vt:lpstr>
      <vt:lpstr>References</vt:lpstr>
      <vt:lpstr>HEM Table</vt:lpstr>
      <vt:lpstr>Loan Workings</vt:lpstr>
      <vt:lpstr>LMI Rates</vt:lpstr>
      <vt:lpstr>'EIV Income Calculator'!_BAS1</vt:lpstr>
      <vt:lpstr>'EIV Income Calculator'!_BAS2</vt:lpstr>
      <vt:lpstr>'EIV Income Calculator'!_BAS3</vt:lpstr>
      <vt:lpstr>'EIV Income Calculator'!_BAS4</vt:lpstr>
      <vt:lpstr>'Self Employed Calculator'!_Com1</vt:lpstr>
      <vt:lpstr>'Self Employed Calculator'!_Com2</vt:lpstr>
      <vt:lpstr>'Guarantor Serviceability'!_NGB1</vt:lpstr>
      <vt:lpstr>_NGB1</vt:lpstr>
      <vt:lpstr>'Guarantor Serviceability'!_NGB2</vt:lpstr>
      <vt:lpstr>_NGB2</vt:lpstr>
      <vt:lpstr>'Guarantor Serviceability'!_NGB3</vt:lpstr>
      <vt:lpstr>_NGB3</vt:lpstr>
      <vt:lpstr>'Guarantor Serviceability'!_NGB4</vt:lpstr>
      <vt:lpstr>_NGB4</vt:lpstr>
      <vt:lpstr>'Guarantor Serviceability'!_SE1</vt:lpstr>
      <vt:lpstr>_SE1</vt:lpstr>
      <vt:lpstr>'Guarantor Serviceability'!_SE2</vt:lpstr>
      <vt:lpstr>_SE2</vt:lpstr>
      <vt:lpstr>'Guarantor Serviceability'!_SE3</vt:lpstr>
      <vt:lpstr>_SE3</vt:lpstr>
      <vt:lpstr>'Guarantor Serviceability'!_SE4</vt:lpstr>
      <vt:lpstr>_SE4</vt:lpstr>
      <vt:lpstr>Acct_Selection</vt:lpstr>
      <vt:lpstr>Acct1IntOnlyPrd</vt:lpstr>
      <vt:lpstr>Acct1LoanAmt</vt:lpstr>
      <vt:lpstr>Acct1LoanIntRate</vt:lpstr>
      <vt:lpstr>Acct1LoanTerm</vt:lpstr>
      <vt:lpstr>Acct2IntOnlyPrd</vt:lpstr>
      <vt:lpstr>Acct2LoanAmt</vt:lpstr>
      <vt:lpstr>Acct2LoanIntRate</vt:lpstr>
      <vt:lpstr>Acct2LoanTerm</vt:lpstr>
      <vt:lpstr>Acct3IntOnlyPrd</vt:lpstr>
      <vt:lpstr>Acct3LoanAmt</vt:lpstr>
      <vt:lpstr>Acct3LoanIntRate</vt:lpstr>
      <vt:lpstr>Acct3LoanTerm</vt:lpstr>
      <vt:lpstr>Acct4IntOnlyPrd</vt:lpstr>
      <vt:lpstr>Acct4LoanAmt</vt:lpstr>
      <vt:lpstr>Acct4LoanIntRate</vt:lpstr>
      <vt:lpstr>Acct4LoanTerm</vt:lpstr>
      <vt:lpstr>Acct5IntOnlyPrd</vt:lpstr>
      <vt:lpstr>Acct5LoanAmt</vt:lpstr>
      <vt:lpstr>Acct5LoanIntRate</vt:lpstr>
      <vt:lpstr>Acct5LoanTerm</vt:lpstr>
      <vt:lpstr>Acct6IntOnlyPrd</vt:lpstr>
      <vt:lpstr>Acct6LoanAmt</vt:lpstr>
      <vt:lpstr>Acct6LoanIntRate</vt:lpstr>
      <vt:lpstr>Acct6LoanTerm</vt:lpstr>
      <vt:lpstr>'EIV Income Calculator'!Addback_Depr</vt:lpstr>
      <vt:lpstr>'EIV Income Calculator'!Addback_Dir</vt:lpstr>
      <vt:lpstr>'EIV Income Calculator'!Addback_Int</vt:lpstr>
      <vt:lpstr>'EIV Income Calculator'!Addback_NonRecExp</vt:lpstr>
      <vt:lpstr>'EIV Income Calculator'!Addback_NonRecExp_Text</vt:lpstr>
      <vt:lpstr>'EIV Income Calculator'!Addback_Sup</vt:lpstr>
      <vt:lpstr>'Self Employed Calculator'!AddbacksCur</vt:lpstr>
      <vt:lpstr>'Self Employed Calculator'!AddbacksCur2</vt:lpstr>
      <vt:lpstr>'EIV Income Calculator'!AddbacksPrev</vt:lpstr>
      <vt:lpstr>'Self Employed Calculator'!AddbacksPrev</vt:lpstr>
      <vt:lpstr>'Self Employed Calculator'!AddbacksPrev2</vt:lpstr>
      <vt:lpstr>AllDebt</vt:lpstr>
      <vt:lpstr>'Guarantor Serviceability'!App_match1</vt:lpstr>
      <vt:lpstr>App_match1</vt:lpstr>
      <vt:lpstr>'Guarantor Serviceability'!App_match2</vt:lpstr>
      <vt:lpstr>App_match2</vt:lpstr>
      <vt:lpstr>'Guarantor Serviceability'!App_match3</vt:lpstr>
      <vt:lpstr>App_match3</vt:lpstr>
      <vt:lpstr>'Guarantor Serviceability'!App_match4</vt:lpstr>
      <vt:lpstr>App_match4</vt:lpstr>
      <vt:lpstr>'Guarantor Serviceability'!App_name1</vt:lpstr>
      <vt:lpstr>App_name1</vt:lpstr>
      <vt:lpstr>'Guarantor Serviceability'!App_name2</vt:lpstr>
      <vt:lpstr>App_name2</vt:lpstr>
      <vt:lpstr>'Guarantor Serviceability'!App_name3</vt:lpstr>
      <vt:lpstr>App_name3</vt:lpstr>
      <vt:lpstr>'Guarantor Serviceability'!App_name4</vt:lpstr>
      <vt:lpstr>App_name4</vt:lpstr>
      <vt:lpstr>'Guarantor Serviceability'!App_names</vt:lpstr>
      <vt:lpstr>App_names</vt:lpstr>
      <vt:lpstr>'Guarantor Serviceability'!Applicant1</vt:lpstr>
      <vt:lpstr>Applicant1</vt:lpstr>
      <vt:lpstr>'Guarantor Serviceability'!Applicant2</vt:lpstr>
      <vt:lpstr>Applicant2</vt:lpstr>
      <vt:lpstr>'Guarantor Serviceability'!Applicant3</vt:lpstr>
      <vt:lpstr>Applicant3</vt:lpstr>
      <vt:lpstr>'Guarantor Serviceability'!Applicant4</vt:lpstr>
      <vt:lpstr>Applicant4</vt:lpstr>
      <vt:lpstr>AppMatchList1</vt:lpstr>
      <vt:lpstr>AppMatchList2</vt:lpstr>
      <vt:lpstr>AppMatchList3</vt:lpstr>
      <vt:lpstr>AppMatchList4</vt:lpstr>
      <vt:lpstr>'Guarantor Serviceability'!AssessRate</vt:lpstr>
      <vt:lpstr>AssessRate</vt:lpstr>
      <vt:lpstr>BaseNSR</vt:lpstr>
      <vt:lpstr>BenchMarkHEMValue</vt:lpstr>
      <vt:lpstr>'Guarantor Serviceability'!Bonus1</vt:lpstr>
      <vt:lpstr>Bonus1</vt:lpstr>
      <vt:lpstr>'Guarantor Serviceability'!Bonus2</vt:lpstr>
      <vt:lpstr>Bonus2</vt:lpstr>
      <vt:lpstr>'Guarantor Serviceability'!Bonus3</vt:lpstr>
      <vt:lpstr>Bonus3</vt:lpstr>
      <vt:lpstr>'Guarantor Serviceability'!Bonus4</vt:lpstr>
      <vt:lpstr>Bonus4</vt:lpstr>
      <vt:lpstr>BorrowingCapacity</vt:lpstr>
      <vt:lpstr>'Self Employed Calculator'!Bus1_App1Distr</vt:lpstr>
      <vt:lpstr>'Self Employed Calculator'!Bus1_App2Distr</vt:lpstr>
      <vt:lpstr>'Self Employed Calculator'!Bus1_App3Distr</vt:lpstr>
      <vt:lpstr>'Self Employed Calculator'!Bus1_App4Distr</vt:lpstr>
      <vt:lpstr>'Self Employed Calculator'!Bus1App1Inc</vt:lpstr>
      <vt:lpstr>'Self Employed Calculator'!Bus1App2Inc</vt:lpstr>
      <vt:lpstr>'Self Employed Calculator'!Bus1App3Inc</vt:lpstr>
      <vt:lpstr>'Self Employed Calculator'!Bus1App4Inc</vt:lpstr>
      <vt:lpstr>'Self Employed Calculator'!Bus2_App1Distr</vt:lpstr>
      <vt:lpstr>'Self Employed Calculator'!Bus2_App2Distr</vt:lpstr>
      <vt:lpstr>'Self Employed Calculator'!Bus2_App3Distr</vt:lpstr>
      <vt:lpstr>'Self Employed Calculator'!Bus2_App4Distr</vt:lpstr>
      <vt:lpstr>'Self Employed Calculator'!Bus2App1Inc</vt:lpstr>
      <vt:lpstr>'Self Employed Calculator'!Bus2App2Inc</vt:lpstr>
      <vt:lpstr>'Self Employed Calculator'!Bus2App3Inc</vt:lpstr>
      <vt:lpstr>'Self Employed Calculator'!Bus2App4Inc</vt:lpstr>
      <vt:lpstr>Bwr_name</vt:lpstr>
      <vt:lpstr>'Guarantor Serviceability'!Bwr_rate</vt:lpstr>
      <vt:lpstr>Bwr_rate</vt:lpstr>
      <vt:lpstr>Bwr_SecAddress</vt:lpstr>
      <vt:lpstr>'Pledge Calculator'!BwrLVR_NoPledge</vt:lpstr>
      <vt:lpstr>BwrLVR_Pledge</vt:lpstr>
      <vt:lpstr>CalcType_DD_CellLink</vt:lpstr>
      <vt:lpstr>'Guarantor Serviceability'!CC_proposed</vt:lpstr>
      <vt:lpstr>CC_proposed</vt:lpstr>
      <vt:lpstr>'Guarantor Serviceability'!CCTotal</vt:lpstr>
      <vt:lpstr>CCTotal</vt:lpstr>
      <vt:lpstr>Couple_Other_1</vt:lpstr>
      <vt:lpstr>Couple_Other_2</vt:lpstr>
      <vt:lpstr>Couple_Other_3</vt:lpstr>
      <vt:lpstr>Couple_Other_4</vt:lpstr>
      <vt:lpstr>Couple_Single_1</vt:lpstr>
      <vt:lpstr>Couple_Single_2</vt:lpstr>
      <vt:lpstr>Couple_Single_3</vt:lpstr>
      <vt:lpstr>Couple_Single_4</vt:lpstr>
      <vt:lpstr>'Guarantor Serviceability'!Credit_card</vt:lpstr>
      <vt:lpstr>Credit_card</vt:lpstr>
      <vt:lpstr>DateRange</vt:lpstr>
      <vt:lpstr>'Guarantor Serviceability'!Deduction1</vt:lpstr>
      <vt:lpstr>Deduction1</vt:lpstr>
      <vt:lpstr>'Guarantor Serviceability'!Deduction2</vt:lpstr>
      <vt:lpstr>Deduction2</vt:lpstr>
      <vt:lpstr>'Guarantor Serviceability'!Deduction3</vt:lpstr>
      <vt:lpstr>Deduction3</vt:lpstr>
      <vt:lpstr>'Guarantor Serviceability'!Deduction4</vt:lpstr>
      <vt:lpstr>Deduction4</vt:lpstr>
      <vt:lpstr>Default_Loan_Assess_Term_Months</vt:lpstr>
      <vt:lpstr>DSR_Rows</vt:lpstr>
      <vt:lpstr>DTI</vt:lpstr>
      <vt:lpstr>Final_Loan</vt:lpstr>
      <vt:lpstr>FinalLVR</vt:lpstr>
      <vt:lpstr>Fix_buffer</vt:lpstr>
      <vt:lpstr>'Guarantor Serviceability'!Fixed_period</vt:lpstr>
      <vt:lpstr>Fixed_period</vt:lpstr>
      <vt:lpstr>'Guarantor Serviceability'!Fixed_Y_N</vt:lpstr>
      <vt:lpstr>Fixed_Y_N</vt:lpstr>
      <vt:lpstr>G_Margin_Mac_Debt</vt:lpstr>
      <vt:lpstr>G_Margin_PI_Term</vt:lpstr>
      <vt:lpstr>G_Margin_Rate</vt:lpstr>
      <vt:lpstr>G_Mortgage_1_Mac_Debt</vt:lpstr>
      <vt:lpstr>G_Mortgage_1_PI_Term</vt:lpstr>
      <vt:lpstr>G_Mortgage_1_Rate</vt:lpstr>
      <vt:lpstr>G_Mortgage_2_Mac_Debt</vt:lpstr>
      <vt:lpstr>G_Mortgage_2_PI_Term</vt:lpstr>
      <vt:lpstr>G_Mortgage_2_Rate</vt:lpstr>
      <vt:lpstr>G_Mortgage_3_Mac_Debt</vt:lpstr>
      <vt:lpstr>G_Mortgage_3_PI_Term</vt:lpstr>
      <vt:lpstr>G_Mortgage_3_Rate</vt:lpstr>
      <vt:lpstr>G_Mortgage_4_Mac_Debt</vt:lpstr>
      <vt:lpstr>G_Mortgage_4_PI_Term</vt:lpstr>
      <vt:lpstr>G_Mortgage_4_Rate</vt:lpstr>
      <vt:lpstr>G_Mortgage_HIRE_PI_Term</vt:lpstr>
      <vt:lpstr>G_Mortgage_HIRE_Rate</vt:lpstr>
      <vt:lpstr>G_Mortgage_LEASE_PI_Term</vt:lpstr>
      <vt:lpstr>G_Mortgage_LEASE_Rate</vt:lpstr>
      <vt:lpstr>G_Mortgage_PERSONAL_PI_Term</vt:lpstr>
      <vt:lpstr>G_Mortgage_PERSONAL_Rate</vt:lpstr>
      <vt:lpstr>G_Other_Debt_Mac_Debt</vt:lpstr>
      <vt:lpstr>G_Other_Debt_PI_Term</vt:lpstr>
      <vt:lpstr>G_Other_Debt_Rate</vt:lpstr>
      <vt:lpstr>GBenchmarkHEMValue</vt:lpstr>
      <vt:lpstr>GDeclaredTotalLivingExpense</vt:lpstr>
      <vt:lpstr>GIPE_Other1</vt:lpstr>
      <vt:lpstr>GIPE_Other2</vt:lpstr>
      <vt:lpstr>GIPE_Other3</vt:lpstr>
      <vt:lpstr>GIPE_Other4</vt:lpstr>
      <vt:lpstr>GIPE_Security1</vt:lpstr>
      <vt:lpstr>GIPE_Security2</vt:lpstr>
      <vt:lpstr>GIPE_Security3</vt:lpstr>
      <vt:lpstr>GIPE_Security4</vt:lpstr>
      <vt:lpstr>'EIV Income Calculator'!Gross_Profit</vt:lpstr>
      <vt:lpstr>GrossIncome_preHC</vt:lpstr>
      <vt:lpstr>GSURPLUS</vt:lpstr>
      <vt:lpstr>Gtr_name</vt:lpstr>
      <vt:lpstr>Gtr_PledgeLVR</vt:lpstr>
      <vt:lpstr>Gtr_RefiAmt</vt:lpstr>
      <vt:lpstr>Gtr_SecAddress</vt:lpstr>
      <vt:lpstr>Gtr_SecValue</vt:lpstr>
      <vt:lpstr>GtrMatchList1</vt:lpstr>
      <vt:lpstr>GtrMatchList2</vt:lpstr>
      <vt:lpstr>GtrMatchList3</vt:lpstr>
      <vt:lpstr>GtrMatchList4</vt:lpstr>
      <vt:lpstr>'Guarantor Serviceability'!Hire_Limit</vt:lpstr>
      <vt:lpstr>Hire_Limit</vt:lpstr>
      <vt:lpstr>'Guarantor Serviceability'!Hire_Repay</vt:lpstr>
      <vt:lpstr>Hire_Repay</vt:lpstr>
      <vt:lpstr>Inc_Tier</vt:lpstr>
      <vt:lpstr>'Guarantor Serviceability'!Inv_loan</vt:lpstr>
      <vt:lpstr>Inv_loan</vt:lpstr>
      <vt:lpstr>InvestorCap</vt:lpstr>
      <vt:lpstr>IO_DropdownList</vt:lpstr>
      <vt:lpstr>IO_Loan_Amt</vt:lpstr>
      <vt:lpstr>IO_Loan_Term</vt:lpstr>
      <vt:lpstr>'Guarantor Serviceability'!IO_Period</vt:lpstr>
      <vt:lpstr>IO_Period</vt:lpstr>
      <vt:lpstr>IOCap</vt:lpstr>
      <vt:lpstr>IPE_Other1</vt:lpstr>
      <vt:lpstr>IPE_Other2</vt:lpstr>
      <vt:lpstr>IPE_Other3</vt:lpstr>
      <vt:lpstr>IPE_Other4</vt:lpstr>
      <vt:lpstr>IPE_Security1</vt:lpstr>
      <vt:lpstr>IPE_Security2</vt:lpstr>
      <vt:lpstr>IPE_Security3</vt:lpstr>
      <vt:lpstr>IPE_Security4</vt:lpstr>
      <vt:lpstr>LargeLoan_PC1</vt:lpstr>
      <vt:lpstr>LargeLoan_PC2</vt:lpstr>
      <vt:lpstr>LargeLoan_PC3</vt:lpstr>
      <vt:lpstr>LargeLoan_PC4</vt:lpstr>
      <vt:lpstr>LargeLoan_PC5</vt:lpstr>
      <vt:lpstr>LargeLoan_PC6</vt:lpstr>
      <vt:lpstr>LargeLoan_SecVal1</vt:lpstr>
      <vt:lpstr>LargeLoan_SecVal2</vt:lpstr>
      <vt:lpstr>LargeLoan_SecVal3</vt:lpstr>
      <vt:lpstr>LargeLoan_SecVal4</vt:lpstr>
      <vt:lpstr>LargeLoan_SecVal5</vt:lpstr>
      <vt:lpstr>LargeLoan_SecVal6</vt:lpstr>
      <vt:lpstr>LargeLoanRows</vt:lpstr>
      <vt:lpstr>LDFValue</vt:lpstr>
      <vt:lpstr>'Guarantor Serviceability'!LE_Basic</vt:lpstr>
      <vt:lpstr>LE_Basic</vt:lpstr>
      <vt:lpstr>LE_Couple</vt:lpstr>
      <vt:lpstr>LE_Couple_Child</vt:lpstr>
      <vt:lpstr>'Guarantor Serviceability'!LE_Other</vt:lpstr>
      <vt:lpstr>LE_Other</vt:lpstr>
      <vt:lpstr>LE_Single</vt:lpstr>
      <vt:lpstr>LE_Single_Child</vt:lpstr>
      <vt:lpstr>'Guarantor Serviceability'!Lease_Limit</vt:lpstr>
      <vt:lpstr>Lease_Limit</vt:lpstr>
      <vt:lpstr>'Guarantor Serviceability'!Lease_Repay</vt:lpstr>
      <vt:lpstr>Lease_Repay</vt:lpstr>
      <vt:lpstr>LgeLoan_Sec1</vt:lpstr>
      <vt:lpstr>LgeLoan_Sec2</vt:lpstr>
      <vt:lpstr>LgeLoan_Sec3</vt:lpstr>
      <vt:lpstr>LgeLoan_Sec4</vt:lpstr>
      <vt:lpstr>LgeLoan_Sec5</vt:lpstr>
      <vt:lpstr>LgeLoan_Sec6</vt:lpstr>
      <vt:lpstr>LgeLoan_Totals</vt:lpstr>
      <vt:lpstr>List_default</vt:lpstr>
      <vt:lpstr>LMI_purpose</vt:lpstr>
      <vt:lpstr>LMI_selfEmployed</vt:lpstr>
      <vt:lpstr>LMIcap_dropdownList</vt:lpstr>
      <vt:lpstr>LMIcap_dropdownList2</vt:lpstr>
      <vt:lpstr>LMIcap_flag</vt:lpstr>
      <vt:lpstr>LMIcap_row</vt:lpstr>
      <vt:lpstr>LMIpremium_rows</vt:lpstr>
      <vt:lpstr>Loan_amount</vt:lpstr>
      <vt:lpstr>Loan_term</vt:lpstr>
      <vt:lpstr>'Guarantor Serviceability'!Loanamt</vt:lpstr>
      <vt:lpstr>Loanamt</vt:lpstr>
      <vt:lpstr>LoanComments</vt:lpstr>
      <vt:lpstr>'Guarantor Serviceability'!LoanTypeRow1</vt:lpstr>
      <vt:lpstr>LoanTypeRow1</vt:lpstr>
      <vt:lpstr>LTI</vt:lpstr>
      <vt:lpstr>'Guarantor Serviceability'!LVR</vt:lpstr>
      <vt:lpstr>LVR</vt:lpstr>
      <vt:lpstr>'Guarantor Serviceability'!Margin_Limit</vt:lpstr>
      <vt:lpstr>Margin_Limit</vt:lpstr>
      <vt:lpstr>Margin_Mac_Debt</vt:lpstr>
      <vt:lpstr>Margin_PI_Term</vt:lpstr>
      <vt:lpstr>Margin_Rate</vt:lpstr>
      <vt:lpstr>'Guarantor Serviceability'!Margin_Repay</vt:lpstr>
      <vt:lpstr>Margin_Repay</vt:lpstr>
      <vt:lpstr>'Pledge Calculator'!MaxBwrLVR</vt:lpstr>
      <vt:lpstr>MaxLoan10mMsg</vt:lpstr>
      <vt:lpstr>MaxLoanAmt</vt:lpstr>
      <vt:lpstr>MaxLoanAmtMsg</vt:lpstr>
      <vt:lpstr>MaxTotalLoan</vt:lpstr>
      <vt:lpstr>Medicare</vt:lpstr>
      <vt:lpstr>MinBwrLVR</vt:lpstr>
      <vt:lpstr>MinNSR</vt:lpstr>
      <vt:lpstr>minVar_rate</vt:lpstr>
      <vt:lpstr>'Guarantor Serviceability'!Mortgage_1_Limit</vt:lpstr>
      <vt:lpstr>Mortgage_1_Limit</vt:lpstr>
      <vt:lpstr>Mortgage_1_Mac_Debt</vt:lpstr>
      <vt:lpstr>Mortgage_1_PI_Term</vt:lpstr>
      <vt:lpstr>Mortgage_1_Rate</vt:lpstr>
      <vt:lpstr>'Guarantor Serviceability'!Mortgage_1_Repay</vt:lpstr>
      <vt:lpstr>Mortgage_1_Repay</vt:lpstr>
      <vt:lpstr>'Guarantor Serviceability'!Mortgage_2_Limit</vt:lpstr>
      <vt:lpstr>Mortgage_2_Limit</vt:lpstr>
      <vt:lpstr>Mortgage_2_Mac_Debt</vt:lpstr>
      <vt:lpstr>Mortgage_2_PI_Term</vt:lpstr>
      <vt:lpstr>Mortgage_2_Rate</vt:lpstr>
      <vt:lpstr>'Guarantor Serviceability'!Mortgage_2_Repay</vt:lpstr>
      <vt:lpstr>Mortgage_2_Repay</vt:lpstr>
      <vt:lpstr>'Guarantor Serviceability'!Mortgage_3_Limit</vt:lpstr>
      <vt:lpstr>Mortgage_3_Limit</vt:lpstr>
      <vt:lpstr>Mortgage_3_Mac_Debt</vt:lpstr>
      <vt:lpstr>Mortgage_3_PI_Term</vt:lpstr>
      <vt:lpstr>Mortgage_3_Rate</vt:lpstr>
      <vt:lpstr>'Guarantor Serviceability'!Mortgage_3_Repay</vt:lpstr>
      <vt:lpstr>Mortgage_3_Repay</vt:lpstr>
      <vt:lpstr>'Guarantor Serviceability'!Mortgage_4_Limit</vt:lpstr>
      <vt:lpstr>Mortgage_4_Limit</vt:lpstr>
      <vt:lpstr>Mortgage_4_Mac_Debt</vt:lpstr>
      <vt:lpstr>Mortgage_4_PI_Term</vt:lpstr>
      <vt:lpstr>Mortgage_4_Rate</vt:lpstr>
      <vt:lpstr>'Guarantor Serviceability'!Mortgage_4_Repay</vt:lpstr>
      <vt:lpstr>Mortgage_4_Repay</vt:lpstr>
      <vt:lpstr>Mortgage_HIRE_PI_Term</vt:lpstr>
      <vt:lpstr>Mortgage_HIRE_Rate</vt:lpstr>
      <vt:lpstr>Mortgage_LEASE_PI_Term</vt:lpstr>
      <vt:lpstr>Mortgage_LEASE_Rate</vt:lpstr>
      <vt:lpstr>Mortgage_PERSONAL_PI_Term</vt:lpstr>
      <vt:lpstr>Mortgage_PERSONAL_Rate</vt:lpstr>
      <vt:lpstr>MultiCap</vt:lpstr>
      <vt:lpstr>'Guarantor Serviceability'!NGB_other1</vt:lpstr>
      <vt:lpstr>NGB_other1</vt:lpstr>
      <vt:lpstr>'Guarantor Serviceability'!NGB_other2</vt:lpstr>
      <vt:lpstr>NGB_other2</vt:lpstr>
      <vt:lpstr>'Guarantor Serviceability'!NGB_other3</vt:lpstr>
      <vt:lpstr>NGB_other3</vt:lpstr>
      <vt:lpstr>'Guarantor Serviceability'!NGB_other4</vt:lpstr>
      <vt:lpstr>NGB_other4</vt:lpstr>
      <vt:lpstr>'Guarantor Serviceability'!No_Child</vt:lpstr>
      <vt:lpstr>No_Child</vt:lpstr>
      <vt:lpstr>'Guarantor Serviceability'!No_couples</vt:lpstr>
      <vt:lpstr>No_couples</vt:lpstr>
      <vt:lpstr>No_Dependants_1</vt:lpstr>
      <vt:lpstr>No_Dependants_2</vt:lpstr>
      <vt:lpstr>No_Dependants_3</vt:lpstr>
      <vt:lpstr>No_Dependants_4</vt:lpstr>
      <vt:lpstr>'Guarantor Serviceability'!no_ofchild1</vt:lpstr>
      <vt:lpstr>no_ofchild1</vt:lpstr>
      <vt:lpstr>'Guarantor Serviceability'!no_ofchild2</vt:lpstr>
      <vt:lpstr>no_ofchild2</vt:lpstr>
      <vt:lpstr>'Guarantor Serviceability'!no_ofchild3</vt:lpstr>
      <vt:lpstr>no_ofchild3</vt:lpstr>
      <vt:lpstr>'Guarantor Serviceability'!no_ofchild4</vt:lpstr>
      <vt:lpstr>no_ofchild4</vt:lpstr>
      <vt:lpstr>'Guarantor Serviceability'!No_Singles</vt:lpstr>
      <vt:lpstr>No_Singles</vt:lpstr>
      <vt:lpstr>'EIV Income Calculator'!NonRec_Inc</vt:lpstr>
      <vt:lpstr>'EIV Income Calculator'!NonRec_Inc_Text</vt:lpstr>
      <vt:lpstr>'Self Employed Calculator'!NonRecIncCur</vt:lpstr>
      <vt:lpstr>'Self Employed Calculator'!NonRecIncCur2</vt:lpstr>
      <vt:lpstr>'Self Employed Calculator'!NonRecIncPrev</vt:lpstr>
      <vt:lpstr>'Self Employed Calculator'!NonRecIncPrev2</vt:lpstr>
      <vt:lpstr>'Guarantor Serviceability'!NonTaxInc1</vt:lpstr>
      <vt:lpstr>NonTaxInc1</vt:lpstr>
      <vt:lpstr>'Guarantor Serviceability'!NonTaxInc2</vt:lpstr>
      <vt:lpstr>NonTaxInc2</vt:lpstr>
      <vt:lpstr>'Guarantor Serviceability'!NonTaxInc3</vt:lpstr>
      <vt:lpstr>NonTaxInc3</vt:lpstr>
      <vt:lpstr>'Guarantor Serviceability'!NonTaxInc4</vt:lpstr>
      <vt:lpstr>NonTaxInc4</vt:lpstr>
      <vt:lpstr>'Guarantor Serviceability'!NSR</vt:lpstr>
      <vt:lpstr>NSR</vt:lpstr>
      <vt:lpstr>NSR_Req</vt:lpstr>
      <vt:lpstr>NSRTest1</vt:lpstr>
      <vt:lpstr>NSRTest2</vt:lpstr>
      <vt:lpstr>NSRTest3</vt:lpstr>
      <vt:lpstr>NSRTest4</vt:lpstr>
      <vt:lpstr>number_sec</vt:lpstr>
      <vt:lpstr>'Guarantor Serviceability'!Other_Debt_Limit</vt:lpstr>
      <vt:lpstr>Other_Debt_Limit</vt:lpstr>
      <vt:lpstr>Other_Debt_Mac_Debt</vt:lpstr>
      <vt:lpstr>Other_Debt_PI_Term</vt:lpstr>
      <vt:lpstr>Other_Debt_Rate</vt:lpstr>
      <vt:lpstr>'Guarantor Serviceability'!Other_Debt_Repay</vt:lpstr>
      <vt:lpstr>Other_Debt_Repay</vt:lpstr>
      <vt:lpstr>'Guarantor Serviceability'!Other_Property</vt:lpstr>
      <vt:lpstr>Other_Property</vt:lpstr>
      <vt:lpstr>'Guarantor Serviceability'!OtherComments</vt:lpstr>
      <vt:lpstr>OtherComments</vt:lpstr>
      <vt:lpstr>'Guarantor Serviceability'!OtherIncome1</vt:lpstr>
      <vt:lpstr>OtherIncome1</vt:lpstr>
      <vt:lpstr>'Guarantor Serviceability'!OtherIncome2</vt:lpstr>
      <vt:lpstr>OtherIncome2</vt:lpstr>
      <vt:lpstr>'Guarantor Serviceability'!OtherIncome3</vt:lpstr>
      <vt:lpstr>OtherIncome3</vt:lpstr>
      <vt:lpstr>'Guarantor Serviceability'!OtherIncome4</vt:lpstr>
      <vt:lpstr>OtherIncome4</vt:lpstr>
      <vt:lpstr>'Guarantor Serviceability'!OtherMortAmt</vt:lpstr>
      <vt:lpstr>OtherMortAmt</vt:lpstr>
      <vt:lpstr>Over90NSR</vt:lpstr>
      <vt:lpstr>'Guarantor Serviceability'!Overtime1</vt:lpstr>
      <vt:lpstr>Overtime1</vt:lpstr>
      <vt:lpstr>'Guarantor Serviceability'!Overtime2</vt:lpstr>
      <vt:lpstr>Overtime2</vt:lpstr>
      <vt:lpstr>'Guarantor Serviceability'!Overtime3</vt:lpstr>
      <vt:lpstr>Overtime3</vt:lpstr>
      <vt:lpstr>'Guarantor Serviceability'!Overtime4</vt:lpstr>
      <vt:lpstr>Overtime4</vt:lpstr>
      <vt:lpstr>'Guarantor Serviceability'!PersLoanAmt</vt:lpstr>
      <vt:lpstr>PersLoanAmt</vt:lpstr>
      <vt:lpstr>'Guarantor Serviceability'!PersLoanDet</vt:lpstr>
      <vt:lpstr>PersLoanDet</vt:lpstr>
      <vt:lpstr>'Guarantor Serviceability'!Personal_Limit</vt:lpstr>
      <vt:lpstr>Personal_Limit</vt:lpstr>
      <vt:lpstr>'Guarantor Serviceability'!Personal_Repay</vt:lpstr>
      <vt:lpstr>Personal_Repay</vt:lpstr>
      <vt:lpstr>Pledge</vt:lpstr>
      <vt:lpstr>PledgeResult</vt:lpstr>
      <vt:lpstr>PostCode1</vt:lpstr>
      <vt:lpstr>PostCode2</vt:lpstr>
      <vt:lpstr>PostCode3</vt:lpstr>
      <vt:lpstr>PostCode4</vt:lpstr>
      <vt:lpstr>PostCode5</vt:lpstr>
      <vt:lpstr>PostCode6</vt:lpstr>
      <vt:lpstr>PostcodeWarningMessage</vt:lpstr>
      <vt:lpstr>'EIV Income Calculator'!Print_Area</vt:lpstr>
      <vt:lpstr>'Guarantor Serviceability'!Print_Area</vt:lpstr>
      <vt:lpstr>'Notes and Guidelines'!Print_Area</vt:lpstr>
      <vt:lpstr>'Pledge Calculator'!Print_Area</vt:lpstr>
      <vt:lpstr>'Self Employed Calculator'!Print_Area</vt:lpstr>
      <vt:lpstr>'Serviceability Worksheet'!Print_Area</vt:lpstr>
      <vt:lpstr>product</vt:lpstr>
      <vt:lpstr>Product_list</vt:lpstr>
      <vt:lpstr>'Guarantor Serviceability'!Product_list_cellLink</vt:lpstr>
      <vt:lpstr>'Self Employed Calculator'!ProfitCur</vt:lpstr>
      <vt:lpstr>'Self Employed Calculator'!ProfitCur2</vt:lpstr>
      <vt:lpstr>'Self Employed Calculator'!ProfitPrev</vt:lpstr>
      <vt:lpstr>'Self Employed Calculator'!ProfitPrev2</vt:lpstr>
      <vt:lpstr>Purch_Price</vt:lpstr>
      <vt:lpstr>Rel_to_Bwr</vt:lpstr>
      <vt:lpstr>Rel_to_Gtr</vt:lpstr>
      <vt:lpstr>'Guarantor Serviceability'!RentalInc1</vt:lpstr>
      <vt:lpstr>RentalInc1</vt:lpstr>
      <vt:lpstr>'Guarantor Serviceability'!RentalInc2</vt:lpstr>
      <vt:lpstr>RentalInc2</vt:lpstr>
      <vt:lpstr>'Guarantor Serviceability'!RentalInc3</vt:lpstr>
      <vt:lpstr>RentalInc3</vt:lpstr>
      <vt:lpstr>'Guarantor Serviceability'!RentalInc4</vt:lpstr>
      <vt:lpstr>RentalInc4</vt:lpstr>
      <vt:lpstr>'Guarantor Serviceability'!RentalIncOth1</vt:lpstr>
      <vt:lpstr>RentalIncOth1</vt:lpstr>
      <vt:lpstr>'Guarantor Serviceability'!RentalIncOth2</vt:lpstr>
      <vt:lpstr>RentalIncOth2</vt:lpstr>
      <vt:lpstr>'Guarantor Serviceability'!RentalIncOth3</vt:lpstr>
      <vt:lpstr>RentalIncOth3</vt:lpstr>
      <vt:lpstr>'Guarantor Serviceability'!RentalIncOth4</vt:lpstr>
      <vt:lpstr>RentalIncOth4</vt:lpstr>
      <vt:lpstr>'Guarantor Serviceability'!RentAmt</vt:lpstr>
      <vt:lpstr>RentAmt</vt:lpstr>
      <vt:lpstr>RestrictedCap</vt:lpstr>
      <vt:lpstr>Row_Account_1</vt:lpstr>
      <vt:lpstr>Row_Account_2</vt:lpstr>
      <vt:lpstr>Row_Account_3</vt:lpstr>
      <vt:lpstr>Row_Account_4</vt:lpstr>
      <vt:lpstr>Row_Account_5</vt:lpstr>
      <vt:lpstr>Row_Account_6</vt:lpstr>
      <vt:lpstr>'Self Employed Calculator'!SE1netAv</vt:lpstr>
      <vt:lpstr>'Self Employed Calculator'!SE1netAvAdj</vt:lpstr>
      <vt:lpstr>'Self Employed Calculator'!SE1Test</vt:lpstr>
      <vt:lpstr>'Self Employed Calculator'!SE2netAv</vt:lpstr>
      <vt:lpstr>'Self Employed Calculator'!SE2netAvAdj</vt:lpstr>
      <vt:lpstr>'Self Employed Calculator'!SE2Test</vt:lpstr>
      <vt:lpstr>Sec_no_linkcell</vt:lpstr>
      <vt:lpstr>Sec_no_linkcell2</vt:lpstr>
      <vt:lpstr>Sec_StateList</vt:lpstr>
      <vt:lpstr>Sec2_row</vt:lpstr>
      <vt:lpstr>Sec3_row</vt:lpstr>
      <vt:lpstr>Sec4_row</vt:lpstr>
      <vt:lpstr>Sec5_row</vt:lpstr>
      <vt:lpstr>Sec6_row</vt:lpstr>
      <vt:lpstr>SecCount</vt:lpstr>
      <vt:lpstr>SecInv1</vt:lpstr>
      <vt:lpstr>SecInv2</vt:lpstr>
      <vt:lpstr>SecInv3</vt:lpstr>
      <vt:lpstr>SecInv4</vt:lpstr>
      <vt:lpstr>SecInv5</vt:lpstr>
      <vt:lpstr>SecInv6</vt:lpstr>
      <vt:lpstr>SecState1</vt:lpstr>
      <vt:lpstr>SecState2</vt:lpstr>
      <vt:lpstr>SecState3</vt:lpstr>
      <vt:lpstr>SecState4</vt:lpstr>
      <vt:lpstr>SecState5</vt:lpstr>
      <vt:lpstr>SecState6</vt:lpstr>
      <vt:lpstr>'Guarantor Serviceability'!Security_Property</vt:lpstr>
      <vt:lpstr>Security_Property</vt:lpstr>
      <vt:lpstr>Security_values</vt:lpstr>
      <vt:lpstr>Security1HighDensity</vt:lpstr>
      <vt:lpstr>Security1Restricted</vt:lpstr>
      <vt:lpstr>Security2HighDensity</vt:lpstr>
      <vt:lpstr>Security2Restricted</vt:lpstr>
      <vt:lpstr>Security3HighDensity</vt:lpstr>
      <vt:lpstr>Security3Restricted</vt:lpstr>
      <vt:lpstr>Security4HighDensity</vt:lpstr>
      <vt:lpstr>Security4Restricted</vt:lpstr>
      <vt:lpstr>Security5HighDensity</vt:lpstr>
      <vt:lpstr>Security5Restricted</vt:lpstr>
      <vt:lpstr>Security6HighDensity</vt:lpstr>
      <vt:lpstr>Security6Restricted</vt:lpstr>
      <vt:lpstr>SecVal1</vt:lpstr>
      <vt:lpstr>SecVal2</vt:lpstr>
      <vt:lpstr>SecVal3</vt:lpstr>
      <vt:lpstr>SecVal4</vt:lpstr>
      <vt:lpstr>SecVal5</vt:lpstr>
      <vt:lpstr>SecVal6</vt:lpstr>
      <vt:lpstr>'Guarantor Serviceability'!SecValue</vt:lpstr>
      <vt:lpstr>SecValue</vt:lpstr>
      <vt:lpstr>SelfEmployedIncomeForPrint</vt:lpstr>
      <vt:lpstr>Standard_Sec2to5rows</vt:lpstr>
      <vt:lpstr>Standard_securityRows</vt:lpstr>
      <vt:lpstr>Standard_TotalSecRow</vt:lpstr>
      <vt:lpstr>StandardMAXloan</vt:lpstr>
      <vt:lpstr>StandardMAXlvr</vt:lpstr>
      <vt:lpstr>StandardSec_Row1</vt:lpstr>
      <vt:lpstr>'Guarantor Serviceability'!Status1</vt:lpstr>
      <vt:lpstr>Status1</vt:lpstr>
      <vt:lpstr>'Guarantor Serviceability'!Status2</vt:lpstr>
      <vt:lpstr>Status2</vt:lpstr>
      <vt:lpstr>'Guarantor Serviceability'!Status3</vt:lpstr>
      <vt:lpstr>Status3</vt:lpstr>
      <vt:lpstr>'Guarantor Serviceability'!Status4</vt:lpstr>
      <vt:lpstr>Status4</vt:lpstr>
      <vt:lpstr>SURPLUS</vt:lpstr>
      <vt:lpstr>'Self Employed Calculator'!TaxYearCur</vt:lpstr>
      <vt:lpstr>'Self Employed Calculator'!TaxYearCur2</vt:lpstr>
      <vt:lpstr>'Self Employed Calculator'!TaxYearPrev</vt:lpstr>
      <vt:lpstr>'Self Employed Calculator'!TaxYearPrev2</vt:lpstr>
      <vt:lpstr>'EIV Income Calculator'!Total_Exp</vt:lpstr>
      <vt:lpstr>Total_GtrLVR</vt:lpstr>
      <vt:lpstr>'Guarantor Serviceability'!Total_Income</vt:lpstr>
      <vt:lpstr>Total_Income</vt:lpstr>
      <vt:lpstr>'Guarantor Serviceability'!Total_Rental</vt:lpstr>
      <vt:lpstr>Total_Rental</vt:lpstr>
      <vt:lpstr>TotalDeclaredLivingExpense</vt:lpstr>
      <vt:lpstr>Val_Amt</vt:lpstr>
      <vt:lpstr>Var_buffer</vt:lpstr>
      <vt:lpstr>Version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Serviceablity Calculator</dc:title>
  <dc:subject/>
  <dc:creator>rjiang</dc:creator>
  <cp:keywords/>
  <dc:description/>
  <cp:lastModifiedBy>WENLIANG XIAO</cp:lastModifiedBy>
  <cp:revision/>
  <dcterms:created xsi:type="dcterms:W3CDTF">1997-08-01T06:22:37Z</dcterms:created>
  <dcterms:modified xsi:type="dcterms:W3CDTF">2025-04-11T04:01:36Z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0x010100C1D4640B8380984CAEB25D70CFA3709A</vt:lpwstr>
  </property>
  <property fmtid="{D5CDD505-2E9C-101B-9397-08002B2CF9AE}" pid="3" name="_NewReviewCycle">
    <vt:lpwstr/>
  </property>
  <property fmtid="{D5CDD505-2E9C-101B-9397-08002B2CF9AE}" pid="4" name="Order">
    <vt:r8>18313300</vt:r8>
  </property>
  <property fmtid="{D5CDD505-2E9C-101B-9397-08002B2CF9AE}" pid="5" name="xd_Signature">
    <vt:bool>false</vt:bool>
  </property>
  <property fmtid="{D5CDD505-2E9C-101B-9397-08002B2CF9AE}" pid="6" name="xd_ProgID">
    <vt:lpwstr/>
  </property>
  <property fmtid="{D5CDD505-2E9C-101B-9397-08002B2CF9AE}" pid="7" name="ComplianceAssetId">
    <vt:lpwstr/>
  </property>
  <property fmtid="{D5CDD505-2E9C-101B-9397-08002B2CF9AE}" pid="8" name="TemplateUrl">
    <vt:lpwstr/>
  </property>
  <property fmtid="{D5CDD505-2E9C-101B-9397-08002B2CF9AE}" pid="9" name="MSIP_Label_bff60613-a741-4790-ba46-c6813ca61c58_Enabled">
    <vt:lpwstr>true</vt:lpwstr>
  </property>
  <property fmtid="{D5CDD505-2E9C-101B-9397-08002B2CF9AE}" pid="10" name="MSIP_Label_bff60613-a741-4790-ba46-c6813ca61c58_SetDate">
    <vt:lpwstr>2021-09-01T23:34:59Z</vt:lpwstr>
  </property>
  <property fmtid="{D5CDD505-2E9C-101B-9397-08002B2CF9AE}" pid="11" name="MSIP_Label_bff60613-a741-4790-ba46-c6813ca61c58_Method">
    <vt:lpwstr>Standard</vt:lpwstr>
  </property>
  <property fmtid="{D5CDD505-2E9C-101B-9397-08002B2CF9AE}" pid="12" name="MSIP_Label_bff60613-a741-4790-ba46-c6813ca61c58_Name">
    <vt:lpwstr>Confidential</vt:lpwstr>
  </property>
  <property fmtid="{D5CDD505-2E9C-101B-9397-08002B2CF9AE}" pid="13" name="MSIP_Label_bff60613-a741-4790-ba46-c6813ca61c58_SiteId">
    <vt:lpwstr>568a5434-7d3f-4714-b824-fe722e2748c0</vt:lpwstr>
  </property>
  <property fmtid="{D5CDD505-2E9C-101B-9397-08002B2CF9AE}" pid="14" name="MSIP_Label_bff60613-a741-4790-ba46-c6813ca61c58_ActionId">
    <vt:lpwstr>b95312d9-2d9e-428b-ba1e-1ed893805d75</vt:lpwstr>
  </property>
  <property fmtid="{D5CDD505-2E9C-101B-9397-08002B2CF9AE}" pid="15" name="MSIP_Label_bff60613-a741-4790-ba46-c6813ca61c58_ContentBits">
    <vt:lpwstr>0</vt:lpwstr>
  </property>
  <property fmtid="{D5CDD505-2E9C-101B-9397-08002B2CF9AE}" pid="16" name="MediaServiceImageTags">
    <vt:lpwstr/>
  </property>
  <property fmtid="{D5CDD505-2E9C-101B-9397-08002B2CF9AE}" pid="17" name="Sign-off status">
    <vt:lpwstr>2024-02-12T07:08:30Z</vt:lpwstr>
  </property>
  <property fmtid="{D5CDD505-2E9C-101B-9397-08002B2CF9AE}" pid="18" name="URLLinks">
    <vt:lpwstr>, </vt:lpwstr>
  </property>
  <property fmtid="{D5CDD505-2E9C-101B-9397-08002B2CF9AE}" pid="19" name="_ExtendedDescription">
    <vt:lpwstr/>
  </property>
  <property fmtid="{D5CDD505-2E9C-101B-9397-08002B2CF9AE}" pid="20" name="TriggerFlowInfo">
    <vt:lpwstr/>
  </property>
  <property fmtid="{D5CDD505-2E9C-101B-9397-08002B2CF9AE}" pid="21" name="_AdHocReviewCycleID">
    <vt:i4>-1865671662</vt:i4>
  </property>
  <property fmtid="{D5CDD505-2E9C-101B-9397-08002B2CF9AE}" pid="22" name="_EmailSubject">
    <vt:lpwstr>Manual servicing calculators with new HEM values - September 2024</vt:lpwstr>
  </property>
  <property fmtid="{D5CDD505-2E9C-101B-9397-08002B2CF9AE}" pid="23" name="_AuthorEmail">
    <vt:lpwstr>Teresa.Hoang@macquarie.com</vt:lpwstr>
  </property>
  <property fmtid="{D5CDD505-2E9C-101B-9397-08002B2CF9AE}" pid="24" name="_AuthorEmailDisplayName">
    <vt:lpwstr>Teresa Hoang</vt:lpwstr>
  </property>
  <property fmtid="{D5CDD505-2E9C-101B-9397-08002B2CF9AE}" pid="25" name="_ReviewingToolsShownOnce">
    <vt:lpwstr/>
  </property>
</Properties>
</file>